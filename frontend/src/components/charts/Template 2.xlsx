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orette DIMENE\Desktop\RAZEL\"/>
    </mc:Choice>
  </mc:AlternateContent>
  <bookViews>
    <workbookView xWindow="0" yWindow="0" windowWidth="20496" windowHeight="7452" activeTab="1"/>
  </bookViews>
  <sheets>
    <sheet name="UTILISATION TRACTEURS" sheetId="11" r:id="rId1"/>
    <sheet name="ACTIVITE BASES" sheetId="17" r:id="rId2"/>
    <sheet name="Données Hebdo" sheetId="6" state="hidden" r:id="rId3"/>
    <sheet name="Graphe Hebdo" sheetId="7" state="hidden" r:id="rId4"/>
    <sheet name="Feuil2" sheetId="22" state="hidden" r:id="rId5"/>
    <sheet name="Feuil1" sheetId="12" state="hidden" r:id="rId6"/>
  </sheets>
  <definedNames>
    <definedName name="_xlnm._FilterDatabase" localSheetId="2" hidden="1">'Données Hebdo'!$A$1:$L$259</definedName>
    <definedName name="_xlnm._FilterDatabase" localSheetId="5" hidden="1">Feuil1!$A$1:$P$1</definedName>
    <definedName name="Segment_Jour">#N/A</definedName>
    <definedName name="Segment_JOUR1">#N/A</definedName>
    <definedName name="Segment_VEHICULE">#N/A</definedName>
    <definedName name="Segment_Véhicule">#N/A</definedName>
  </definedNames>
  <calcPr calcId="152511"/>
  <pivotCaches>
    <pivotCache cacheId="0" r:id="rId7"/>
    <pivotCache cacheId="1" r:id="rId8"/>
    <pivotCache cacheId="2" r:id="rId9"/>
    <pivotCache cacheId="3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J34" i="12" l="1"/>
  <c r="K34" i="12"/>
  <c r="L34" i="12"/>
  <c r="M34" i="12"/>
  <c r="N34" i="12"/>
  <c r="J35" i="12"/>
  <c r="K35" i="12"/>
  <c r="L35" i="12"/>
  <c r="M35" i="12"/>
  <c r="N35" i="12"/>
  <c r="J36" i="12"/>
  <c r="K36" i="12"/>
  <c r="L36" i="12"/>
  <c r="M36" i="12"/>
  <c r="N36" i="12"/>
  <c r="G37" i="12"/>
  <c r="H37" i="12"/>
  <c r="G38" i="12"/>
  <c r="H38" i="12"/>
  <c r="N37" i="12" s="1"/>
  <c r="I37" i="12"/>
  <c r="J37" i="12"/>
  <c r="K37" i="12"/>
  <c r="L37" i="12"/>
  <c r="M37" i="12"/>
  <c r="I36" i="12"/>
  <c r="G36" i="12"/>
  <c r="H35" i="12"/>
  <c r="I35" i="12"/>
  <c r="H36" i="12"/>
  <c r="H238" i="12"/>
  <c r="N237" i="12" s="1"/>
  <c r="I238" i="12"/>
  <c r="J238" i="12"/>
  <c r="K238" i="12"/>
  <c r="H239" i="12"/>
  <c r="N238" i="12" s="1"/>
  <c r="I239" i="12"/>
  <c r="J239" i="12"/>
  <c r="K239" i="12"/>
  <c r="L239" i="12"/>
  <c r="M239" i="12"/>
  <c r="N239" i="12"/>
  <c r="H240" i="12"/>
  <c r="I240" i="12"/>
  <c r="J240" i="12"/>
  <c r="K240" i="12"/>
  <c r="H241" i="12"/>
  <c r="N240" i="12" s="1"/>
  <c r="I241" i="12"/>
  <c r="J241" i="12"/>
  <c r="K241" i="12"/>
  <c r="L241" i="12"/>
  <c r="M241" i="12"/>
  <c r="N241" i="12"/>
  <c r="G239" i="12"/>
  <c r="L238" i="12" s="1"/>
  <c r="G240" i="12"/>
  <c r="G241" i="12"/>
  <c r="L240" i="12" s="1"/>
  <c r="G242" i="12"/>
  <c r="G11" i="12"/>
  <c r="H11" i="12"/>
  <c r="I11" i="12"/>
  <c r="J11" i="12"/>
  <c r="K11" i="12"/>
  <c r="L11" i="12"/>
  <c r="M11" i="12"/>
  <c r="N11" i="12"/>
  <c r="G12" i="12"/>
  <c r="H12" i="12"/>
  <c r="I12" i="12"/>
  <c r="J12" i="12"/>
  <c r="K12" i="12"/>
  <c r="G13" i="12"/>
  <c r="L12" i="12" s="1"/>
  <c r="H13" i="12"/>
  <c r="N12" i="12" s="1"/>
  <c r="I13" i="12"/>
  <c r="J13" i="12"/>
  <c r="K13" i="12"/>
  <c r="L13" i="12"/>
  <c r="M13" i="12"/>
  <c r="N13" i="12"/>
  <c r="G14" i="12"/>
  <c r="H14" i="12"/>
  <c r="I14" i="12"/>
  <c r="J14" i="12"/>
  <c r="K14" i="12"/>
  <c r="G15" i="12"/>
  <c r="L14" i="12" s="1"/>
  <c r="H15" i="12"/>
  <c r="N14" i="12" s="1"/>
  <c r="I15" i="12"/>
  <c r="J15" i="12"/>
  <c r="K15" i="12"/>
  <c r="G16" i="12"/>
  <c r="L15" i="12" s="1"/>
  <c r="H16" i="12"/>
  <c r="N15" i="12" s="1"/>
  <c r="I16" i="12"/>
  <c r="J16" i="12"/>
  <c r="K16" i="12"/>
  <c r="G17" i="12"/>
  <c r="L16" i="12" s="1"/>
  <c r="H17" i="12"/>
  <c r="N16" i="12" s="1"/>
  <c r="I17" i="12"/>
  <c r="J17" i="12"/>
  <c r="K17" i="12"/>
  <c r="G18" i="12"/>
  <c r="L17" i="12" s="1"/>
  <c r="H18" i="12"/>
  <c r="N17" i="12" s="1"/>
  <c r="I18" i="12"/>
  <c r="J18" i="12"/>
  <c r="K18" i="12"/>
  <c r="G19" i="12"/>
  <c r="L18" i="12" s="1"/>
  <c r="H19" i="12"/>
  <c r="N18" i="12" s="1"/>
  <c r="I19" i="12"/>
  <c r="J19" i="12"/>
  <c r="K19" i="12"/>
  <c r="G20" i="12"/>
  <c r="L19" i="12" s="1"/>
  <c r="H20" i="12"/>
  <c r="N19" i="12" s="1"/>
  <c r="I20" i="12"/>
  <c r="J20" i="12"/>
  <c r="K20" i="12"/>
  <c r="G21" i="12"/>
  <c r="L20" i="12" s="1"/>
  <c r="H21" i="12"/>
  <c r="N20" i="12" s="1"/>
  <c r="I21" i="12"/>
  <c r="J21" i="12"/>
  <c r="K21" i="12"/>
  <c r="G22" i="12"/>
  <c r="L21" i="12" s="1"/>
  <c r="H22" i="12"/>
  <c r="N21" i="12" s="1"/>
  <c r="I22" i="12"/>
  <c r="J22" i="12"/>
  <c r="K22" i="12"/>
  <c r="G23" i="12"/>
  <c r="L22" i="12" s="1"/>
  <c r="H23" i="12"/>
  <c r="N22" i="12" s="1"/>
  <c r="I23" i="12"/>
  <c r="J23" i="12"/>
  <c r="K23" i="12"/>
  <c r="L23" i="12"/>
  <c r="M23" i="12"/>
  <c r="N23" i="12"/>
  <c r="G24" i="12"/>
  <c r="H24" i="12"/>
  <c r="I24" i="12"/>
  <c r="J24" i="12"/>
  <c r="K24" i="12"/>
  <c r="G25" i="12"/>
  <c r="L24" i="12" s="1"/>
  <c r="H25" i="12"/>
  <c r="N24" i="12" s="1"/>
  <c r="I25" i="12"/>
  <c r="J25" i="12"/>
  <c r="K25" i="12"/>
  <c r="G26" i="12"/>
  <c r="L25" i="12" s="1"/>
  <c r="H26" i="12"/>
  <c r="N25" i="12" s="1"/>
  <c r="I26" i="12"/>
  <c r="J26" i="12"/>
  <c r="K26" i="12"/>
  <c r="G27" i="12"/>
  <c r="L26" i="12" s="1"/>
  <c r="H27" i="12"/>
  <c r="N26" i="12" s="1"/>
  <c r="I27" i="12"/>
  <c r="J27" i="12"/>
  <c r="K27" i="12"/>
  <c r="G28" i="12"/>
  <c r="L27" i="12" s="1"/>
  <c r="H28" i="12"/>
  <c r="N27" i="12" s="1"/>
  <c r="I28" i="12"/>
  <c r="J28" i="12"/>
  <c r="K28" i="12"/>
  <c r="G29" i="12"/>
  <c r="L28" i="12" s="1"/>
  <c r="H29" i="12"/>
  <c r="N28" i="12" s="1"/>
  <c r="I29" i="12"/>
  <c r="J29" i="12"/>
  <c r="K29" i="12"/>
  <c r="G30" i="12"/>
  <c r="L29" i="12" s="1"/>
  <c r="H30" i="12"/>
  <c r="N29" i="12" s="1"/>
  <c r="I30" i="12"/>
  <c r="J30" i="12"/>
  <c r="K30" i="12"/>
  <c r="L30" i="12"/>
  <c r="M30" i="12"/>
  <c r="N30" i="12"/>
  <c r="G31" i="12"/>
  <c r="H31" i="12"/>
  <c r="I31" i="12"/>
  <c r="J31" i="12"/>
  <c r="K31" i="12"/>
  <c r="G32" i="12"/>
  <c r="L31" i="12" s="1"/>
  <c r="H32" i="12"/>
  <c r="N31" i="12" s="1"/>
  <c r="I32" i="12"/>
  <c r="J32" i="12"/>
  <c r="K32" i="12"/>
  <c r="G33" i="12"/>
  <c r="L32" i="12" s="1"/>
  <c r="H33" i="12"/>
  <c r="N32" i="12" s="1"/>
  <c r="I33" i="12"/>
  <c r="J33" i="12"/>
  <c r="K33" i="12"/>
  <c r="G34" i="12"/>
  <c r="L33" i="12" s="1"/>
  <c r="H34" i="12"/>
  <c r="N33" i="12" s="1"/>
  <c r="I34" i="12"/>
  <c r="G35" i="12"/>
  <c r="I38" i="12"/>
  <c r="J38" i="12"/>
  <c r="K38" i="12"/>
  <c r="G39" i="12"/>
  <c r="L38" i="12" s="1"/>
  <c r="H39" i="12"/>
  <c r="N38" i="12" s="1"/>
  <c r="I39" i="12"/>
  <c r="J39" i="12"/>
  <c r="K39" i="12"/>
  <c r="G40" i="12"/>
  <c r="L39" i="12" s="1"/>
  <c r="H40" i="12"/>
  <c r="N39" i="12" s="1"/>
  <c r="I40" i="12"/>
  <c r="J40" i="12"/>
  <c r="K40" i="12"/>
  <c r="L40" i="12"/>
  <c r="M40" i="12"/>
  <c r="N40" i="12"/>
  <c r="G41" i="12"/>
  <c r="H41" i="12"/>
  <c r="I41" i="12"/>
  <c r="J41" i="12"/>
  <c r="K41" i="12"/>
  <c r="G42" i="12"/>
  <c r="L41" i="12" s="1"/>
  <c r="H42" i="12"/>
  <c r="N41" i="12" s="1"/>
  <c r="I42" i="12"/>
  <c r="J42" i="12"/>
  <c r="K42" i="12"/>
  <c r="G43" i="12"/>
  <c r="L42" i="12" s="1"/>
  <c r="H43" i="12"/>
  <c r="N42" i="12" s="1"/>
  <c r="I43" i="12"/>
  <c r="J43" i="12"/>
  <c r="K43" i="12"/>
  <c r="L43" i="12"/>
  <c r="M43" i="12"/>
  <c r="N43" i="12"/>
  <c r="G44" i="12"/>
  <c r="H44" i="12"/>
  <c r="I44" i="12"/>
  <c r="J44" i="12"/>
  <c r="K44" i="12"/>
  <c r="L44" i="12"/>
  <c r="M44" i="12"/>
  <c r="N44" i="12"/>
  <c r="G45" i="12"/>
  <c r="H45" i="12"/>
  <c r="I45" i="12"/>
  <c r="J45" i="12"/>
  <c r="K45" i="12"/>
  <c r="L45" i="12"/>
  <c r="M45" i="12"/>
  <c r="N45" i="12"/>
  <c r="G46" i="12"/>
  <c r="H46" i="12"/>
  <c r="I46" i="12"/>
  <c r="J46" i="12"/>
  <c r="K46" i="12"/>
  <c r="L46" i="12"/>
  <c r="M46" i="12"/>
  <c r="N46" i="12"/>
  <c r="G47" i="12"/>
  <c r="H47" i="12"/>
  <c r="I47" i="12"/>
  <c r="J47" i="12"/>
  <c r="K47" i="12"/>
  <c r="G48" i="12"/>
  <c r="L47" i="12" s="1"/>
  <c r="H48" i="12"/>
  <c r="N47" i="12" s="1"/>
  <c r="I48" i="12"/>
  <c r="J48" i="12"/>
  <c r="K48" i="12"/>
  <c r="G49" i="12"/>
  <c r="L48" i="12" s="1"/>
  <c r="H49" i="12"/>
  <c r="N48" i="12" s="1"/>
  <c r="I49" i="12"/>
  <c r="J49" i="12"/>
  <c r="K49" i="12"/>
  <c r="G50" i="12"/>
  <c r="L49" i="12" s="1"/>
  <c r="H50" i="12"/>
  <c r="N49" i="12" s="1"/>
  <c r="I50" i="12"/>
  <c r="J50" i="12"/>
  <c r="K50" i="12"/>
  <c r="L50" i="12"/>
  <c r="M50" i="12"/>
  <c r="N50" i="12"/>
  <c r="G51" i="12"/>
  <c r="H51" i="12"/>
  <c r="I51" i="12"/>
  <c r="J51" i="12"/>
  <c r="K51" i="12"/>
  <c r="G52" i="12"/>
  <c r="L51" i="12" s="1"/>
  <c r="H52" i="12"/>
  <c r="N51" i="12" s="1"/>
  <c r="I52" i="12"/>
  <c r="J52" i="12"/>
  <c r="K52" i="12"/>
  <c r="G53" i="12"/>
  <c r="L52" i="12" s="1"/>
  <c r="H53" i="12"/>
  <c r="N52" i="12" s="1"/>
  <c r="I53" i="12"/>
  <c r="J53" i="12"/>
  <c r="K53" i="12"/>
  <c r="L53" i="12"/>
  <c r="M53" i="12"/>
  <c r="N53" i="12"/>
  <c r="G54" i="12"/>
  <c r="H54" i="12"/>
  <c r="I54" i="12"/>
  <c r="J54" i="12"/>
  <c r="K54" i="12"/>
  <c r="G55" i="12"/>
  <c r="L54" i="12" s="1"/>
  <c r="H55" i="12"/>
  <c r="N54" i="12" s="1"/>
  <c r="I55" i="12"/>
  <c r="J55" i="12"/>
  <c r="K55" i="12"/>
  <c r="G56" i="12"/>
  <c r="L55" i="12" s="1"/>
  <c r="H56" i="12"/>
  <c r="N55" i="12" s="1"/>
  <c r="I56" i="12"/>
  <c r="J56" i="12"/>
  <c r="K56" i="12"/>
  <c r="G57" i="12"/>
  <c r="L56" i="12" s="1"/>
  <c r="H57" i="12"/>
  <c r="N56" i="12" s="1"/>
  <c r="I57" i="12"/>
  <c r="J57" i="12"/>
  <c r="K57" i="12"/>
  <c r="G58" i="12"/>
  <c r="L57" i="12" s="1"/>
  <c r="H58" i="12"/>
  <c r="N57" i="12" s="1"/>
  <c r="I58" i="12"/>
  <c r="J58" i="12"/>
  <c r="K58" i="12"/>
  <c r="L58" i="12"/>
  <c r="M58" i="12"/>
  <c r="N58" i="12"/>
  <c r="G59" i="12"/>
  <c r="H59" i="12"/>
  <c r="I59" i="12"/>
  <c r="J59" i="12"/>
  <c r="K59" i="12"/>
  <c r="G60" i="12"/>
  <c r="L59" i="12" s="1"/>
  <c r="H60" i="12"/>
  <c r="N59" i="12" s="1"/>
  <c r="I60" i="12"/>
  <c r="J60" i="12"/>
  <c r="K60" i="12"/>
  <c r="G61" i="12"/>
  <c r="L60" i="12" s="1"/>
  <c r="H61" i="12"/>
  <c r="N60" i="12" s="1"/>
  <c r="I61" i="12"/>
  <c r="J61" i="12"/>
  <c r="K61" i="12"/>
  <c r="G62" i="12"/>
  <c r="L61" i="12" s="1"/>
  <c r="H62" i="12"/>
  <c r="N61" i="12" s="1"/>
  <c r="I62" i="12"/>
  <c r="J62" i="12"/>
  <c r="K62" i="12"/>
  <c r="L62" i="12"/>
  <c r="M62" i="12"/>
  <c r="N62" i="12"/>
  <c r="G63" i="12"/>
  <c r="H63" i="12"/>
  <c r="I63" i="12"/>
  <c r="J63" i="12"/>
  <c r="K63" i="12"/>
  <c r="L63" i="12"/>
  <c r="M63" i="12"/>
  <c r="N63" i="12"/>
  <c r="G64" i="12"/>
  <c r="H64" i="12"/>
  <c r="I64" i="12"/>
  <c r="J64" i="12"/>
  <c r="K64" i="12"/>
  <c r="G65" i="12"/>
  <c r="L64" i="12" s="1"/>
  <c r="H65" i="12"/>
  <c r="N64" i="12" s="1"/>
  <c r="I65" i="12"/>
  <c r="J65" i="12"/>
  <c r="K65" i="12"/>
  <c r="L65" i="12"/>
  <c r="M65" i="12"/>
  <c r="N65" i="12"/>
  <c r="G66" i="12"/>
  <c r="H66" i="12"/>
  <c r="I66" i="12"/>
  <c r="J66" i="12"/>
  <c r="K66" i="12"/>
  <c r="L66" i="12"/>
  <c r="M66" i="12"/>
  <c r="N66" i="12"/>
  <c r="G67" i="12"/>
  <c r="H67" i="12"/>
  <c r="I67" i="12"/>
  <c r="J67" i="12"/>
  <c r="K67" i="12"/>
  <c r="L67" i="12"/>
  <c r="M67" i="12"/>
  <c r="N67" i="12"/>
  <c r="G68" i="12"/>
  <c r="H68" i="12"/>
  <c r="I68" i="12"/>
  <c r="J68" i="12"/>
  <c r="K68" i="12"/>
  <c r="L68" i="12"/>
  <c r="M68" i="12"/>
  <c r="N68" i="12"/>
  <c r="G69" i="12"/>
  <c r="H69" i="12"/>
  <c r="I69" i="12"/>
  <c r="J69" i="12"/>
  <c r="K69" i="12"/>
  <c r="G70" i="12"/>
  <c r="L69" i="12" s="1"/>
  <c r="H70" i="12"/>
  <c r="N69" i="12" s="1"/>
  <c r="I70" i="12"/>
  <c r="J70" i="12"/>
  <c r="K70" i="12"/>
  <c r="L70" i="12"/>
  <c r="M70" i="12"/>
  <c r="N70" i="12"/>
  <c r="G71" i="12"/>
  <c r="H71" i="12"/>
  <c r="I71" i="12"/>
  <c r="J71" i="12"/>
  <c r="K71" i="12"/>
  <c r="G72" i="12"/>
  <c r="L71" i="12" s="1"/>
  <c r="H72" i="12"/>
  <c r="N71" i="12" s="1"/>
  <c r="I72" i="12"/>
  <c r="J72" i="12"/>
  <c r="K72" i="12"/>
  <c r="G73" i="12"/>
  <c r="L72" i="12" s="1"/>
  <c r="H73" i="12"/>
  <c r="N72" i="12" s="1"/>
  <c r="I73" i="12"/>
  <c r="J73" i="12"/>
  <c r="K73" i="12"/>
  <c r="G74" i="12"/>
  <c r="L73" i="12" s="1"/>
  <c r="H74" i="12"/>
  <c r="N73" i="12" s="1"/>
  <c r="I74" i="12"/>
  <c r="J74" i="12"/>
  <c r="K74" i="12"/>
  <c r="L74" i="12"/>
  <c r="M74" i="12"/>
  <c r="N74" i="12"/>
  <c r="G75" i="12"/>
  <c r="H75" i="12"/>
  <c r="I75" i="12"/>
  <c r="J75" i="12"/>
  <c r="K75" i="12"/>
  <c r="G76" i="12"/>
  <c r="L75" i="12" s="1"/>
  <c r="H76" i="12"/>
  <c r="N75" i="12" s="1"/>
  <c r="I76" i="12"/>
  <c r="J76" i="12"/>
  <c r="K76" i="12"/>
  <c r="G77" i="12"/>
  <c r="L76" i="12" s="1"/>
  <c r="H77" i="12"/>
  <c r="N76" i="12" s="1"/>
  <c r="I77" i="12"/>
  <c r="J77" i="12"/>
  <c r="K77" i="12"/>
  <c r="G78" i="12"/>
  <c r="L77" i="12" s="1"/>
  <c r="H78" i="12"/>
  <c r="N77" i="12" s="1"/>
  <c r="I78" i="12"/>
  <c r="J78" i="12"/>
  <c r="K78" i="12"/>
  <c r="G79" i="12"/>
  <c r="L78" i="12" s="1"/>
  <c r="H79" i="12"/>
  <c r="N78" i="12" s="1"/>
  <c r="I79" i="12"/>
  <c r="J79" i="12"/>
  <c r="K79" i="12"/>
  <c r="G80" i="12"/>
  <c r="L79" i="12" s="1"/>
  <c r="H80" i="12"/>
  <c r="N79" i="12" s="1"/>
  <c r="I80" i="12"/>
  <c r="J80" i="12"/>
  <c r="K80" i="12"/>
  <c r="L80" i="12"/>
  <c r="M80" i="12"/>
  <c r="N80" i="12"/>
  <c r="G81" i="12"/>
  <c r="H81" i="12"/>
  <c r="I81" i="12"/>
  <c r="J81" i="12"/>
  <c r="K81" i="12"/>
  <c r="G82" i="12"/>
  <c r="L81" i="12" s="1"/>
  <c r="H82" i="12"/>
  <c r="N81" i="12" s="1"/>
  <c r="I82" i="12"/>
  <c r="J82" i="12"/>
  <c r="K82" i="12"/>
  <c r="G83" i="12"/>
  <c r="L82" i="12" s="1"/>
  <c r="H83" i="12"/>
  <c r="N82" i="12" s="1"/>
  <c r="I83" i="12"/>
  <c r="J83" i="12"/>
  <c r="K83" i="12"/>
  <c r="L83" i="12"/>
  <c r="M83" i="12"/>
  <c r="N83" i="12"/>
  <c r="G84" i="12"/>
  <c r="H84" i="12"/>
  <c r="I84" i="12"/>
  <c r="J84" i="12"/>
  <c r="K84" i="12"/>
  <c r="G85" i="12"/>
  <c r="L84" i="12" s="1"/>
  <c r="H85" i="12"/>
  <c r="N84" i="12" s="1"/>
  <c r="I85" i="12"/>
  <c r="J85" i="12"/>
  <c r="K85" i="12"/>
  <c r="L85" i="12"/>
  <c r="M85" i="12"/>
  <c r="N85" i="12"/>
  <c r="G86" i="12"/>
  <c r="H86" i="12"/>
  <c r="I86" i="12"/>
  <c r="J86" i="12"/>
  <c r="K86" i="12"/>
  <c r="L86" i="12"/>
  <c r="M86" i="12"/>
  <c r="N86" i="12"/>
  <c r="G87" i="12"/>
  <c r="H87" i="12"/>
  <c r="I87" i="12"/>
  <c r="J87" i="12"/>
  <c r="K87" i="12"/>
  <c r="L87" i="12"/>
  <c r="M87" i="12"/>
  <c r="N87" i="12"/>
  <c r="G88" i="12"/>
  <c r="H88" i="12"/>
  <c r="I88" i="12"/>
  <c r="J88" i="12"/>
  <c r="K88" i="12"/>
  <c r="L88" i="12"/>
  <c r="M88" i="12"/>
  <c r="N88" i="12"/>
  <c r="G89" i="12"/>
  <c r="H89" i="12"/>
  <c r="I89" i="12"/>
  <c r="J89" i="12"/>
  <c r="K89" i="12"/>
  <c r="G90" i="12"/>
  <c r="L89" i="12" s="1"/>
  <c r="H90" i="12"/>
  <c r="N89" i="12" s="1"/>
  <c r="I90" i="12"/>
  <c r="J90" i="12"/>
  <c r="K90" i="12"/>
  <c r="G91" i="12"/>
  <c r="L90" i="12" s="1"/>
  <c r="H91" i="12"/>
  <c r="N90" i="12" s="1"/>
  <c r="I91" i="12"/>
  <c r="J91" i="12"/>
  <c r="K91" i="12"/>
  <c r="L91" i="12"/>
  <c r="M91" i="12"/>
  <c r="N91" i="12"/>
  <c r="G92" i="12"/>
  <c r="H92" i="12"/>
  <c r="I92" i="12"/>
  <c r="J92" i="12"/>
  <c r="K92" i="12"/>
  <c r="L92" i="12"/>
  <c r="M92" i="12"/>
  <c r="N92" i="12"/>
  <c r="G93" i="12"/>
  <c r="H93" i="12"/>
  <c r="I93" i="12"/>
  <c r="J93" i="12"/>
  <c r="K93" i="12"/>
  <c r="G94" i="12"/>
  <c r="L93" i="12" s="1"/>
  <c r="H94" i="12"/>
  <c r="N93" i="12" s="1"/>
  <c r="I94" i="12"/>
  <c r="J94" i="12"/>
  <c r="K94" i="12"/>
  <c r="G95" i="12"/>
  <c r="L94" i="12" s="1"/>
  <c r="H95" i="12"/>
  <c r="N94" i="12" s="1"/>
  <c r="I95" i="12"/>
  <c r="J95" i="12"/>
  <c r="K95" i="12"/>
  <c r="G96" i="12"/>
  <c r="L95" i="12" s="1"/>
  <c r="H96" i="12"/>
  <c r="N95" i="12" s="1"/>
  <c r="I96" i="12"/>
  <c r="J96" i="12"/>
  <c r="K96" i="12"/>
  <c r="G97" i="12"/>
  <c r="L96" i="12" s="1"/>
  <c r="H97" i="12"/>
  <c r="N96" i="12" s="1"/>
  <c r="I97" i="12"/>
  <c r="J97" i="12"/>
  <c r="K97" i="12"/>
  <c r="L97" i="12"/>
  <c r="M97" i="12"/>
  <c r="N97" i="12"/>
  <c r="G98" i="12"/>
  <c r="H98" i="12"/>
  <c r="I98" i="12"/>
  <c r="J98" i="12"/>
  <c r="K98" i="12"/>
  <c r="L98" i="12"/>
  <c r="M98" i="12"/>
  <c r="N98" i="12"/>
  <c r="G99" i="12"/>
  <c r="H99" i="12"/>
  <c r="I99" i="12"/>
  <c r="J99" i="12"/>
  <c r="K99" i="12"/>
  <c r="G100" i="12"/>
  <c r="L99" i="12" s="1"/>
  <c r="H100" i="12"/>
  <c r="N99" i="12" s="1"/>
  <c r="I100" i="12"/>
  <c r="J100" i="12"/>
  <c r="K100" i="12"/>
  <c r="G101" i="12"/>
  <c r="L100" i="12" s="1"/>
  <c r="H101" i="12"/>
  <c r="N100" i="12" s="1"/>
  <c r="I101" i="12"/>
  <c r="J101" i="12"/>
  <c r="K101" i="12"/>
  <c r="G102" i="12"/>
  <c r="L101" i="12" s="1"/>
  <c r="H102" i="12"/>
  <c r="N101" i="12" s="1"/>
  <c r="I102" i="12"/>
  <c r="J102" i="12"/>
  <c r="K102" i="12"/>
  <c r="G103" i="12"/>
  <c r="L102" i="12" s="1"/>
  <c r="H103" i="12"/>
  <c r="N102" i="12" s="1"/>
  <c r="I103" i="12"/>
  <c r="J103" i="12"/>
  <c r="K103" i="12"/>
  <c r="L103" i="12"/>
  <c r="M103" i="12"/>
  <c r="N103" i="12"/>
  <c r="G104" i="12"/>
  <c r="H104" i="12"/>
  <c r="I104" i="12"/>
  <c r="J104" i="12"/>
  <c r="K104" i="12"/>
  <c r="G105" i="12"/>
  <c r="L104" i="12" s="1"/>
  <c r="H105" i="12"/>
  <c r="N104" i="12" s="1"/>
  <c r="I105" i="12"/>
  <c r="J105" i="12"/>
  <c r="K105" i="12"/>
  <c r="G106" i="12"/>
  <c r="L105" i="12" s="1"/>
  <c r="H106" i="12"/>
  <c r="N105" i="12" s="1"/>
  <c r="I106" i="12"/>
  <c r="J106" i="12"/>
  <c r="K106" i="12"/>
  <c r="G107" i="12"/>
  <c r="L106" i="12" s="1"/>
  <c r="H107" i="12"/>
  <c r="N106" i="12" s="1"/>
  <c r="I107" i="12"/>
  <c r="J107" i="12"/>
  <c r="K107" i="12"/>
  <c r="G108" i="12"/>
  <c r="L107" i="12" s="1"/>
  <c r="H108" i="12"/>
  <c r="N107" i="12" s="1"/>
  <c r="I108" i="12"/>
  <c r="J108" i="12"/>
  <c r="K108" i="12"/>
  <c r="G109" i="12"/>
  <c r="L108" i="12" s="1"/>
  <c r="H109" i="12"/>
  <c r="N108" i="12" s="1"/>
  <c r="I109" i="12"/>
  <c r="J109" i="12"/>
  <c r="K109" i="12"/>
  <c r="G110" i="12"/>
  <c r="L109" i="12" s="1"/>
  <c r="H110" i="12"/>
  <c r="N109" i="12" s="1"/>
  <c r="I110" i="12"/>
  <c r="J110" i="12"/>
  <c r="K110" i="12"/>
  <c r="L110" i="12"/>
  <c r="M110" i="12"/>
  <c r="N110" i="12"/>
  <c r="G111" i="12"/>
  <c r="H111" i="12"/>
  <c r="I111" i="12"/>
  <c r="J111" i="12"/>
  <c r="K111" i="12"/>
  <c r="L111" i="12"/>
  <c r="M111" i="12"/>
  <c r="N111" i="12"/>
  <c r="G112" i="12"/>
  <c r="H112" i="12"/>
  <c r="I112" i="12"/>
  <c r="J112" i="12"/>
  <c r="K112" i="12"/>
  <c r="L112" i="12"/>
  <c r="M112" i="12"/>
  <c r="N112" i="12"/>
  <c r="G113" i="12"/>
  <c r="H113" i="12"/>
  <c r="I113" i="12"/>
  <c r="J113" i="12"/>
  <c r="K113" i="12"/>
  <c r="L113" i="12"/>
  <c r="M113" i="12"/>
  <c r="N113" i="12"/>
  <c r="G114" i="12"/>
  <c r="H114" i="12"/>
  <c r="I114" i="12"/>
  <c r="J114" i="12"/>
  <c r="K114" i="12"/>
  <c r="L114" i="12"/>
  <c r="M114" i="12"/>
  <c r="N114" i="12"/>
  <c r="G115" i="12"/>
  <c r="H115" i="12"/>
  <c r="I115" i="12"/>
  <c r="J115" i="12"/>
  <c r="K115" i="12"/>
  <c r="G116" i="12"/>
  <c r="L115" i="12" s="1"/>
  <c r="H116" i="12"/>
  <c r="N115" i="12" s="1"/>
  <c r="I116" i="12"/>
  <c r="J116" i="12"/>
  <c r="K116" i="12"/>
  <c r="G117" i="12"/>
  <c r="L116" i="12" s="1"/>
  <c r="H117" i="12"/>
  <c r="N116" i="12" s="1"/>
  <c r="I117" i="12"/>
  <c r="J117" i="12"/>
  <c r="K117" i="12"/>
  <c r="G118" i="12"/>
  <c r="L117" i="12" s="1"/>
  <c r="H118" i="12"/>
  <c r="N117" i="12" s="1"/>
  <c r="I118" i="12"/>
  <c r="J118" i="12"/>
  <c r="K118" i="12"/>
  <c r="G119" i="12"/>
  <c r="L118" i="12" s="1"/>
  <c r="H119" i="12"/>
  <c r="N118" i="12" s="1"/>
  <c r="I119" i="12"/>
  <c r="J119" i="12"/>
  <c r="K119" i="12"/>
  <c r="G120" i="12"/>
  <c r="L119" i="12" s="1"/>
  <c r="H120" i="12"/>
  <c r="N119" i="12" s="1"/>
  <c r="I120" i="12"/>
  <c r="J120" i="12"/>
  <c r="K120" i="12"/>
  <c r="L120" i="12"/>
  <c r="M120" i="12"/>
  <c r="N120" i="12"/>
  <c r="G121" i="12"/>
  <c r="H121" i="12"/>
  <c r="I121" i="12"/>
  <c r="J121" i="12"/>
  <c r="K121" i="12"/>
  <c r="G122" i="12"/>
  <c r="L121" i="12" s="1"/>
  <c r="H122" i="12"/>
  <c r="N121" i="12" s="1"/>
  <c r="I122" i="12"/>
  <c r="J122" i="12"/>
  <c r="K122" i="12"/>
  <c r="G123" i="12"/>
  <c r="L122" i="12" s="1"/>
  <c r="H123" i="12"/>
  <c r="N122" i="12" s="1"/>
  <c r="I123" i="12"/>
  <c r="J123" i="12"/>
  <c r="K123" i="12"/>
  <c r="G124" i="12"/>
  <c r="L123" i="12" s="1"/>
  <c r="H124" i="12"/>
  <c r="N123" i="12" s="1"/>
  <c r="I124" i="12"/>
  <c r="J124" i="12"/>
  <c r="K124" i="12"/>
  <c r="G125" i="12"/>
  <c r="L124" i="12" s="1"/>
  <c r="H125" i="12"/>
  <c r="N124" i="12" s="1"/>
  <c r="I125" i="12"/>
  <c r="J125" i="12"/>
  <c r="K125" i="12"/>
  <c r="G126" i="12"/>
  <c r="L125" i="12" s="1"/>
  <c r="H126" i="12"/>
  <c r="N125" i="12" s="1"/>
  <c r="I126" i="12"/>
  <c r="J126" i="12"/>
  <c r="K126" i="12"/>
  <c r="G127" i="12"/>
  <c r="L126" i="12" s="1"/>
  <c r="H127" i="12"/>
  <c r="N126" i="12" s="1"/>
  <c r="I127" i="12"/>
  <c r="J127" i="12"/>
  <c r="K127" i="12"/>
  <c r="L127" i="12"/>
  <c r="M127" i="12"/>
  <c r="N127" i="12"/>
  <c r="G128" i="12"/>
  <c r="H128" i="12"/>
  <c r="I128" i="12"/>
  <c r="J128" i="12"/>
  <c r="K128" i="12"/>
  <c r="G129" i="12"/>
  <c r="L128" i="12" s="1"/>
  <c r="H129" i="12"/>
  <c r="N128" i="12" s="1"/>
  <c r="I129" i="12"/>
  <c r="J129" i="12"/>
  <c r="K129" i="12"/>
  <c r="G130" i="12"/>
  <c r="L129" i="12" s="1"/>
  <c r="H130" i="12"/>
  <c r="N129" i="12" s="1"/>
  <c r="I130" i="12"/>
  <c r="J130" i="12"/>
  <c r="K130" i="12"/>
  <c r="L130" i="12"/>
  <c r="M130" i="12"/>
  <c r="N130" i="12"/>
  <c r="G131" i="12"/>
  <c r="H131" i="12"/>
  <c r="I131" i="12"/>
  <c r="J131" i="12"/>
  <c r="K131" i="12"/>
  <c r="G132" i="12"/>
  <c r="L131" i="12" s="1"/>
  <c r="H132" i="12"/>
  <c r="N131" i="12" s="1"/>
  <c r="I132" i="12"/>
  <c r="J132" i="12"/>
  <c r="K132" i="12"/>
  <c r="G133" i="12"/>
  <c r="L132" i="12" s="1"/>
  <c r="H133" i="12"/>
  <c r="N132" i="12" s="1"/>
  <c r="I133" i="12"/>
  <c r="J133" i="12"/>
  <c r="K133" i="12"/>
  <c r="G134" i="12"/>
  <c r="L133" i="12" s="1"/>
  <c r="H134" i="12"/>
  <c r="N133" i="12" s="1"/>
  <c r="I134" i="12"/>
  <c r="J134" i="12"/>
  <c r="K134" i="12"/>
  <c r="G135" i="12"/>
  <c r="L134" i="12" s="1"/>
  <c r="H135" i="12"/>
  <c r="N134" i="12" s="1"/>
  <c r="I135" i="12"/>
  <c r="J135" i="12"/>
  <c r="K135" i="12"/>
  <c r="G136" i="12"/>
  <c r="L135" i="12" s="1"/>
  <c r="H136" i="12"/>
  <c r="N135" i="12" s="1"/>
  <c r="I136" i="12"/>
  <c r="J136" i="12"/>
  <c r="K136" i="12"/>
  <c r="G137" i="12"/>
  <c r="L136" i="12" s="1"/>
  <c r="H137" i="12"/>
  <c r="N136" i="12" s="1"/>
  <c r="I137" i="12"/>
  <c r="J137" i="12"/>
  <c r="K137" i="12"/>
  <c r="G138" i="12"/>
  <c r="L137" i="12" s="1"/>
  <c r="H138" i="12"/>
  <c r="N137" i="12" s="1"/>
  <c r="I138" i="12"/>
  <c r="J138" i="12"/>
  <c r="K138" i="12"/>
  <c r="L138" i="12"/>
  <c r="M138" i="12"/>
  <c r="N138" i="12"/>
  <c r="G139" i="12"/>
  <c r="H139" i="12"/>
  <c r="I139" i="12"/>
  <c r="J139" i="12"/>
  <c r="K139" i="12"/>
  <c r="G140" i="12"/>
  <c r="L139" i="12" s="1"/>
  <c r="H140" i="12"/>
  <c r="N139" i="12" s="1"/>
  <c r="I140" i="12"/>
  <c r="J140" i="12"/>
  <c r="K140" i="12"/>
  <c r="L140" i="12"/>
  <c r="M140" i="12"/>
  <c r="N140" i="12"/>
  <c r="G141" i="12"/>
  <c r="H141" i="12"/>
  <c r="I141" i="12"/>
  <c r="J141" i="12"/>
  <c r="K141" i="12"/>
  <c r="G142" i="12"/>
  <c r="L141" i="12" s="1"/>
  <c r="H142" i="12"/>
  <c r="N141" i="12" s="1"/>
  <c r="I142" i="12"/>
  <c r="J142" i="12"/>
  <c r="K142" i="12"/>
  <c r="G143" i="12"/>
  <c r="L142" i="12" s="1"/>
  <c r="H143" i="12"/>
  <c r="N142" i="12" s="1"/>
  <c r="I143" i="12"/>
  <c r="J143" i="12"/>
  <c r="K143" i="12"/>
  <c r="L143" i="12"/>
  <c r="M143" i="12"/>
  <c r="N143" i="12"/>
  <c r="G144" i="12"/>
  <c r="H144" i="12"/>
  <c r="I144" i="12"/>
  <c r="J144" i="12"/>
  <c r="K144" i="12"/>
  <c r="G145" i="12"/>
  <c r="L144" i="12" s="1"/>
  <c r="H145" i="12"/>
  <c r="N144" i="12" s="1"/>
  <c r="I145" i="12"/>
  <c r="J145" i="12"/>
  <c r="K145" i="12"/>
  <c r="L145" i="12"/>
  <c r="M145" i="12"/>
  <c r="N145" i="12"/>
  <c r="G146" i="12"/>
  <c r="H146" i="12"/>
  <c r="I146" i="12"/>
  <c r="J146" i="12"/>
  <c r="K146" i="12"/>
  <c r="L146" i="12"/>
  <c r="M146" i="12"/>
  <c r="N146" i="12"/>
  <c r="G147" i="12"/>
  <c r="H147" i="12"/>
  <c r="I147" i="12"/>
  <c r="J147" i="12"/>
  <c r="K147" i="12"/>
  <c r="L147" i="12"/>
  <c r="M147" i="12"/>
  <c r="N147" i="12"/>
  <c r="G148" i="12"/>
  <c r="H148" i="12"/>
  <c r="I148" i="12"/>
  <c r="J148" i="12"/>
  <c r="K148" i="12"/>
  <c r="G149" i="12"/>
  <c r="L148" i="12" s="1"/>
  <c r="H149" i="12"/>
  <c r="N148" i="12" s="1"/>
  <c r="I149" i="12"/>
  <c r="J149" i="12"/>
  <c r="K149" i="12"/>
  <c r="G150" i="12"/>
  <c r="L149" i="12" s="1"/>
  <c r="H150" i="12"/>
  <c r="N149" i="12" s="1"/>
  <c r="I150" i="12"/>
  <c r="J150" i="12"/>
  <c r="K150" i="12"/>
  <c r="G151" i="12"/>
  <c r="L150" i="12" s="1"/>
  <c r="H151" i="12"/>
  <c r="N150" i="12" s="1"/>
  <c r="I151" i="12"/>
  <c r="J151" i="12"/>
  <c r="K151" i="12"/>
  <c r="G152" i="12"/>
  <c r="L151" i="12" s="1"/>
  <c r="H152" i="12"/>
  <c r="N151" i="12" s="1"/>
  <c r="I152" i="12"/>
  <c r="J152" i="12"/>
  <c r="K152" i="12"/>
  <c r="G153" i="12"/>
  <c r="L152" i="12" s="1"/>
  <c r="H153" i="12"/>
  <c r="N152" i="12" s="1"/>
  <c r="I153" i="12"/>
  <c r="J153" i="12"/>
  <c r="K153" i="12"/>
  <c r="G154" i="12"/>
  <c r="L153" i="12" s="1"/>
  <c r="H154" i="12"/>
  <c r="N153" i="12" s="1"/>
  <c r="I154" i="12"/>
  <c r="J154" i="12"/>
  <c r="K154" i="12"/>
  <c r="G155" i="12"/>
  <c r="L154" i="12" s="1"/>
  <c r="H155" i="12"/>
  <c r="N154" i="12" s="1"/>
  <c r="I155" i="12"/>
  <c r="J155" i="12"/>
  <c r="K155" i="12"/>
  <c r="G156" i="12"/>
  <c r="L155" i="12" s="1"/>
  <c r="H156" i="12"/>
  <c r="N155" i="12" s="1"/>
  <c r="I156" i="12"/>
  <c r="J156" i="12"/>
  <c r="K156" i="12"/>
  <c r="G157" i="12"/>
  <c r="L156" i="12" s="1"/>
  <c r="H157" i="12"/>
  <c r="N156" i="12" s="1"/>
  <c r="I157" i="12"/>
  <c r="J157" i="12"/>
  <c r="K157" i="12"/>
  <c r="G158" i="12"/>
  <c r="L157" i="12" s="1"/>
  <c r="H158" i="12"/>
  <c r="N157" i="12" s="1"/>
  <c r="I158" i="12"/>
  <c r="J158" i="12"/>
  <c r="K158" i="12"/>
  <c r="G159" i="12"/>
  <c r="L158" i="12" s="1"/>
  <c r="H159" i="12"/>
  <c r="N158" i="12" s="1"/>
  <c r="I159" i="12"/>
  <c r="J159" i="12"/>
  <c r="K159" i="12"/>
  <c r="G160" i="12"/>
  <c r="L159" i="12" s="1"/>
  <c r="H160" i="12"/>
  <c r="N159" i="12" s="1"/>
  <c r="I160" i="12"/>
  <c r="J160" i="12"/>
  <c r="K160" i="12"/>
  <c r="G161" i="12"/>
  <c r="L160" i="12" s="1"/>
  <c r="H161" i="12"/>
  <c r="N160" i="12" s="1"/>
  <c r="I161" i="12"/>
  <c r="J161" i="12"/>
  <c r="K161" i="12"/>
  <c r="G162" i="12"/>
  <c r="L161" i="12" s="1"/>
  <c r="H162" i="12"/>
  <c r="N161" i="12" s="1"/>
  <c r="I162" i="12"/>
  <c r="J162" i="12"/>
  <c r="K162" i="12"/>
  <c r="G163" i="12"/>
  <c r="L162" i="12" s="1"/>
  <c r="H163" i="12"/>
  <c r="N162" i="12" s="1"/>
  <c r="I163" i="12"/>
  <c r="J163" i="12"/>
  <c r="K163" i="12"/>
  <c r="G164" i="12"/>
  <c r="L163" i="12" s="1"/>
  <c r="H164" i="12"/>
  <c r="N163" i="12" s="1"/>
  <c r="I164" i="12"/>
  <c r="J164" i="12"/>
  <c r="K164" i="12"/>
  <c r="G165" i="12"/>
  <c r="L164" i="12" s="1"/>
  <c r="H165" i="12"/>
  <c r="N164" i="12" s="1"/>
  <c r="I165" i="12"/>
  <c r="J165" i="12"/>
  <c r="K165" i="12"/>
  <c r="G166" i="12"/>
  <c r="L165" i="12" s="1"/>
  <c r="H166" i="12"/>
  <c r="N165" i="12" s="1"/>
  <c r="I166" i="12"/>
  <c r="J166" i="12"/>
  <c r="K166" i="12"/>
  <c r="G167" i="12"/>
  <c r="L166" i="12" s="1"/>
  <c r="H167" i="12"/>
  <c r="N166" i="12" s="1"/>
  <c r="I167" i="12"/>
  <c r="J167" i="12"/>
  <c r="K167" i="12"/>
  <c r="G168" i="12"/>
  <c r="L167" i="12" s="1"/>
  <c r="H168" i="12"/>
  <c r="N167" i="12" s="1"/>
  <c r="I168" i="12"/>
  <c r="J168" i="12"/>
  <c r="K168" i="12"/>
  <c r="G169" i="12"/>
  <c r="L168" i="12" s="1"/>
  <c r="H169" i="12"/>
  <c r="N168" i="12" s="1"/>
  <c r="I169" i="12"/>
  <c r="J169" i="12"/>
  <c r="K169" i="12"/>
  <c r="L169" i="12"/>
  <c r="M169" i="12"/>
  <c r="N169" i="12"/>
  <c r="G170" i="12"/>
  <c r="H170" i="12"/>
  <c r="I170" i="12"/>
  <c r="J170" i="12"/>
  <c r="K170" i="12"/>
  <c r="G171" i="12"/>
  <c r="L170" i="12" s="1"/>
  <c r="H171" i="12"/>
  <c r="N170" i="12" s="1"/>
  <c r="I171" i="12"/>
  <c r="J171" i="12"/>
  <c r="K171" i="12"/>
  <c r="G172" i="12"/>
  <c r="L171" i="12" s="1"/>
  <c r="H172" i="12"/>
  <c r="N171" i="12" s="1"/>
  <c r="I172" i="12"/>
  <c r="J172" i="12"/>
  <c r="K172" i="12"/>
  <c r="G173" i="12"/>
  <c r="L172" i="12" s="1"/>
  <c r="H173" i="12"/>
  <c r="N172" i="12" s="1"/>
  <c r="I173" i="12"/>
  <c r="J173" i="12"/>
  <c r="K173" i="12"/>
  <c r="G174" i="12"/>
  <c r="L173" i="12" s="1"/>
  <c r="H174" i="12"/>
  <c r="N173" i="12" s="1"/>
  <c r="I174" i="12"/>
  <c r="J174" i="12"/>
  <c r="K174" i="12"/>
  <c r="L174" i="12"/>
  <c r="M174" i="12"/>
  <c r="N174" i="12"/>
  <c r="G175" i="12"/>
  <c r="H175" i="12"/>
  <c r="I175" i="12"/>
  <c r="J175" i="12"/>
  <c r="K175" i="12"/>
  <c r="G176" i="12"/>
  <c r="L175" i="12" s="1"/>
  <c r="H176" i="12"/>
  <c r="N175" i="12" s="1"/>
  <c r="I176" i="12"/>
  <c r="J176" i="12"/>
  <c r="K176" i="12"/>
  <c r="G177" i="12"/>
  <c r="L176" i="12" s="1"/>
  <c r="H177" i="12"/>
  <c r="N176" i="12" s="1"/>
  <c r="I177" i="12"/>
  <c r="J177" i="12"/>
  <c r="K177" i="12"/>
  <c r="G178" i="12"/>
  <c r="L177" i="12" s="1"/>
  <c r="H178" i="12"/>
  <c r="N177" i="12" s="1"/>
  <c r="I178" i="12"/>
  <c r="J178" i="12"/>
  <c r="K178" i="12"/>
  <c r="G179" i="12"/>
  <c r="L178" i="12" s="1"/>
  <c r="H179" i="12"/>
  <c r="N178" i="12" s="1"/>
  <c r="I179" i="12"/>
  <c r="J179" i="12"/>
  <c r="K179" i="12"/>
  <c r="G180" i="12"/>
  <c r="L179" i="12" s="1"/>
  <c r="H180" i="12"/>
  <c r="N179" i="12" s="1"/>
  <c r="I180" i="12"/>
  <c r="J180" i="12"/>
  <c r="K180" i="12"/>
  <c r="G181" i="12"/>
  <c r="L180" i="12" s="1"/>
  <c r="H181" i="12"/>
  <c r="N180" i="12" s="1"/>
  <c r="I181" i="12"/>
  <c r="J181" i="12"/>
  <c r="K181" i="12"/>
  <c r="G182" i="12"/>
  <c r="L181" i="12" s="1"/>
  <c r="H182" i="12"/>
  <c r="N181" i="12" s="1"/>
  <c r="I182" i="12"/>
  <c r="J182" i="12"/>
  <c r="K182" i="12"/>
  <c r="L182" i="12"/>
  <c r="M182" i="12"/>
  <c r="N182" i="12"/>
  <c r="G183" i="12"/>
  <c r="H183" i="12"/>
  <c r="I183" i="12"/>
  <c r="J183" i="12"/>
  <c r="K183" i="12"/>
  <c r="G184" i="12"/>
  <c r="L183" i="12" s="1"/>
  <c r="H184" i="12"/>
  <c r="N183" i="12" s="1"/>
  <c r="I184" i="12"/>
  <c r="J184" i="12"/>
  <c r="K184" i="12"/>
  <c r="L184" i="12"/>
  <c r="M184" i="12"/>
  <c r="N184" i="12"/>
  <c r="G185" i="12"/>
  <c r="H185" i="12"/>
  <c r="I185" i="12"/>
  <c r="J185" i="12"/>
  <c r="K185" i="12"/>
  <c r="G186" i="12"/>
  <c r="L185" i="12" s="1"/>
  <c r="H186" i="12"/>
  <c r="N185" i="12" s="1"/>
  <c r="I186" i="12"/>
  <c r="J186" i="12"/>
  <c r="K186" i="12"/>
  <c r="G187" i="12"/>
  <c r="L186" i="12" s="1"/>
  <c r="H187" i="12"/>
  <c r="N186" i="12" s="1"/>
  <c r="I187" i="12"/>
  <c r="J187" i="12"/>
  <c r="K187" i="12"/>
  <c r="G188" i="12"/>
  <c r="L187" i="12" s="1"/>
  <c r="H188" i="12"/>
  <c r="N187" i="12" s="1"/>
  <c r="I188" i="12"/>
  <c r="J188" i="12"/>
  <c r="K188" i="12"/>
  <c r="G189" i="12"/>
  <c r="L188" i="12" s="1"/>
  <c r="H189" i="12"/>
  <c r="N188" i="12" s="1"/>
  <c r="I189" i="12"/>
  <c r="J189" i="12"/>
  <c r="K189" i="12"/>
  <c r="G190" i="12"/>
  <c r="L189" i="12" s="1"/>
  <c r="H190" i="12"/>
  <c r="N189" i="12" s="1"/>
  <c r="I190" i="12"/>
  <c r="J190" i="12"/>
  <c r="K190" i="12"/>
  <c r="G191" i="12"/>
  <c r="L190" i="12" s="1"/>
  <c r="H191" i="12"/>
  <c r="N190" i="12" s="1"/>
  <c r="I191" i="12"/>
  <c r="J191" i="12"/>
  <c r="K191" i="12"/>
  <c r="G192" i="12"/>
  <c r="L191" i="12" s="1"/>
  <c r="H192" i="12"/>
  <c r="N191" i="12" s="1"/>
  <c r="I192" i="12"/>
  <c r="J192" i="12"/>
  <c r="K192" i="12"/>
  <c r="L192" i="12"/>
  <c r="M192" i="12"/>
  <c r="N192" i="12"/>
  <c r="G193" i="12"/>
  <c r="H193" i="12"/>
  <c r="I193" i="12"/>
  <c r="J193" i="12"/>
  <c r="K193" i="12"/>
  <c r="G194" i="12"/>
  <c r="L193" i="12" s="1"/>
  <c r="H194" i="12"/>
  <c r="N193" i="12" s="1"/>
  <c r="I194" i="12"/>
  <c r="J194" i="12"/>
  <c r="K194" i="12"/>
  <c r="G195" i="12"/>
  <c r="L194" i="12" s="1"/>
  <c r="H195" i="12"/>
  <c r="N194" i="12" s="1"/>
  <c r="I195" i="12"/>
  <c r="J195" i="12"/>
  <c r="K195" i="12"/>
  <c r="G196" i="12"/>
  <c r="L195" i="12" s="1"/>
  <c r="H196" i="12"/>
  <c r="N195" i="12" s="1"/>
  <c r="I196" i="12"/>
  <c r="J196" i="12"/>
  <c r="K196" i="12"/>
  <c r="G197" i="12"/>
  <c r="L196" i="12" s="1"/>
  <c r="H197" i="12"/>
  <c r="N196" i="12" s="1"/>
  <c r="I197" i="12"/>
  <c r="J197" i="12"/>
  <c r="K197" i="12"/>
  <c r="G198" i="12"/>
  <c r="L197" i="12" s="1"/>
  <c r="H198" i="12"/>
  <c r="N197" i="12" s="1"/>
  <c r="I198" i="12"/>
  <c r="J198" i="12"/>
  <c r="K198" i="12"/>
  <c r="L198" i="12"/>
  <c r="M198" i="12"/>
  <c r="N198" i="12"/>
  <c r="G199" i="12"/>
  <c r="H199" i="12"/>
  <c r="I199" i="12"/>
  <c r="J199" i="12"/>
  <c r="K199" i="12"/>
  <c r="G200" i="12"/>
  <c r="L199" i="12" s="1"/>
  <c r="H200" i="12"/>
  <c r="N199" i="12" s="1"/>
  <c r="I200" i="12"/>
  <c r="J200" i="12"/>
  <c r="K200" i="12"/>
  <c r="G201" i="12"/>
  <c r="L200" i="12" s="1"/>
  <c r="H201" i="12"/>
  <c r="N200" i="12" s="1"/>
  <c r="I201" i="12"/>
  <c r="J201" i="12"/>
  <c r="K201" i="12"/>
  <c r="G202" i="12"/>
  <c r="L201" i="12" s="1"/>
  <c r="H202" i="12"/>
  <c r="N201" i="12" s="1"/>
  <c r="I202" i="12"/>
  <c r="J202" i="12"/>
  <c r="K202" i="12"/>
  <c r="G203" i="12"/>
  <c r="L202" i="12" s="1"/>
  <c r="H203" i="12"/>
  <c r="N202" i="12" s="1"/>
  <c r="I203" i="12"/>
  <c r="J203" i="12"/>
  <c r="K203" i="12"/>
  <c r="G204" i="12"/>
  <c r="L203" i="12" s="1"/>
  <c r="H204" i="12"/>
  <c r="N203" i="12" s="1"/>
  <c r="I204" i="12"/>
  <c r="J204" i="12"/>
  <c r="K204" i="12"/>
  <c r="L204" i="12"/>
  <c r="M204" i="12"/>
  <c r="N204" i="12"/>
  <c r="G205" i="12"/>
  <c r="H205" i="12"/>
  <c r="I205" i="12"/>
  <c r="J205" i="12"/>
  <c r="K205" i="12"/>
  <c r="G206" i="12"/>
  <c r="L205" i="12" s="1"/>
  <c r="H206" i="12"/>
  <c r="N205" i="12" s="1"/>
  <c r="I206" i="12"/>
  <c r="J206" i="12"/>
  <c r="K206" i="12"/>
  <c r="L206" i="12"/>
  <c r="M206" i="12"/>
  <c r="N206" i="12"/>
  <c r="G207" i="12"/>
  <c r="H207" i="12"/>
  <c r="I207" i="12"/>
  <c r="J207" i="12"/>
  <c r="K207" i="12"/>
  <c r="G208" i="12"/>
  <c r="L207" i="12" s="1"/>
  <c r="H208" i="12"/>
  <c r="N207" i="12" s="1"/>
  <c r="I208" i="12"/>
  <c r="J208" i="12"/>
  <c r="K208" i="12"/>
  <c r="G209" i="12"/>
  <c r="L208" i="12" s="1"/>
  <c r="H209" i="12"/>
  <c r="N208" i="12" s="1"/>
  <c r="I209" i="12"/>
  <c r="J209" i="12"/>
  <c r="K209" i="12"/>
  <c r="G210" i="12"/>
  <c r="L209" i="12" s="1"/>
  <c r="H210" i="12"/>
  <c r="N209" i="12" s="1"/>
  <c r="I210" i="12"/>
  <c r="J210" i="12"/>
  <c r="K210" i="12"/>
  <c r="G211" i="12"/>
  <c r="L210" i="12" s="1"/>
  <c r="H211" i="12"/>
  <c r="N210" i="12" s="1"/>
  <c r="I211" i="12"/>
  <c r="J211" i="12"/>
  <c r="K211" i="12"/>
  <c r="G212" i="12"/>
  <c r="L211" i="12" s="1"/>
  <c r="H212" i="12"/>
  <c r="N211" i="12" s="1"/>
  <c r="I212" i="12"/>
  <c r="J212" i="12"/>
  <c r="K212" i="12"/>
  <c r="G213" i="12"/>
  <c r="L212" i="12" s="1"/>
  <c r="H213" i="12"/>
  <c r="N212" i="12" s="1"/>
  <c r="I213" i="12"/>
  <c r="J213" i="12"/>
  <c r="K213" i="12"/>
  <c r="G214" i="12"/>
  <c r="L213" i="12" s="1"/>
  <c r="H214" i="12"/>
  <c r="N213" i="12" s="1"/>
  <c r="I214" i="12"/>
  <c r="J214" i="12"/>
  <c r="K214" i="12"/>
  <c r="G215" i="12"/>
  <c r="L214" i="12" s="1"/>
  <c r="H215" i="12"/>
  <c r="N214" i="12" s="1"/>
  <c r="I215" i="12"/>
  <c r="J215" i="12"/>
  <c r="K215" i="12"/>
  <c r="G216" i="12"/>
  <c r="L215" i="12" s="1"/>
  <c r="H216" i="12"/>
  <c r="N215" i="12" s="1"/>
  <c r="I216" i="12"/>
  <c r="J216" i="12"/>
  <c r="K216" i="12"/>
  <c r="L216" i="12"/>
  <c r="M216" i="12"/>
  <c r="N216" i="12"/>
  <c r="G217" i="12"/>
  <c r="H217" i="12"/>
  <c r="I217" i="12"/>
  <c r="J217" i="12"/>
  <c r="K217" i="12"/>
  <c r="G218" i="12"/>
  <c r="L217" i="12" s="1"/>
  <c r="H218" i="12"/>
  <c r="N217" i="12" s="1"/>
  <c r="I218" i="12"/>
  <c r="J218" i="12"/>
  <c r="K218" i="12"/>
  <c r="G219" i="12"/>
  <c r="L218" i="12" s="1"/>
  <c r="H219" i="12"/>
  <c r="N218" i="12" s="1"/>
  <c r="I219" i="12"/>
  <c r="J219" i="12"/>
  <c r="K219" i="12"/>
  <c r="G220" i="12"/>
  <c r="L219" i="12" s="1"/>
  <c r="H220" i="12"/>
  <c r="N219" i="12" s="1"/>
  <c r="I220" i="12"/>
  <c r="J220" i="12"/>
  <c r="K220" i="12"/>
  <c r="G221" i="12"/>
  <c r="L220" i="12" s="1"/>
  <c r="H221" i="12"/>
  <c r="N220" i="12" s="1"/>
  <c r="I221" i="12"/>
  <c r="J221" i="12"/>
  <c r="K221" i="12"/>
  <c r="L221" i="12"/>
  <c r="M221" i="12"/>
  <c r="N221" i="12"/>
  <c r="G222" i="12"/>
  <c r="H222" i="12"/>
  <c r="I222" i="12"/>
  <c r="J222" i="12"/>
  <c r="K222" i="12"/>
  <c r="L222" i="12"/>
  <c r="M222" i="12"/>
  <c r="N222" i="12"/>
  <c r="G223" i="12"/>
  <c r="H223" i="12"/>
  <c r="I223" i="12"/>
  <c r="J223" i="12"/>
  <c r="K223" i="12"/>
  <c r="L223" i="12"/>
  <c r="M223" i="12"/>
  <c r="N223" i="12"/>
  <c r="G224" i="12"/>
  <c r="H224" i="12"/>
  <c r="I224" i="12"/>
  <c r="J224" i="12"/>
  <c r="K224" i="12"/>
  <c r="G225" i="12"/>
  <c r="L224" i="12" s="1"/>
  <c r="H225" i="12"/>
  <c r="N224" i="12" s="1"/>
  <c r="I225" i="12"/>
  <c r="J225" i="12"/>
  <c r="K225" i="12"/>
  <c r="G226" i="12"/>
  <c r="L225" i="12" s="1"/>
  <c r="H226" i="12"/>
  <c r="N225" i="12" s="1"/>
  <c r="I226" i="12"/>
  <c r="J226" i="12"/>
  <c r="K226" i="12"/>
  <c r="L226" i="12"/>
  <c r="M226" i="12"/>
  <c r="N226" i="12"/>
  <c r="G227" i="12"/>
  <c r="H227" i="12"/>
  <c r="I227" i="12"/>
  <c r="J227" i="12"/>
  <c r="K227" i="12"/>
  <c r="G228" i="12"/>
  <c r="L227" i="12" s="1"/>
  <c r="H228" i="12"/>
  <c r="N227" i="12" s="1"/>
  <c r="I228" i="12"/>
  <c r="J228" i="12"/>
  <c r="K228" i="12"/>
  <c r="G229" i="12"/>
  <c r="L228" i="12" s="1"/>
  <c r="H229" i="12"/>
  <c r="N228" i="12" s="1"/>
  <c r="I229" i="12"/>
  <c r="J229" i="12"/>
  <c r="K229" i="12"/>
  <c r="G230" i="12"/>
  <c r="L229" i="12" s="1"/>
  <c r="H230" i="12"/>
  <c r="N229" i="12" s="1"/>
  <c r="I230" i="12"/>
  <c r="J230" i="12"/>
  <c r="K230" i="12"/>
  <c r="G231" i="12"/>
  <c r="L230" i="12" s="1"/>
  <c r="H231" i="12"/>
  <c r="N230" i="12" s="1"/>
  <c r="I231" i="12"/>
  <c r="J231" i="12"/>
  <c r="K231" i="12"/>
  <c r="G232" i="12"/>
  <c r="L231" i="12" s="1"/>
  <c r="H232" i="12"/>
  <c r="N231" i="12" s="1"/>
  <c r="I232" i="12"/>
  <c r="J232" i="12"/>
  <c r="K232" i="12"/>
  <c r="G233" i="12"/>
  <c r="L232" i="12" s="1"/>
  <c r="H233" i="12"/>
  <c r="N232" i="12" s="1"/>
  <c r="I233" i="12"/>
  <c r="J233" i="12"/>
  <c r="K233" i="12"/>
  <c r="G234" i="12"/>
  <c r="L233" i="12" s="1"/>
  <c r="H234" i="12"/>
  <c r="N233" i="12" s="1"/>
  <c r="I234" i="12"/>
  <c r="J234" i="12"/>
  <c r="K234" i="12"/>
  <c r="G235" i="12"/>
  <c r="L234" i="12" s="1"/>
  <c r="H235" i="12"/>
  <c r="N234" i="12" s="1"/>
  <c r="I235" i="12"/>
  <c r="J235" i="12"/>
  <c r="K235" i="12"/>
  <c r="G236" i="12"/>
  <c r="L235" i="12" s="1"/>
  <c r="H236" i="12"/>
  <c r="N235" i="12" s="1"/>
  <c r="I236" i="12"/>
  <c r="J236" i="12"/>
  <c r="K236" i="12"/>
  <c r="G237" i="12"/>
  <c r="L236" i="12" s="1"/>
  <c r="H237" i="12"/>
  <c r="N236" i="12" s="1"/>
  <c r="I237" i="12"/>
  <c r="J237" i="12"/>
  <c r="K237" i="12"/>
  <c r="G238" i="12"/>
  <c r="L237" i="12" s="1"/>
  <c r="H242" i="12"/>
  <c r="I242" i="12"/>
  <c r="J242" i="12"/>
  <c r="K242" i="12"/>
  <c r="G243" i="12"/>
  <c r="L242" i="12" s="1"/>
  <c r="H243" i="12"/>
  <c r="N242" i="12" s="1"/>
  <c r="I243" i="12"/>
  <c r="J243" i="12"/>
  <c r="K243" i="12"/>
  <c r="G244" i="12"/>
  <c r="L243" i="12" s="1"/>
  <c r="H244" i="12"/>
  <c r="N243" i="12" s="1"/>
  <c r="I244" i="12"/>
  <c r="J244" i="12"/>
  <c r="K244" i="12"/>
  <c r="G245" i="12"/>
  <c r="L244" i="12" s="1"/>
  <c r="H245" i="12"/>
  <c r="N244" i="12" s="1"/>
  <c r="I245" i="12"/>
  <c r="J245" i="12"/>
  <c r="K245" i="12"/>
  <c r="G246" i="12"/>
  <c r="L245" i="12" s="1"/>
  <c r="H246" i="12"/>
  <c r="N245" i="12" s="1"/>
  <c r="I246" i="12"/>
  <c r="J246" i="12"/>
  <c r="K246" i="12"/>
  <c r="G247" i="12"/>
  <c r="L246" i="12" s="1"/>
  <c r="H247" i="12"/>
  <c r="N246" i="12" s="1"/>
  <c r="I247" i="12"/>
  <c r="J247" i="12"/>
  <c r="K247" i="12"/>
  <c r="G248" i="12"/>
  <c r="L247" i="12" s="1"/>
  <c r="H248" i="12"/>
  <c r="N247" i="12" s="1"/>
  <c r="I248" i="12"/>
  <c r="J248" i="12"/>
  <c r="K248" i="12"/>
  <c r="G249" i="12"/>
  <c r="L248" i="12" s="1"/>
  <c r="H249" i="12"/>
  <c r="N248" i="12" s="1"/>
  <c r="I249" i="12"/>
  <c r="J249" i="12"/>
  <c r="K249" i="12"/>
  <c r="G250" i="12"/>
  <c r="L249" i="12" s="1"/>
  <c r="H250" i="12"/>
  <c r="N249" i="12" s="1"/>
  <c r="I250" i="12"/>
  <c r="J250" i="12"/>
  <c r="K250" i="12"/>
  <c r="G251" i="12"/>
  <c r="L250" i="12" s="1"/>
  <c r="H251" i="12"/>
  <c r="N250" i="12" s="1"/>
  <c r="I251" i="12"/>
  <c r="J251" i="12"/>
  <c r="K251" i="12"/>
  <c r="G252" i="12"/>
  <c r="L251" i="12" s="1"/>
  <c r="H252" i="12"/>
  <c r="N251" i="12" s="1"/>
  <c r="I252" i="12"/>
  <c r="J252" i="12"/>
  <c r="K252" i="12"/>
  <c r="G253" i="12"/>
  <c r="L252" i="12" s="1"/>
  <c r="H253" i="12"/>
  <c r="N252" i="12" s="1"/>
  <c r="I253" i="12"/>
  <c r="J253" i="12"/>
  <c r="K253" i="12"/>
  <c r="G254" i="12"/>
  <c r="L253" i="12" s="1"/>
  <c r="H254" i="12"/>
  <c r="N253" i="12" s="1"/>
  <c r="I254" i="12"/>
  <c r="J254" i="12"/>
  <c r="K254" i="12"/>
  <c r="G255" i="12"/>
  <c r="L254" i="12" s="1"/>
  <c r="H255" i="12"/>
  <c r="N254" i="12" s="1"/>
  <c r="I255" i="12"/>
  <c r="J255" i="12"/>
  <c r="K255" i="12"/>
  <c r="G256" i="12"/>
  <c r="L255" i="12" s="1"/>
  <c r="H256" i="12"/>
  <c r="N255" i="12" s="1"/>
  <c r="I256" i="12"/>
  <c r="J256" i="12"/>
  <c r="K256" i="12"/>
  <c r="G257" i="12"/>
  <c r="L256" i="12" s="1"/>
  <c r="H257" i="12"/>
  <c r="N256" i="12" s="1"/>
  <c r="I257" i="12"/>
  <c r="J257" i="12"/>
  <c r="K257" i="12"/>
  <c r="L257" i="12"/>
  <c r="M257" i="12"/>
  <c r="N257" i="12"/>
  <c r="G258" i="12"/>
  <c r="H258" i="12"/>
  <c r="I258" i="12"/>
  <c r="J258" i="12"/>
  <c r="K258" i="12"/>
  <c r="G259" i="12"/>
  <c r="L258" i="12" s="1"/>
  <c r="H259" i="12"/>
  <c r="N258" i="12" s="1"/>
  <c r="I259" i="12"/>
  <c r="J259" i="12"/>
  <c r="K259" i="12"/>
  <c r="G260" i="12"/>
  <c r="L259" i="12" s="1"/>
  <c r="H260" i="12"/>
  <c r="N259" i="12" s="1"/>
  <c r="I260" i="12"/>
  <c r="J260" i="12"/>
  <c r="K260" i="12"/>
  <c r="G261" i="12"/>
  <c r="L260" i="12" s="1"/>
  <c r="H261" i="12"/>
  <c r="N260" i="12" s="1"/>
  <c r="I261" i="12"/>
  <c r="J261" i="12"/>
  <c r="K261" i="12"/>
  <c r="G262" i="12"/>
  <c r="L261" i="12" s="1"/>
  <c r="H262" i="12"/>
  <c r="N261" i="12" s="1"/>
  <c r="I262" i="12"/>
  <c r="J262" i="12"/>
  <c r="K262" i="12"/>
  <c r="G263" i="12"/>
  <c r="L262" i="12" s="1"/>
  <c r="H263" i="12"/>
  <c r="N262" i="12" s="1"/>
  <c r="I263" i="12"/>
  <c r="J263" i="12"/>
  <c r="K263" i="12"/>
  <c r="G264" i="12"/>
  <c r="L263" i="12" s="1"/>
  <c r="H264" i="12"/>
  <c r="N263" i="12" s="1"/>
  <c r="I264" i="12"/>
  <c r="J264" i="12"/>
  <c r="K264" i="12"/>
  <c r="L264" i="12"/>
  <c r="M264" i="12"/>
  <c r="N264" i="12"/>
  <c r="G265" i="12"/>
  <c r="H265" i="12"/>
  <c r="I265" i="12"/>
  <c r="J265" i="12"/>
  <c r="K265" i="12"/>
  <c r="G266" i="12"/>
  <c r="L265" i="12" s="1"/>
  <c r="H266" i="12"/>
  <c r="N265" i="12" s="1"/>
  <c r="I266" i="12"/>
  <c r="J266" i="12"/>
  <c r="K266" i="12"/>
  <c r="G267" i="12"/>
  <c r="L266" i="12" s="1"/>
  <c r="H267" i="12"/>
  <c r="N266" i="12" s="1"/>
  <c r="I267" i="12"/>
  <c r="J267" i="12"/>
  <c r="K267" i="12"/>
  <c r="G268" i="12"/>
  <c r="L267" i="12" s="1"/>
  <c r="H268" i="12"/>
  <c r="N267" i="12" s="1"/>
  <c r="I268" i="12"/>
  <c r="J268" i="12"/>
  <c r="K268" i="12"/>
  <c r="G269" i="12"/>
  <c r="L268" i="12" s="1"/>
  <c r="H269" i="12"/>
  <c r="N268" i="12" s="1"/>
  <c r="I269" i="12"/>
  <c r="J269" i="12"/>
  <c r="K269" i="12"/>
  <c r="G270" i="12"/>
  <c r="L269" i="12" s="1"/>
  <c r="H270" i="12"/>
  <c r="N269" i="12" s="1"/>
  <c r="I270" i="12"/>
  <c r="J270" i="12"/>
  <c r="K270" i="12"/>
  <c r="G271" i="12"/>
  <c r="L270" i="12" s="1"/>
  <c r="H271" i="12"/>
  <c r="N270" i="12" s="1"/>
  <c r="I271" i="12"/>
  <c r="J271" i="12"/>
  <c r="K271" i="12"/>
  <c r="L271" i="12"/>
  <c r="M271" i="12"/>
  <c r="N271" i="12"/>
  <c r="G272" i="12"/>
  <c r="H272" i="12"/>
  <c r="I272" i="12"/>
  <c r="J272" i="12"/>
  <c r="K272" i="12"/>
  <c r="G273" i="12"/>
  <c r="L272" i="12" s="1"/>
  <c r="H273" i="12"/>
  <c r="N272" i="12" s="1"/>
  <c r="I273" i="12"/>
  <c r="J273" i="12"/>
  <c r="K273" i="12"/>
  <c r="L273" i="12"/>
  <c r="M273" i="12"/>
  <c r="N273" i="12"/>
  <c r="G274" i="12"/>
  <c r="H274" i="12"/>
  <c r="I274" i="12"/>
  <c r="J274" i="12"/>
  <c r="K274" i="12"/>
  <c r="G275" i="12"/>
  <c r="L274" i="12" s="1"/>
  <c r="H275" i="12"/>
  <c r="N274" i="12" s="1"/>
  <c r="I275" i="12"/>
  <c r="J275" i="12"/>
  <c r="K275" i="12"/>
  <c r="G276" i="12"/>
  <c r="L275" i="12" s="1"/>
  <c r="H276" i="12"/>
  <c r="N275" i="12" s="1"/>
  <c r="I276" i="12"/>
  <c r="J276" i="12"/>
  <c r="K276" i="12"/>
  <c r="G277" i="12"/>
  <c r="L276" i="12" s="1"/>
  <c r="H277" i="12"/>
  <c r="N276" i="12" s="1"/>
  <c r="I277" i="12"/>
  <c r="J277" i="12"/>
  <c r="K277" i="12"/>
  <c r="G278" i="12"/>
  <c r="L277" i="12" s="1"/>
  <c r="H278" i="12"/>
  <c r="N277" i="12" s="1"/>
  <c r="I278" i="12"/>
  <c r="J278" i="12"/>
  <c r="K278" i="12"/>
  <c r="L278" i="12"/>
  <c r="M278" i="12"/>
  <c r="N278" i="12"/>
  <c r="G279" i="12"/>
  <c r="H279" i="12"/>
  <c r="I279" i="12"/>
  <c r="J279" i="12"/>
  <c r="K279" i="12"/>
  <c r="G280" i="12"/>
  <c r="L279" i="12" s="1"/>
  <c r="H280" i="12"/>
  <c r="N279" i="12" s="1"/>
  <c r="I280" i="12"/>
  <c r="J280" i="12"/>
  <c r="K280" i="12"/>
  <c r="G281" i="12"/>
  <c r="L280" i="12" s="1"/>
  <c r="H281" i="12"/>
  <c r="N280" i="12" s="1"/>
  <c r="I281" i="12"/>
  <c r="J281" i="12"/>
  <c r="K281" i="12"/>
  <c r="G282" i="12"/>
  <c r="L281" i="12" s="1"/>
  <c r="H282" i="12"/>
  <c r="N281" i="12" s="1"/>
  <c r="I282" i="12"/>
  <c r="J282" i="12"/>
  <c r="K282" i="12"/>
  <c r="G283" i="12"/>
  <c r="L282" i="12" s="1"/>
  <c r="H283" i="12"/>
  <c r="N282" i="12" s="1"/>
  <c r="I283" i="12"/>
  <c r="J283" i="12"/>
  <c r="K283" i="12"/>
  <c r="G284" i="12"/>
  <c r="L283" i="12" s="1"/>
  <c r="H284" i="12"/>
  <c r="N283" i="12" s="1"/>
  <c r="I284" i="12"/>
  <c r="J284" i="12"/>
  <c r="K284" i="12"/>
  <c r="G285" i="12"/>
  <c r="L284" i="12" s="1"/>
  <c r="H285" i="12"/>
  <c r="N284" i="12" s="1"/>
  <c r="I285" i="12"/>
  <c r="J285" i="12"/>
  <c r="K285" i="12"/>
  <c r="G286" i="12"/>
  <c r="L285" i="12" s="1"/>
  <c r="H286" i="12"/>
  <c r="N285" i="12" s="1"/>
  <c r="I286" i="12"/>
  <c r="J286" i="12"/>
  <c r="K286" i="12"/>
  <c r="G287" i="12"/>
  <c r="L286" i="12" s="1"/>
  <c r="H287" i="12"/>
  <c r="N286" i="12" s="1"/>
  <c r="I287" i="12"/>
  <c r="J287" i="12"/>
  <c r="K287" i="12"/>
  <c r="L287" i="12"/>
  <c r="M287" i="12"/>
  <c r="N287" i="12"/>
  <c r="G288" i="12"/>
  <c r="H288" i="12"/>
  <c r="I288" i="12"/>
  <c r="J288" i="12"/>
  <c r="K288" i="12"/>
  <c r="G289" i="12"/>
  <c r="L288" i="12" s="1"/>
  <c r="H289" i="12"/>
  <c r="N288" i="12" s="1"/>
  <c r="I289" i="12"/>
  <c r="J289" i="12"/>
  <c r="K289" i="12"/>
  <c r="L289" i="12"/>
  <c r="M289" i="12"/>
  <c r="N289" i="12"/>
  <c r="G290" i="12"/>
  <c r="H290" i="12"/>
  <c r="I290" i="12"/>
  <c r="J290" i="12"/>
  <c r="K290" i="12"/>
  <c r="G291" i="12"/>
  <c r="L290" i="12" s="1"/>
  <c r="H291" i="12"/>
  <c r="N290" i="12" s="1"/>
  <c r="I291" i="12"/>
  <c r="J291" i="12"/>
  <c r="K291" i="12"/>
  <c r="L291" i="12"/>
  <c r="M291" i="12"/>
  <c r="N291" i="12"/>
  <c r="G292" i="12"/>
  <c r="H292" i="12"/>
  <c r="I292" i="12"/>
  <c r="J292" i="12"/>
  <c r="K292" i="12"/>
  <c r="G293" i="12"/>
  <c r="L292" i="12" s="1"/>
  <c r="H293" i="12"/>
  <c r="N292" i="12" s="1"/>
  <c r="I293" i="12"/>
  <c r="J293" i="12"/>
  <c r="K293" i="12"/>
  <c r="G294" i="12"/>
  <c r="L293" i="12" s="1"/>
  <c r="H294" i="12"/>
  <c r="N293" i="12" s="1"/>
  <c r="I294" i="12"/>
  <c r="J294" i="12"/>
  <c r="K294" i="12"/>
  <c r="L294" i="12"/>
  <c r="M294" i="12"/>
  <c r="N294" i="12"/>
  <c r="G295" i="12"/>
  <c r="H295" i="12"/>
  <c r="I295" i="12"/>
  <c r="J295" i="12"/>
  <c r="K295" i="12"/>
  <c r="G296" i="12"/>
  <c r="L295" i="12" s="1"/>
  <c r="H296" i="12"/>
  <c r="N295" i="12" s="1"/>
  <c r="I296" i="12"/>
  <c r="J296" i="12"/>
  <c r="K296" i="12"/>
  <c r="L296" i="12"/>
  <c r="M296" i="12"/>
  <c r="N296" i="12"/>
  <c r="G297" i="12"/>
  <c r="H297" i="12"/>
  <c r="I297" i="12"/>
  <c r="J297" i="12"/>
  <c r="K297" i="12"/>
  <c r="G298" i="12"/>
  <c r="L297" i="12" s="1"/>
  <c r="H298" i="12"/>
  <c r="N297" i="12" s="1"/>
  <c r="I298" i="12"/>
  <c r="J298" i="12"/>
  <c r="K298" i="12"/>
  <c r="G299" i="12"/>
  <c r="L298" i="12" s="1"/>
  <c r="H299" i="12"/>
  <c r="N298" i="12" s="1"/>
  <c r="I299" i="12"/>
  <c r="J299" i="12"/>
  <c r="K299" i="12"/>
  <c r="G300" i="12"/>
  <c r="L299" i="12" s="1"/>
  <c r="H300" i="12"/>
  <c r="N299" i="12" s="1"/>
  <c r="I300" i="12"/>
  <c r="J300" i="12"/>
  <c r="K300" i="12"/>
  <c r="G301" i="12"/>
  <c r="L300" i="12" s="1"/>
  <c r="H301" i="12"/>
  <c r="N300" i="12" s="1"/>
  <c r="I301" i="12"/>
  <c r="J301" i="12"/>
  <c r="K301" i="12"/>
  <c r="G302" i="12"/>
  <c r="L301" i="12" s="1"/>
  <c r="H302" i="12"/>
  <c r="N301" i="12" s="1"/>
  <c r="I302" i="12"/>
  <c r="J302" i="12"/>
  <c r="K302" i="12"/>
  <c r="G303" i="12"/>
  <c r="L302" i="12" s="1"/>
  <c r="H303" i="12"/>
  <c r="N302" i="12" s="1"/>
  <c r="I303" i="12"/>
  <c r="J303" i="12"/>
  <c r="K303" i="12"/>
  <c r="G304" i="12"/>
  <c r="L303" i="12" s="1"/>
  <c r="H304" i="12"/>
  <c r="N303" i="12" s="1"/>
  <c r="I304" i="12"/>
  <c r="J304" i="12"/>
  <c r="K304" i="12"/>
  <c r="G305" i="12"/>
  <c r="L304" i="12" s="1"/>
  <c r="H305" i="12"/>
  <c r="N304" i="12" s="1"/>
  <c r="I305" i="12"/>
  <c r="J305" i="12"/>
  <c r="K305" i="12"/>
  <c r="L305" i="12"/>
  <c r="M305" i="12"/>
  <c r="N305" i="12"/>
  <c r="G306" i="12"/>
  <c r="H306" i="12"/>
  <c r="I306" i="12"/>
  <c r="J306" i="12"/>
  <c r="K306" i="12"/>
  <c r="G307" i="12"/>
  <c r="L306" i="12" s="1"/>
  <c r="H307" i="12"/>
  <c r="N306" i="12" s="1"/>
  <c r="I307" i="12"/>
  <c r="J307" i="12"/>
  <c r="K307" i="12"/>
  <c r="G308" i="12"/>
  <c r="L307" i="12" s="1"/>
  <c r="H308" i="12"/>
  <c r="N307" i="12" s="1"/>
  <c r="I308" i="12"/>
  <c r="J308" i="12"/>
  <c r="K308" i="12"/>
  <c r="G309" i="12"/>
  <c r="L308" i="12" s="1"/>
  <c r="H309" i="12"/>
  <c r="N308" i="12" s="1"/>
  <c r="I309" i="12"/>
  <c r="J309" i="12"/>
  <c r="K309" i="12"/>
  <c r="G310" i="12"/>
  <c r="L309" i="12" s="1"/>
  <c r="H310" i="12"/>
  <c r="N309" i="12" s="1"/>
  <c r="I310" i="12"/>
  <c r="J310" i="12"/>
  <c r="K310" i="12"/>
  <c r="G311" i="12"/>
  <c r="L310" i="12" s="1"/>
  <c r="H311" i="12"/>
  <c r="N310" i="12" s="1"/>
  <c r="I311" i="12"/>
  <c r="J311" i="12"/>
  <c r="K311" i="12"/>
  <c r="G312" i="12"/>
  <c r="L311" i="12" s="1"/>
  <c r="H312" i="12"/>
  <c r="N311" i="12" s="1"/>
  <c r="I312" i="12"/>
  <c r="J312" i="12"/>
  <c r="K312" i="12"/>
  <c r="G313" i="12"/>
  <c r="L312" i="12" s="1"/>
  <c r="H313" i="12"/>
  <c r="N312" i="12" s="1"/>
  <c r="I313" i="12"/>
  <c r="J313" i="12"/>
  <c r="K313" i="12"/>
  <c r="G314" i="12"/>
  <c r="L313" i="12" s="1"/>
  <c r="H314" i="12"/>
  <c r="N313" i="12" s="1"/>
  <c r="I314" i="12"/>
  <c r="J314" i="12"/>
  <c r="K314" i="12"/>
  <c r="G315" i="12"/>
  <c r="L314" i="12" s="1"/>
  <c r="H315" i="12"/>
  <c r="N314" i="12" s="1"/>
  <c r="I315" i="12"/>
  <c r="J315" i="12"/>
  <c r="K315" i="12"/>
  <c r="G316" i="12"/>
  <c r="L315" i="12" s="1"/>
  <c r="H316" i="12"/>
  <c r="N315" i="12" s="1"/>
  <c r="I316" i="12"/>
  <c r="J316" i="12"/>
  <c r="K316" i="12"/>
  <c r="G317" i="12"/>
  <c r="L316" i="12" s="1"/>
  <c r="H317" i="12"/>
  <c r="N316" i="12" s="1"/>
  <c r="I317" i="12"/>
  <c r="J317" i="12"/>
  <c r="K317" i="12"/>
  <c r="G318" i="12"/>
  <c r="L317" i="12" s="1"/>
  <c r="H318" i="12"/>
  <c r="N317" i="12" s="1"/>
  <c r="I318" i="12"/>
  <c r="J318" i="12"/>
  <c r="K318" i="12"/>
  <c r="G319" i="12"/>
  <c r="L318" i="12" s="1"/>
  <c r="H319" i="12"/>
  <c r="N318" i="12" s="1"/>
  <c r="I319" i="12"/>
  <c r="J319" i="12"/>
  <c r="K319" i="12"/>
  <c r="G320" i="12"/>
  <c r="L319" i="12" s="1"/>
  <c r="H320" i="12"/>
  <c r="N319" i="12" s="1"/>
  <c r="I320" i="12"/>
  <c r="J320" i="12"/>
  <c r="K320" i="12"/>
  <c r="G321" i="12"/>
  <c r="L320" i="12" s="1"/>
  <c r="H321" i="12"/>
  <c r="N320" i="12" s="1"/>
  <c r="I321" i="12"/>
  <c r="J321" i="12"/>
  <c r="K321" i="12"/>
  <c r="G322" i="12"/>
  <c r="L321" i="12" s="1"/>
  <c r="H322" i="12"/>
  <c r="N321" i="12" s="1"/>
  <c r="I322" i="12"/>
  <c r="J322" i="12"/>
  <c r="K322" i="12"/>
  <c r="G323" i="12"/>
  <c r="L322" i="12" s="1"/>
  <c r="H323" i="12"/>
  <c r="N322" i="12" s="1"/>
  <c r="I323" i="12"/>
  <c r="J323" i="12"/>
  <c r="K323" i="12"/>
  <c r="G324" i="12"/>
  <c r="L323" i="12" s="1"/>
  <c r="H324" i="12"/>
  <c r="N323" i="12" s="1"/>
  <c r="I324" i="12"/>
  <c r="J324" i="12"/>
  <c r="K324" i="12"/>
  <c r="G325" i="12"/>
  <c r="L324" i="12" s="1"/>
  <c r="H325" i="12"/>
  <c r="N324" i="12" s="1"/>
  <c r="I325" i="12"/>
  <c r="J325" i="12"/>
  <c r="K325" i="12"/>
  <c r="L325" i="12"/>
  <c r="M325" i="12"/>
  <c r="N325" i="12"/>
  <c r="G326" i="12"/>
  <c r="H326" i="12"/>
  <c r="I326" i="12"/>
  <c r="J326" i="12"/>
  <c r="K326" i="12"/>
  <c r="G327" i="12"/>
  <c r="L326" i="12" s="1"/>
  <c r="H327" i="12"/>
  <c r="N326" i="12" s="1"/>
  <c r="I327" i="12"/>
  <c r="J327" i="12"/>
  <c r="K327" i="12"/>
  <c r="G328" i="12"/>
  <c r="L327" i="12" s="1"/>
  <c r="H328" i="12"/>
  <c r="N327" i="12" s="1"/>
  <c r="I328" i="12"/>
  <c r="J328" i="12"/>
  <c r="K328" i="12"/>
  <c r="G329" i="12"/>
  <c r="L328" i="12" s="1"/>
  <c r="H329" i="12"/>
  <c r="N328" i="12" s="1"/>
  <c r="I329" i="12"/>
  <c r="J329" i="12"/>
  <c r="K329" i="12"/>
  <c r="G330" i="12"/>
  <c r="L329" i="12" s="1"/>
  <c r="H330" i="12"/>
  <c r="N329" i="12" s="1"/>
  <c r="I330" i="12"/>
  <c r="J330" i="12"/>
  <c r="K330" i="12"/>
  <c r="G331" i="12"/>
  <c r="L330" i="12" s="1"/>
  <c r="H331" i="12"/>
  <c r="N330" i="12" s="1"/>
  <c r="I331" i="12"/>
  <c r="J331" i="12"/>
  <c r="K331" i="12"/>
  <c r="G332" i="12"/>
  <c r="L331" i="12" s="1"/>
  <c r="H332" i="12"/>
  <c r="N331" i="12" s="1"/>
  <c r="I332" i="12"/>
  <c r="J332" i="12"/>
  <c r="K332" i="12"/>
  <c r="G333" i="12"/>
  <c r="L332" i="12" s="1"/>
  <c r="H333" i="12"/>
  <c r="N332" i="12" s="1"/>
  <c r="I333" i="12"/>
  <c r="J333" i="12"/>
  <c r="K333" i="12"/>
  <c r="G334" i="12"/>
  <c r="L333" i="12" s="1"/>
  <c r="H334" i="12"/>
  <c r="N333" i="12" s="1"/>
  <c r="I334" i="12"/>
  <c r="J334" i="12"/>
  <c r="K334" i="12"/>
  <c r="G335" i="12"/>
  <c r="L334" i="12" s="1"/>
  <c r="H335" i="12"/>
  <c r="N334" i="12" s="1"/>
  <c r="I335" i="12"/>
  <c r="J335" i="12"/>
  <c r="K335" i="12"/>
  <c r="G336" i="12"/>
  <c r="L335" i="12" s="1"/>
  <c r="H336" i="12"/>
  <c r="N335" i="12" s="1"/>
  <c r="I336" i="12"/>
  <c r="J336" i="12"/>
  <c r="K336" i="12"/>
  <c r="G337" i="12"/>
  <c r="L336" i="12" s="1"/>
  <c r="H337" i="12"/>
  <c r="N336" i="12" s="1"/>
  <c r="I337" i="12"/>
  <c r="J337" i="12"/>
  <c r="K337" i="12"/>
  <c r="G338" i="12"/>
  <c r="L337" i="12" s="1"/>
  <c r="H338" i="12"/>
  <c r="N337" i="12" s="1"/>
  <c r="I338" i="12"/>
  <c r="J338" i="12"/>
  <c r="K338" i="12"/>
  <c r="G339" i="12"/>
  <c r="L338" i="12" s="1"/>
  <c r="H339" i="12"/>
  <c r="N338" i="12" s="1"/>
  <c r="I339" i="12"/>
  <c r="J339" i="12"/>
  <c r="K339" i="12"/>
  <c r="L339" i="12"/>
  <c r="M339" i="12"/>
  <c r="N339" i="12"/>
  <c r="G340" i="12"/>
  <c r="H340" i="12"/>
  <c r="I340" i="12"/>
  <c r="J340" i="12"/>
  <c r="K340" i="12"/>
  <c r="G341" i="12"/>
  <c r="L340" i="12" s="1"/>
  <c r="H341" i="12"/>
  <c r="N340" i="12" s="1"/>
  <c r="I341" i="12"/>
  <c r="J341" i="12"/>
  <c r="K341" i="12"/>
  <c r="G342" i="12"/>
  <c r="L341" i="12" s="1"/>
  <c r="H342" i="12"/>
  <c r="N341" i="12" s="1"/>
  <c r="I342" i="12"/>
  <c r="J342" i="12"/>
  <c r="K342" i="12"/>
  <c r="G343" i="12"/>
  <c r="L342" i="12" s="1"/>
  <c r="H343" i="12"/>
  <c r="N342" i="12" s="1"/>
  <c r="I343" i="12"/>
  <c r="J343" i="12"/>
  <c r="K343" i="12"/>
  <c r="G344" i="12"/>
  <c r="L343" i="12" s="1"/>
  <c r="H344" i="12"/>
  <c r="N343" i="12" s="1"/>
  <c r="I344" i="12"/>
  <c r="J344" i="12"/>
  <c r="K344" i="12"/>
  <c r="G345" i="12"/>
  <c r="L344" i="12" s="1"/>
  <c r="H345" i="12"/>
  <c r="N344" i="12" s="1"/>
  <c r="I345" i="12"/>
  <c r="J345" i="12"/>
  <c r="K345" i="12"/>
  <c r="G346" i="12"/>
  <c r="L345" i="12" s="1"/>
  <c r="H346" i="12"/>
  <c r="N345" i="12" s="1"/>
  <c r="I346" i="12"/>
  <c r="J346" i="12"/>
  <c r="K346" i="12"/>
  <c r="G347" i="12"/>
  <c r="L346" i="12" s="1"/>
  <c r="H347" i="12"/>
  <c r="N346" i="12" s="1"/>
  <c r="I347" i="12"/>
  <c r="J347" i="12"/>
  <c r="K347" i="12"/>
  <c r="G348" i="12"/>
  <c r="L347" i="12" s="1"/>
  <c r="H348" i="12"/>
  <c r="N347" i="12" s="1"/>
  <c r="I348" i="12"/>
  <c r="J348" i="12"/>
  <c r="K348" i="12"/>
  <c r="G349" i="12"/>
  <c r="L348" i="12" s="1"/>
  <c r="H349" i="12"/>
  <c r="N348" i="12" s="1"/>
  <c r="I349" i="12"/>
  <c r="J349" i="12"/>
  <c r="K349" i="12"/>
  <c r="G350" i="12"/>
  <c r="L349" i="12" s="1"/>
  <c r="H350" i="12"/>
  <c r="N349" i="12" s="1"/>
  <c r="I350" i="12"/>
  <c r="J350" i="12"/>
  <c r="K350" i="12"/>
  <c r="G351" i="12"/>
  <c r="L350" i="12" s="1"/>
  <c r="H351" i="12"/>
  <c r="N350" i="12" s="1"/>
  <c r="I351" i="12"/>
  <c r="J351" i="12"/>
  <c r="K351" i="12"/>
  <c r="G352" i="12"/>
  <c r="L351" i="12" s="1"/>
  <c r="H352" i="12"/>
  <c r="N351" i="12" s="1"/>
  <c r="I352" i="12"/>
  <c r="J352" i="12"/>
  <c r="K352" i="12"/>
  <c r="G353" i="12"/>
  <c r="L352" i="12" s="1"/>
  <c r="H353" i="12"/>
  <c r="N352" i="12" s="1"/>
  <c r="I353" i="12"/>
  <c r="J353" i="12"/>
  <c r="K353" i="12"/>
  <c r="G354" i="12"/>
  <c r="L353" i="12" s="1"/>
  <c r="H354" i="12"/>
  <c r="N353" i="12" s="1"/>
  <c r="I354" i="12"/>
  <c r="J354" i="12"/>
  <c r="K354" i="12"/>
  <c r="G355" i="12"/>
  <c r="L354" i="12" s="1"/>
  <c r="H355" i="12"/>
  <c r="N354" i="12" s="1"/>
  <c r="I355" i="12"/>
  <c r="J355" i="12"/>
  <c r="K355" i="12"/>
  <c r="L355" i="12"/>
  <c r="M355" i="12"/>
  <c r="N355" i="12"/>
  <c r="G356" i="12"/>
  <c r="H356" i="12"/>
  <c r="I356" i="12"/>
  <c r="J356" i="12"/>
  <c r="K356" i="12"/>
  <c r="G357" i="12"/>
  <c r="L356" i="12" s="1"/>
  <c r="H357" i="12"/>
  <c r="N356" i="12" s="1"/>
  <c r="I357" i="12"/>
  <c r="J357" i="12"/>
  <c r="K357" i="12"/>
  <c r="G358" i="12"/>
  <c r="L357" i="12" s="1"/>
  <c r="H358" i="12"/>
  <c r="N357" i="12" s="1"/>
  <c r="I358" i="12"/>
  <c r="J358" i="12"/>
  <c r="K358" i="12"/>
  <c r="G359" i="12"/>
  <c r="L358" i="12" s="1"/>
  <c r="H359" i="12"/>
  <c r="N358" i="12" s="1"/>
  <c r="I359" i="12"/>
  <c r="J359" i="12"/>
  <c r="K359" i="12"/>
  <c r="G360" i="12"/>
  <c r="L359" i="12" s="1"/>
  <c r="H360" i="12"/>
  <c r="N359" i="12" s="1"/>
  <c r="I360" i="12"/>
  <c r="J360" i="12"/>
  <c r="K360" i="12"/>
  <c r="G361" i="12"/>
  <c r="L360" i="12" s="1"/>
  <c r="H361" i="12"/>
  <c r="N360" i="12" s="1"/>
  <c r="I361" i="12"/>
  <c r="J361" i="12"/>
  <c r="K361" i="12"/>
  <c r="G362" i="12"/>
  <c r="L361" i="12" s="1"/>
  <c r="H362" i="12"/>
  <c r="N361" i="12" s="1"/>
  <c r="I362" i="12"/>
  <c r="J362" i="12"/>
  <c r="K362" i="12"/>
  <c r="G363" i="12"/>
  <c r="L362" i="12" s="1"/>
  <c r="H363" i="12"/>
  <c r="N362" i="12" s="1"/>
  <c r="I363" i="12"/>
  <c r="J363" i="12"/>
  <c r="K363" i="12"/>
  <c r="G364" i="12"/>
  <c r="L363" i="12" s="1"/>
  <c r="H364" i="12"/>
  <c r="N363" i="12" s="1"/>
  <c r="I364" i="12"/>
  <c r="J364" i="12"/>
  <c r="K364" i="12"/>
  <c r="L364" i="12"/>
  <c r="M364" i="12"/>
  <c r="N364" i="12"/>
  <c r="G365" i="12"/>
  <c r="H365" i="12"/>
  <c r="I365" i="12"/>
  <c r="J365" i="12"/>
  <c r="K365" i="12"/>
  <c r="G366" i="12"/>
  <c r="L365" i="12" s="1"/>
  <c r="H366" i="12"/>
  <c r="N365" i="12" s="1"/>
  <c r="I366" i="12"/>
  <c r="J366" i="12"/>
  <c r="K366" i="12"/>
  <c r="G367" i="12"/>
  <c r="L366" i="12" s="1"/>
  <c r="H367" i="12"/>
  <c r="N366" i="12" s="1"/>
  <c r="I367" i="12"/>
  <c r="J367" i="12"/>
  <c r="K367" i="12"/>
  <c r="G368" i="12"/>
  <c r="L367" i="12" s="1"/>
  <c r="H368" i="12"/>
  <c r="N367" i="12" s="1"/>
  <c r="I368" i="12"/>
  <c r="J368" i="12"/>
  <c r="K368" i="12"/>
  <c r="G369" i="12"/>
  <c r="L368" i="12" s="1"/>
  <c r="H369" i="12"/>
  <c r="N368" i="12" s="1"/>
  <c r="I369" i="12"/>
  <c r="J369" i="12"/>
  <c r="K369" i="12"/>
  <c r="G370" i="12"/>
  <c r="L369" i="12" s="1"/>
  <c r="H370" i="12"/>
  <c r="N369" i="12" s="1"/>
  <c r="I370" i="12"/>
  <c r="J370" i="12"/>
  <c r="K370" i="12"/>
  <c r="L370" i="12"/>
  <c r="M370" i="12"/>
  <c r="N370" i="12"/>
  <c r="G371" i="12"/>
  <c r="H371" i="12"/>
  <c r="I371" i="12"/>
  <c r="J371" i="12"/>
  <c r="K371" i="12"/>
  <c r="G372" i="12"/>
  <c r="L371" i="12" s="1"/>
  <c r="H372" i="12"/>
  <c r="N371" i="12" s="1"/>
  <c r="I372" i="12"/>
  <c r="J372" i="12"/>
  <c r="K372" i="12"/>
  <c r="L372" i="12"/>
  <c r="M372" i="12"/>
  <c r="N372" i="12"/>
  <c r="G373" i="12"/>
  <c r="H373" i="12"/>
  <c r="I373" i="12"/>
  <c r="J373" i="12"/>
  <c r="K373" i="12"/>
  <c r="G374" i="12"/>
  <c r="L373" i="12" s="1"/>
  <c r="H374" i="12"/>
  <c r="N373" i="12" s="1"/>
  <c r="I374" i="12"/>
  <c r="J374" i="12"/>
  <c r="K374" i="12"/>
  <c r="G375" i="12"/>
  <c r="L374" i="12" s="1"/>
  <c r="H375" i="12"/>
  <c r="N374" i="12" s="1"/>
  <c r="I375" i="12"/>
  <c r="J375" i="12"/>
  <c r="K375" i="12"/>
  <c r="G376" i="12"/>
  <c r="L375" i="12" s="1"/>
  <c r="H376" i="12"/>
  <c r="N375" i="12" s="1"/>
  <c r="I376" i="12"/>
  <c r="J376" i="12"/>
  <c r="K376" i="12"/>
  <c r="G377" i="12"/>
  <c r="L376" i="12" s="1"/>
  <c r="H377" i="12"/>
  <c r="N376" i="12" s="1"/>
  <c r="I377" i="12"/>
  <c r="J377" i="12"/>
  <c r="K377" i="12"/>
  <c r="G378" i="12"/>
  <c r="L377" i="12" s="1"/>
  <c r="H378" i="12"/>
  <c r="N377" i="12" s="1"/>
  <c r="I378" i="12"/>
  <c r="J378" i="12"/>
  <c r="K378" i="12"/>
  <c r="G379" i="12"/>
  <c r="L378" i="12" s="1"/>
  <c r="H379" i="12"/>
  <c r="N378" i="12" s="1"/>
  <c r="I379" i="12"/>
  <c r="J379" i="12"/>
  <c r="K379" i="12"/>
  <c r="L379" i="12"/>
  <c r="M379" i="12"/>
  <c r="N379" i="12"/>
  <c r="G380" i="12"/>
  <c r="H380" i="12"/>
  <c r="I380" i="12"/>
  <c r="J380" i="12"/>
  <c r="K380" i="12"/>
  <c r="G381" i="12"/>
  <c r="L380" i="12" s="1"/>
  <c r="H381" i="12"/>
  <c r="N380" i="12" s="1"/>
  <c r="I381" i="12"/>
  <c r="J381" i="12"/>
  <c r="K381" i="12"/>
  <c r="G382" i="12"/>
  <c r="L381" i="12" s="1"/>
  <c r="H382" i="12"/>
  <c r="N381" i="12" s="1"/>
  <c r="I382" i="12"/>
  <c r="J382" i="12"/>
  <c r="K382" i="12"/>
  <c r="G383" i="12"/>
  <c r="L382" i="12" s="1"/>
  <c r="H383" i="12"/>
  <c r="N382" i="12" s="1"/>
  <c r="I383" i="12"/>
  <c r="J383" i="12"/>
  <c r="K383" i="12"/>
  <c r="G384" i="12"/>
  <c r="L383" i="12" s="1"/>
  <c r="H384" i="12"/>
  <c r="N383" i="12" s="1"/>
  <c r="I384" i="12"/>
  <c r="J384" i="12"/>
  <c r="K384" i="12"/>
  <c r="G385" i="12"/>
  <c r="L384" i="12" s="1"/>
  <c r="H385" i="12"/>
  <c r="N384" i="12" s="1"/>
  <c r="I385" i="12"/>
  <c r="J385" i="12"/>
  <c r="K385" i="12"/>
  <c r="G386" i="12"/>
  <c r="L385" i="12" s="1"/>
  <c r="H386" i="12"/>
  <c r="N385" i="12" s="1"/>
  <c r="I386" i="12"/>
  <c r="J386" i="12"/>
  <c r="K386" i="12"/>
  <c r="G387" i="12"/>
  <c r="L386" i="12" s="1"/>
  <c r="H387" i="12"/>
  <c r="N386" i="12" s="1"/>
  <c r="I387" i="12"/>
  <c r="J387" i="12"/>
  <c r="K387" i="12"/>
  <c r="G388" i="12"/>
  <c r="L387" i="12" s="1"/>
  <c r="H388" i="12"/>
  <c r="N387" i="12" s="1"/>
  <c r="I388" i="12"/>
  <c r="J388" i="12"/>
  <c r="K388" i="12"/>
  <c r="L388" i="12"/>
  <c r="M388" i="12"/>
  <c r="N388" i="12"/>
  <c r="G389" i="12"/>
  <c r="H389" i="12"/>
  <c r="I389" i="12"/>
  <c r="J389" i="12"/>
  <c r="K389" i="12"/>
  <c r="G390" i="12"/>
  <c r="L389" i="12" s="1"/>
  <c r="H390" i="12"/>
  <c r="N389" i="12" s="1"/>
  <c r="I390" i="12"/>
  <c r="J390" i="12"/>
  <c r="K390" i="12"/>
  <c r="G391" i="12"/>
  <c r="L390" i="12" s="1"/>
  <c r="H391" i="12"/>
  <c r="N390" i="12" s="1"/>
  <c r="I391" i="12"/>
  <c r="J391" i="12"/>
  <c r="K391" i="12"/>
  <c r="G392" i="12"/>
  <c r="L391" i="12" s="1"/>
  <c r="H392" i="12"/>
  <c r="N391" i="12" s="1"/>
  <c r="I392" i="12"/>
  <c r="J392" i="12"/>
  <c r="K392" i="12"/>
  <c r="L392" i="12"/>
  <c r="M392" i="12"/>
  <c r="N392" i="12"/>
  <c r="G393" i="12"/>
  <c r="H393" i="12"/>
  <c r="I393" i="12"/>
  <c r="J393" i="12"/>
  <c r="K393" i="12"/>
  <c r="G394" i="12"/>
  <c r="L393" i="12" s="1"/>
  <c r="H394" i="12"/>
  <c r="N393" i="12" s="1"/>
  <c r="I394" i="12"/>
  <c r="J394" i="12"/>
  <c r="K394" i="12"/>
  <c r="G395" i="12"/>
  <c r="L394" i="12" s="1"/>
  <c r="H395" i="12"/>
  <c r="N394" i="12" s="1"/>
  <c r="I395" i="12"/>
  <c r="J395" i="12"/>
  <c r="K395" i="12"/>
  <c r="G396" i="12"/>
  <c r="L395" i="12" s="1"/>
  <c r="H396" i="12"/>
  <c r="N395" i="12" s="1"/>
  <c r="I396" i="12"/>
  <c r="J396" i="12"/>
  <c r="K396" i="12"/>
  <c r="G397" i="12"/>
  <c r="L396" i="12" s="1"/>
  <c r="H397" i="12"/>
  <c r="N396" i="12" s="1"/>
  <c r="I397" i="12"/>
  <c r="J397" i="12"/>
  <c r="K397" i="12"/>
  <c r="G398" i="12"/>
  <c r="L397" i="12" s="1"/>
  <c r="H398" i="12"/>
  <c r="N397" i="12" s="1"/>
  <c r="I398" i="12"/>
  <c r="J398" i="12"/>
  <c r="K398" i="12"/>
  <c r="G399" i="12"/>
  <c r="L398" i="12" s="1"/>
  <c r="H399" i="12"/>
  <c r="N398" i="12" s="1"/>
  <c r="I399" i="12"/>
  <c r="J399" i="12"/>
  <c r="K399" i="12"/>
  <c r="G400" i="12"/>
  <c r="L399" i="12" s="1"/>
  <c r="H400" i="12"/>
  <c r="N399" i="12" s="1"/>
  <c r="I400" i="12"/>
  <c r="J400" i="12"/>
  <c r="K400" i="12"/>
  <c r="G401" i="12"/>
  <c r="L400" i="12" s="1"/>
  <c r="H401" i="12"/>
  <c r="N400" i="12" s="1"/>
  <c r="I401" i="12"/>
  <c r="J401" i="12"/>
  <c r="K401" i="12"/>
  <c r="G402" i="12"/>
  <c r="L401" i="12" s="1"/>
  <c r="H402" i="12"/>
  <c r="N401" i="12" s="1"/>
  <c r="I402" i="12"/>
  <c r="J402" i="12"/>
  <c r="K402" i="12"/>
  <c r="G403" i="12"/>
  <c r="L402" i="12" s="1"/>
  <c r="H403" i="12"/>
  <c r="N402" i="12" s="1"/>
  <c r="I403" i="12"/>
  <c r="J403" i="12"/>
  <c r="K403" i="12"/>
  <c r="G404" i="12"/>
  <c r="L403" i="12" s="1"/>
  <c r="H404" i="12"/>
  <c r="N403" i="12" s="1"/>
  <c r="I404" i="12"/>
  <c r="J404" i="12"/>
  <c r="K404" i="12"/>
  <c r="L404" i="12"/>
  <c r="M404" i="12"/>
  <c r="N404" i="12"/>
  <c r="G405" i="12"/>
  <c r="H405" i="12"/>
  <c r="I405" i="12"/>
  <c r="J405" i="12"/>
  <c r="K405" i="12"/>
  <c r="G406" i="12"/>
  <c r="L405" i="12" s="1"/>
  <c r="H406" i="12"/>
  <c r="N405" i="12" s="1"/>
  <c r="I406" i="12"/>
  <c r="J406" i="12"/>
  <c r="K406" i="12"/>
  <c r="G407" i="12"/>
  <c r="L406" i="12" s="1"/>
  <c r="H407" i="12"/>
  <c r="N406" i="12" s="1"/>
  <c r="I407" i="12"/>
  <c r="J407" i="12"/>
  <c r="K407" i="12"/>
  <c r="G408" i="12"/>
  <c r="L407" i="12" s="1"/>
  <c r="H408" i="12"/>
  <c r="N407" i="12" s="1"/>
  <c r="I408" i="12"/>
  <c r="J408" i="12"/>
  <c r="K408" i="12"/>
  <c r="G409" i="12"/>
  <c r="L408" i="12" s="1"/>
  <c r="H409" i="12"/>
  <c r="N408" i="12" s="1"/>
  <c r="I409" i="12"/>
  <c r="J409" i="12"/>
  <c r="K409" i="12"/>
  <c r="G410" i="12"/>
  <c r="L409" i="12" s="1"/>
  <c r="H410" i="12"/>
  <c r="N409" i="12" s="1"/>
  <c r="I410" i="12"/>
  <c r="J410" i="12"/>
  <c r="K410" i="12"/>
  <c r="G411" i="12"/>
  <c r="L410" i="12" s="1"/>
  <c r="H411" i="12"/>
  <c r="N410" i="12" s="1"/>
  <c r="I411" i="12"/>
  <c r="J411" i="12"/>
  <c r="K411" i="12"/>
  <c r="G412" i="12"/>
  <c r="L411" i="12" s="1"/>
  <c r="H412" i="12"/>
  <c r="N411" i="12" s="1"/>
  <c r="I412" i="12"/>
  <c r="J412" i="12"/>
  <c r="K412" i="12"/>
  <c r="L412" i="12"/>
  <c r="M412" i="12"/>
  <c r="N412" i="12"/>
  <c r="G413" i="12"/>
  <c r="H413" i="12"/>
  <c r="I413" i="12"/>
  <c r="J413" i="12"/>
  <c r="K413" i="12"/>
  <c r="G414" i="12"/>
  <c r="L413" i="12" s="1"/>
  <c r="H414" i="12"/>
  <c r="N413" i="12" s="1"/>
  <c r="I414" i="12"/>
  <c r="J414" i="12"/>
  <c r="K414" i="12"/>
  <c r="G415" i="12"/>
  <c r="L414" i="12" s="1"/>
  <c r="H415" i="12"/>
  <c r="N414" i="12" s="1"/>
  <c r="I415" i="12"/>
  <c r="J415" i="12"/>
  <c r="K415" i="12"/>
  <c r="G416" i="12"/>
  <c r="L415" i="12" s="1"/>
  <c r="H416" i="12"/>
  <c r="N415" i="12" s="1"/>
  <c r="I416" i="12"/>
  <c r="J416" i="12"/>
  <c r="K416" i="12"/>
  <c r="G417" i="12"/>
  <c r="L416" i="12" s="1"/>
  <c r="H417" i="12"/>
  <c r="N416" i="12" s="1"/>
  <c r="I417" i="12"/>
  <c r="J417" i="12"/>
  <c r="K417" i="12"/>
  <c r="G418" i="12"/>
  <c r="L417" i="12" s="1"/>
  <c r="H418" i="12"/>
  <c r="N417" i="12" s="1"/>
  <c r="I418" i="12"/>
  <c r="J418" i="12"/>
  <c r="K418" i="12"/>
  <c r="G419" i="12"/>
  <c r="L418" i="12" s="1"/>
  <c r="H419" i="12"/>
  <c r="N418" i="12" s="1"/>
  <c r="I419" i="12"/>
  <c r="J419" i="12"/>
  <c r="K419" i="12"/>
  <c r="G420" i="12"/>
  <c r="L419" i="12" s="1"/>
  <c r="H420" i="12"/>
  <c r="N419" i="12" s="1"/>
  <c r="I420" i="12"/>
  <c r="J420" i="12"/>
  <c r="K420" i="12"/>
  <c r="L420" i="12"/>
  <c r="M420" i="12"/>
  <c r="N420" i="12"/>
  <c r="G421" i="12"/>
  <c r="H421" i="12"/>
  <c r="I421" i="12"/>
  <c r="J421" i="12"/>
  <c r="K421" i="12"/>
  <c r="G422" i="12"/>
  <c r="L421" i="12" s="1"/>
  <c r="H422" i="12"/>
  <c r="N421" i="12" s="1"/>
  <c r="I422" i="12"/>
  <c r="J422" i="12"/>
  <c r="K422" i="12"/>
  <c r="G423" i="12"/>
  <c r="L422" i="12" s="1"/>
  <c r="H423" i="12"/>
  <c r="N422" i="12" s="1"/>
  <c r="I423" i="12"/>
  <c r="J423" i="12"/>
  <c r="K423" i="12"/>
  <c r="G424" i="12"/>
  <c r="L423" i="12" s="1"/>
  <c r="H424" i="12"/>
  <c r="N423" i="12" s="1"/>
  <c r="I424" i="12"/>
  <c r="J424" i="12"/>
  <c r="K424" i="12"/>
  <c r="G425" i="12"/>
  <c r="L424" i="12" s="1"/>
  <c r="H425" i="12"/>
  <c r="N424" i="12" s="1"/>
  <c r="I425" i="12"/>
  <c r="J425" i="12"/>
  <c r="K425" i="12"/>
  <c r="G426" i="12"/>
  <c r="L425" i="12" s="1"/>
  <c r="H426" i="12"/>
  <c r="N425" i="12" s="1"/>
  <c r="I426" i="12"/>
  <c r="J426" i="12"/>
  <c r="K426" i="12"/>
  <c r="G427" i="12"/>
  <c r="L426" i="12" s="1"/>
  <c r="H427" i="12"/>
  <c r="N426" i="12" s="1"/>
  <c r="I427" i="12"/>
  <c r="J427" i="12"/>
  <c r="K427" i="12"/>
  <c r="G428" i="12"/>
  <c r="L427" i="12" s="1"/>
  <c r="H428" i="12"/>
  <c r="N427" i="12" s="1"/>
  <c r="I428" i="12"/>
  <c r="J428" i="12"/>
  <c r="K428" i="12"/>
  <c r="G429" i="12"/>
  <c r="L428" i="12" s="1"/>
  <c r="H429" i="12"/>
  <c r="N428" i="12" s="1"/>
  <c r="I429" i="12"/>
  <c r="J429" i="12"/>
  <c r="K429" i="12"/>
  <c r="G430" i="12"/>
  <c r="L429" i="12" s="1"/>
  <c r="H430" i="12"/>
  <c r="N429" i="12" s="1"/>
  <c r="I430" i="12"/>
  <c r="J430" i="12"/>
  <c r="K430" i="12"/>
  <c r="L430" i="12"/>
  <c r="M430" i="12"/>
  <c r="N430" i="12"/>
  <c r="G431" i="12"/>
  <c r="H431" i="12"/>
  <c r="I431" i="12"/>
  <c r="J431" i="12"/>
  <c r="K431" i="12"/>
  <c r="G432" i="12"/>
  <c r="L431" i="12" s="1"/>
  <c r="H432" i="12"/>
  <c r="N431" i="12" s="1"/>
  <c r="I432" i="12"/>
  <c r="J432" i="12"/>
  <c r="K432" i="12"/>
  <c r="G433" i="12"/>
  <c r="L432" i="12" s="1"/>
  <c r="H433" i="12"/>
  <c r="N432" i="12" s="1"/>
  <c r="I433" i="12"/>
  <c r="J433" i="12"/>
  <c r="K433" i="12"/>
  <c r="L433" i="12"/>
  <c r="M433" i="12"/>
  <c r="N433" i="12"/>
  <c r="G434" i="12"/>
  <c r="H434" i="12"/>
  <c r="I434" i="12"/>
  <c r="J434" i="12"/>
  <c r="K434" i="12"/>
  <c r="G435" i="12"/>
  <c r="L434" i="12" s="1"/>
  <c r="H435" i="12"/>
  <c r="N434" i="12" s="1"/>
  <c r="I435" i="12"/>
  <c r="J435" i="12"/>
  <c r="K435" i="12"/>
  <c r="G436" i="12"/>
  <c r="L435" i="12" s="1"/>
  <c r="H436" i="12"/>
  <c r="N435" i="12" s="1"/>
  <c r="I436" i="12"/>
  <c r="J436" i="12"/>
  <c r="K436" i="12"/>
  <c r="G437" i="12"/>
  <c r="L436" i="12" s="1"/>
  <c r="H437" i="12"/>
  <c r="N436" i="12" s="1"/>
  <c r="I437" i="12"/>
  <c r="J437" i="12"/>
  <c r="K437" i="12"/>
  <c r="G438" i="12"/>
  <c r="L437" i="12" s="1"/>
  <c r="H438" i="12"/>
  <c r="N437" i="12" s="1"/>
  <c r="I438" i="12"/>
  <c r="J438" i="12"/>
  <c r="K438" i="12"/>
  <c r="G439" i="12"/>
  <c r="L438" i="12" s="1"/>
  <c r="H439" i="12"/>
  <c r="N438" i="12" s="1"/>
  <c r="I439" i="12"/>
  <c r="J439" i="12"/>
  <c r="K439" i="12"/>
  <c r="L439" i="12"/>
  <c r="M439" i="12"/>
  <c r="N439" i="12"/>
  <c r="G440" i="12"/>
  <c r="H440" i="12"/>
  <c r="I440" i="12"/>
  <c r="J440" i="12"/>
  <c r="K440" i="12"/>
  <c r="G441" i="12"/>
  <c r="L440" i="12" s="1"/>
  <c r="H441" i="12"/>
  <c r="N440" i="12" s="1"/>
  <c r="I441" i="12"/>
  <c r="J441" i="12"/>
  <c r="K441" i="12"/>
  <c r="L441" i="12"/>
  <c r="M441" i="12"/>
  <c r="N441" i="12"/>
  <c r="G442" i="12"/>
  <c r="H442" i="12"/>
  <c r="I442" i="12"/>
  <c r="J442" i="12"/>
  <c r="K442" i="12"/>
  <c r="G443" i="12"/>
  <c r="L442" i="12" s="1"/>
  <c r="H443" i="12"/>
  <c r="N442" i="12" s="1"/>
  <c r="I443" i="12"/>
  <c r="J443" i="12"/>
  <c r="K443" i="12"/>
  <c r="L443" i="12"/>
  <c r="M443" i="12"/>
  <c r="N443" i="12"/>
  <c r="G444" i="12"/>
  <c r="H444" i="12"/>
  <c r="I444" i="12"/>
  <c r="J444" i="12"/>
  <c r="K444" i="12"/>
  <c r="G445" i="12"/>
  <c r="L444" i="12" s="1"/>
  <c r="H445" i="12"/>
  <c r="N444" i="12" s="1"/>
  <c r="I445" i="12"/>
  <c r="J445" i="12"/>
  <c r="K445" i="12"/>
  <c r="G446" i="12"/>
  <c r="L445" i="12" s="1"/>
  <c r="H446" i="12"/>
  <c r="N445" i="12" s="1"/>
  <c r="I446" i="12"/>
  <c r="J446" i="12"/>
  <c r="K446" i="12"/>
  <c r="G447" i="12"/>
  <c r="L446" i="12" s="1"/>
  <c r="H447" i="12"/>
  <c r="N446" i="12" s="1"/>
  <c r="I447" i="12"/>
  <c r="J447" i="12"/>
  <c r="K447" i="12"/>
  <c r="G448" i="12"/>
  <c r="L447" i="12" s="1"/>
  <c r="H448" i="12"/>
  <c r="N447" i="12" s="1"/>
  <c r="I448" i="12"/>
  <c r="J448" i="12"/>
  <c r="K448" i="12"/>
  <c r="G449" i="12"/>
  <c r="L448" i="12" s="1"/>
  <c r="H449" i="12"/>
  <c r="N448" i="12" s="1"/>
  <c r="I449" i="12"/>
  <c r="J449" i="12"/>
  <c r="K449" i="12"/>
  <c r="G450" i="12"/>
  <c r="L449" i="12" s="1"/>
  <c r="H450" i="12"/>
  <c r="N449" i="12" s="1"/>
  <c r="I450" i="12"/>
  <c r="J450" i="12"/>
  <c r="K450" i="12"/>
  <c r="L450" i="12"/>
  <c r="M450" i="12"/>
  <c r="N450" i="12"/>
  <c r="G451" i="12"/>
  <c r="H451" i="12"/>
  <c r="I451" i="12"/>
  <c r="J451" i="12"/>
  <c r="K451" i="12"/>
  <c r="G452" i="12"/>
  <c r="L451" i="12" s="1"/>
  <c r="H452" i="12"/>
  <c r="N451" i="12" s="1"/>
  <c r="I452" i="12"/>
  <c r="J452" i="12"/>
  <c r="K452" i="12"/>
  <c r="G453" i="12"/>
  <c r="L452" i="12" s="1"/>
  <c r="H453" i="12"/>
  <c r="N452" i="12" s="1"/>
  <c r="I453" i="12"/>
  <c r="J453" i="12"/>
  <c r="K453" i="12"/>
  <c r="G454" i="12"/>
  <c r="L453" i="12" s="1"/>
  <c r="H454" i="12"/>
  <c r="N453" i="12" s="1"/>
  <c r="I454" i="12"/>
  <c r="J454" i="12"/>
  <c r="K454" i="12"/>
  <c r="G455" i="12"/>
  <c r="L454" i="12" s="1"/>
  <c r="H455" i="12"/>
  <c r="N454" i="12" s="1"/>
  <c r="I455" i="12"/>
  <c r="J455" i="12"/>
  <c r="K455" i="12"/>
  <c r="G456" i="12"/>
  <c r="L455" i="12" s="1"/>
  <c r="H456" i="12"/>
  <c r="N455" i="12" s="1"/>
  <c r="I456" i="12"/>
  <c r="J456" i="12"/>
  <c r="K456" i="12"/>
  <c r="G457" i="12"/>
  <c r="L456" i="12" s="1"/>
  <c r="H457" i="12"/>
  <c r="N456" i="12" s="1"/>
  <c r="I457" i="12"/>
  <c r="J457" i="12"/>
  <c r="K457" i="12"/>
  <c r="L457" i="12"/>
  <c r="M457" i="12"/>
  <c r="N457" i="12"/>
  <c r="G458" i="12"/>
  <c r="H458" i="12"/>
  <c r="I458" i="12"/>
  <c r="J458" i="12"/>
  <c r="K458" i="12"/>
  <c r="G459" i="12"/>
  <c r="L458" i="12" s="1"/>
  <c r="H459" i="12"/>
  <c r="N458" i="12" s="1"/>
  <c r="I459" i="12"/>
  <c r="J459" i="12"/>
  <c r="K459" i="12"/>
  <c r="G460" i="12"/>
  <c r="L459" i="12" s="1"/>
  <c r="H460" i="12"/>
  <c r="N459" i="12" s="1"/>
  <c r="I460" i="12"/>
  <c r="J460" i="12"/>
  <c r="K460" i="12"/>
  <c r="G461" i="12"/>
  <c r="L460" i="12" s="1"/>
  <c r="H461" i="12"/>
  <c r="N460" i="12" s="1"/>
  <c r="I461" i="12"/>
  <c r="J461" i="12"/>
  <c r="K461" i="12"/>
  <c r="G462" i="12"/>
  <c r="L461" i="12" s="1"/>
  <c r="H462" i="12"/>
  <c r="N461" i="12" s="1"/>
  <c r="I462" i="12"/>
  <c r="J462" i="12"/>
  <c r="K462" i="12"/>
  <c r="G463" i="12"/>
  <c r="L462" i="12" s="1"/>
  <c r="H463" i="12"/>
  <c r="N462" i="12" s="1"/>
  <c r="I463" i="12"/>
  <c r="J463" i="12"/>
  <c r="K463" i="12"/>
  <c r="G464" i="12"/>
  <c r="L463" i="12" s="1"/>
  <c r="H464" i="12"/>
  <c r="N463" i="12" s="1"/>
  <c r="I464" i="12"/>
  <c r="J464" i="12"/>
  <c r="K464" i="12"/>
  <c r="G465" i="12"/>
  <c r="L464" i="12" s="1"/>
  <c r="H465" i="12"/>
  <c r="N464" i="12" s="1"/>
  <c r="I465" i="12"/>
  <c r="J465" i="12"/>
  <c r="K465" i="12"/>
  <c r="G466" i="12"/>
  <c r="L465" i="12" s="1"/>
  <c r="H466" i="12"/>
  <c r="N465" i="12" s="1"/>
  <c r="I466" i="12"/>
  <c r="J466" i="12"/>
  <c r="K466" i="12"/>
  <c r="G467" i="12"/>
  <c r="L466" i="12" s="1"/>
  <c r="H467" i="12"/>
  <c r="N466" i="12" s="1"/>
  <c r="I467" i="12"/>
  <c r="J467" i="12"/>
  <c r="K467" i="12"/>
  <c r="G468" i="12"/>
  <c r="L467" i="12" s="1"/>
  <c r="H468" i="12"/>
  <c r="N467" i="12" s="1"/>
  <c r="I468" i="12"/>
  <c r="J468" i="12"/>
  <c r="K468" i="12"/>
  <c r="G469" i="12"/>
  <c r="L468" i="12" s="1"/>
  <c r="H469" i="12"/>
  <c r="N468" i="12" s="1"/>
  <c r="I469" i="12"/>
  <c r="J469" i="12"/>
  <c r="K469" i="12"/>
  <c r="G470" i="12"/>
  <c r="L469" i="12" s="1"/>
  <c r="H470" i="12"/>
  <c r="N469" i="12" s="1"/>
  <c r="I470" i="12"/>
  <c r="J470" i="12"/>
  <c r="K470" i="12"/>
  <c r="G471" i="12"/>
  <c r="L470" i="12" s="1"/>
  <c r="H471" i="12"/>
  <c r="N470" i="12" s="1"/>
  <c r="I471" i="12"/>
  <c r="J471" i="12"/>
  <c r="K471" i="12"/>
  <c r="G472" i="12"/>
  <c r="L471" i="12" s="1"/>
  <c r="H472" i="12"/>
  <c r="N471" i="12" s="1"/>
  <c r="I472" i="12"/>
  <c r="J472" i="12"/>
  <c r="K472" i="12"/>
  <c r="G473" i="12"/>
  <c r="L472" i="12" s="1"/>
  <c r="H473" i="12"/>
  <c r="N472" i="12" s="1"/>
  <c r="I473" i="12"/>
  <c r="J473" i="12"/>
  <c r="K473" i="12"/>
  <c r="G474" i="12"/>
  <c r="L473" i="12" s="1"/>
  <c r="H474" i="12"/>
  <c r="N473" i="12" s="1"/>
  <c r="I474" i="12"/>
  <c r="J474" i="12"/>
  <c r="K474" i="12"/>
  <c r="G475" i="12"/>
  <c r="L474" i="12" s="1"/>
  <c r="H475" i="12"/>
  <c r="N474" i="12" s="1"/>
  <c r="I475" i="12"/>
  <c r="J475" i="12"/>
  <c r="K475" i="12"/>
  <c r="G476" i="12"/>
  <c r="L475" i="12" s="1"/>
  <c r="H476" i="12"/>
  <c r="N475" i="12" s="1"/>
  <c r="I476" i="12"/>
  <c r="J476" i="12"/>
  <c r="K476" i="12"/>
  <c r="G477" i="12"/>
  <c r="L476" i="12" s="1"/>
  <c r="H477" i="12"/>
  <c r="N476" i="12" s="1"/>
  <c r="I477" i="12"/>
  <c r="J477" i="12"/>
  <c r="K477" i="12"/>
  <c r="G478" i="12"/>
  <c r="L477" i="12" s="1"/>
  <c r="H478" i="12"/>
  <c r="N477" i="12" s="1"/>
  <c r="I478" i="12"/>
  <c r="J478" i="12"/>
  <c r="K478" i="12"/>
  <c r="G479" i="12"/>
  <c r="L478" i="12" s="1"/>
  <c r="H479" i="12"/>
  <c r="N478" i="12" s="1"/>
  <c r="I479" i="12"/>
  <c r="J479" i="12"/>
  <c r="K479" i="12"/>
  <c r="G480" i="12"/>
  <c r="L479" i="12" s="1"/>
  <c r="H480" i="12"/>
  <c r="N479" i="12" s="1"/>
  <c r="I480" i="12"/>
  <c r="J480" i="12"/>
  <c r="K480" i="12"/>
  <c r="G481" i="12"/>
  <c r="L480" i="12" s="1"/>
  <c r="H481" i="12"/>
  <c r="N480" i="12" s="1"/>
  <c r="I481" i="12"/>
  <c r="J481" i="12"/>
  <c r="K481" i="12"/>
  <c r="G482" i="12"/>
  <c r="L481" i="12" s="1"/>
  <c r="H482" i="12"/>
  <c r="N481" i="12" s="1"/>
  <c r="I482" i="12"/>
  <c r="J482" i="12"/>
  <c r="K482" i="12"/>
  <c r="G483" i="12"/>
  <c r="L482" i="12" s="1"/>
  <c r="H483" i="12"/>
  <c r="N482" i="12" s="1"/>
  <c r="I483" i="12"/>
  <c r="J483" i="12"/>
  <c r="K483" i="12"/>
  <c r="G484" i="12"/>
  <c r="L483" i="12" s="1"/>
  <c r="H484" i="12"/>
  <c r="N483" i="12" s="1"/>
  <c r="I484" i="12"/>
  <c r="J484" i="12"/>
  <c r="K484" i="12"/>
  <c r="G485" i="12"/>
  <c r="L484" i="12" s="1"/>
  <c r="H485" i="12"/>
  <c r="N484" i="12" s="1"/>
  <c r="I485" i="12"/>
  <c r="J485" i="12"/>
  <c r="K485" i="12"/>
  <c r="G486" i="12"/>
  <c r="L485" i="12" s="1"/>
  <c r="H486" i="12"/>
  <c r="N485" i="12" s="1"/>
  <c r="I486" i="12"/>
  <c r="J486" i="12"/>
  <c r="K486" i="12"/>
  <c r="G487" i="12"/>
  <c r="L486" i="12" s="1"/>
  <c r="H487" i="12"/>
  <c r="N486" i="12" s="1"/>
  <c r="I487" i="12"/>
  <c r="J487" i="12"/>
  <c r="K487" i="12"/>
  <c r="G488" i="12"/>
  <c r="L487" i="12" s="1"/>
  <c r="H488" i="12"/>
  <c r="N487" i="12" s="1"/>
  <c r="I488" i="12"/>
  <c r="J488" i="12"/>
  <c r="K488" i="12"/>
  <c r="G489" i="12"/>
  <c r="L488" i="12" s="1"/>
  <c r="H489" i="12"/>
  <c r="N488" i="12" s="1"/>
  <c r="I489" i="12"/>
  <c r="J489" i="12"/>
  <c r="K489" i="12"/>
  <c r="G490" i="12"/>
  <c r="L489" i="12" s="1"/>
  <c r="H490" i="12"/>
  <c r="N489" i="12" s="1"/>
  <c r="I490" i="12"/>
  <c r="J490" i="12"/>
  <c r="K490" i="12"/>
  <c r="G491" i="12"/>
  <c r="L490" i="12" s="1"/>
  <c r="H491" i="12"/>
  <c r="N490" i="12" s="1"/>
  <c r="I491" i="12"/>
  <c r="J491" i="12"/>
  <c r="K491" i="12"/>
  <c r="G492" i="12"/>
  <c r="L491" i="12" s="1"/>
  <c r="H492" i="12"/>
  <c r="N491" i="12" s="1"/>
  <c r="I492" i="12"/>
  <c r="J492" i="12"/>
  <c r="K492" i="12"/>
  <c r="G493" i="12"/>
  <c r="L492" i="12" s="1"/>
  <c r="H493" i="12"/>
  <c r="N492" i="12" s="1"/>
  <c r="I493" i="12"/>
  <c r="J493" i="12"/>
  <c r="K493" i="12"/>
  <c r="G494" i="12"/>
  <c r="L493" i="12" s="1"/>
  <c r="H494" i="12"/>
  <c r="N493" i="12" s="1"/>
  <c r="I494" i="12"/>
  <c r="J494" i="12"/>
  <c r="K494" i="12"/>
  <c r="G495" i="12"/>
  <c r="L494" i="12" s="1"/>
  <c r="H495" i="12"/>
  <c r="N494" i="12" s="1"/>
  <c r="I495" i="12"/>
  <c r="J495" i="12"/>
  <c r="K495" i="12"/>
  <c r="G496" i="12"/>
  <c r="L495" i="12" s="1"/>
  <c r="H496" i="12"/>
  <c r="N495" i="12" s="1"/>
  <c r="I496" i="12"/>
  <c r="J496" i="12"/>
  <c r="K496" i="12"/>
  <c r="G497" i="12"/>
  <c r="L496" i="12" s="1"/>
  <c r="H497" i="12"/>
  <c r="N496" i="12" s="1"/>
  <c r="I497" i="12"/>
  <c r="J497" i="12"/>
  <c r="K497" i="12"/>
  <c r="G498" i="12"/>
  <c r="L497" i="12" s="1"/>
  <c r="H498" i="12"/>
  <c r="N497" i="12" s="1"/>
  <c r="I498" i="12"/>
  <c r="J498" i="12"/>
  <c r="K498" i="12"/>
  <c r="G499" i="12"/>
  <c r="L498" i="12" s="1"/>
  <c r="H499" i="12"/>
  <c r="N498" i="12" s="1"/>
  <c r="I499" i="12"/>
  <c r="J499" i="12"/>
  <c r="K499" i="12"/>
  <c r="G500" i="12"/>
  <c r="L499" i="12" s="1"/>
  <c r="H500" i="12"/>
  <c r="N499" i="12" s="1"/>
  <c r="I500" i="12"/>
  <c r="J500" i="12"/>
  <c r="K500" i="12"/>
  <c r="G501" i="12"/>
  <c r="L500" i="12" s="1"/>
  <c r="H501" i="12"/>
  <c r="N500" i="12" s="1"/>
  <c r="I501" i="12"/>
  <c r="J501" i="12"/>
  <c r="K501" i="12"/>
  <c r="G502" i="12"/>
  <c r="L501" i="12" s="1"/>
  <c r="H502" i="12"/>
  <c r="N501" i="12" s="1"/>
  <c r="I502" i="12"/>
  <c r="J502" i="12"/>
  <c r="K502" i="12"/>
  <c r="G503" i="12"/>
  <c r="L502" i="12" s="1"/>
  <c r="H503" i="12"/>
  <c r="N502" i="12" s="1"/>
  <c r="I503" i="12"/>
  <c r="J503" i="12"/>
  <c r="K503" i="12"/>
  <c r="G504" i="12"/>
  <c r="L503" i="12" s="1"/>
  <c r="H504" i="12"/>
  <c r="N503" i="12" s="1"/>
  <c r="I504" i="12"/>
  <c r="J504" i="12"/>
  <c r="K504" i="12"/>
  <c r="G505" i="12"/>
  <c r="L504" i="12" s="1"/>
  <c r="H505" i="12"/>
  <c r="N504" i="12" s="1"/>
  <c r="I505" i="12"/>
  <c r="J505" i="12"/>
  <c r="K505" i="12"/>
  <c r="G506" i="12"/>
  <c r="L505" i="12" s="1"/>
  <c r="H506" i="12"/>
  <c r="N505" i="12" s="1"/>
  <c r="I506" i="12"/>
  <c r="J506" i="12"/>
  <c r="K506" i="12"/>
  <c r="G507" i="12"/>
  <c r="L506" i="12" s="1"/>
  <c r="H507" i="12"/>
  <c r="N506" i="12" s="1"/>
  <c r="I507" i="12"/>
  <c r="J507" i="12"/>
  <c r="K507" i="12"/>
  <c r="G508" i="12"/>
  <c r="L507" i="12" s="1"/>
  <c r="H508" i="12"/>
  <c r="N507" i="12" s="1"/>
  <c r="I508" i="12"/>
  <c r="J508" i="12"/>
  <c r="K508" i="12"/>
  <c r="G509" i="12"/>
  <c r="L508" i="12" s="1"/>
  <c r="H509" i="12"/>
  <c r="N508" i="12" s="1"/>
  <c r="I509" i="12"/>
  <c r="J509" i="12"/>
  <c r="K509" i="12"/>
  <c r="G510" i="12"/>
  <c r="L509" i="12" s="1"/>
  <c r="H510" i="12"/>
  <c r="N509" i="12" s="1"/>
  <c r="I510" i="12"/>
  <c r="J510" i="12"/>
  <c r="K510" i="12"/>
  <c r="G511" i="12"/>
  <c r="L510" i="12" s="1"/>
  <c r="H511" i="12"/>
  <c r="N510" i="12" s="1"/>
  <c r="I511" i="12"/>
  <c r="J511" i="12"/>
  <c r="K511" i="12"/>
  <c r="G512" i="12"/>
  <c r="L511" i="12" s="1"/>
  <c r="H512" i="12"/>
  <c r="N511" i="12" s="1"/>
  <c r="I512" i="12"/>
  <c r="J512" i="12"/>
  <c r="K512" i="12"/>
  <c r="G513" i="12"/>
  <c r="L512" i="12" s="1"/>
  <c r="H513" i="12"/>
  <c r="N512" i="12" s="1"/>
  <c r="I513" i="12"/>
  <c r="J513" i="12"/>
  <c r="K513" i="12"/>
  <c r="G514" i="12"/>
  <c r="L513" i="12" s="1"/>
  <c r="H514" i="12"/>
  <c r="N513" i="12" s="1"/>
  <c r="I514" i="12"/>
  <c r="J514" i="12"/>
  <c r="K514" i="12"/>
  <c r="G515" i="12"/>
  <c r="L514" i="12" s="1"/>
  <c r="H515" i="12"/>
  <c r="N514" i="12" s="1"/>
  <c r="I515" i="12"/>
  <c r="J515" i="12"/>
  <c r="K515" i="12"/>
  <c r="G516" i="12"/>
  <c r="L515" i="12" s="1"/>
  <c r="H516" i="12"/>
  <c r="N515" i="12" s="1"/>
  <c r="I516" i="12"/>
  <c r="J516" i="12"/>
  <c r="K516" i="12"/>
  <c r="G517" i="12"/>
  <c r="L516" i="12" s="1"/>
  <c r="H517" i="12"/>
  <c r="N516" i="12" s="1"/>
  <c r="I517" i="12"/>
  <c r="J517" i="12"/>
  <c r="K517" i="12"/>
  <c r="G518" i="12"/>
  <c r="L517" i="12" s="1"/>
  <c r="H518" i="12"/>
  <c r="N517" i="12" s="1"/>
  <c r="I518" i="12"/>
  <c r="J518" i="12"/>
  <c r="K518" i="12"/>
  <c r="G519" i="12"/>
  <c r="L518" i="12" s="1"/>
  <c r="H519" i="12"/>
  <c r="N518" i="12" s="1"/>
  <c r="I519" i="12"/>
  <c r="J519" i="12"/>
  <c r="K519" i="12"/>
  <c r="G520" i="12"/>
  <c r="L519" i="12" s="1"/>
  <c r="H520" i="12"/>
  <c r="N519" i="12" s="1"/>
  <c r="I520" i="12"/>
  <c r="J520" i="12"/>
  <c r="K520" i="12"/>
  <c r="G521" i="12"/>
  <c r="L520" i="12" s="1"/>
  <c r="H521" i="12"/>
  <c r="N520" i="12" s="1"/>
  <c r="I521" i="12"/>
  <c r="J521" i="12"/>
  <c r="K521" i="12"/>
  <c r="G522" i="12"/>
  <c r="L521" i="12" s="1"/>
  <c r="H522" i="12"/>
  <c r="N521" i="12" s="1"/>
  <c r="I522" i="12"/>
  <c r="J522" i="12"/>
  <c r="K522" i="12"/>
  <c r="G523" i="12"/>
  <c r="L522" i="12" s="1"/>
  <c r="H523" i="12"/>
  <c r="N522" i="12" s="1"/>
  <c r="I523" i="12"/>
  <c r="J523" i="12"/>
  <c r="K523" i="12"/>
  <c r="G524" i="12"/>
  <c r="L523" i="12" s="1"/>
  <c r="H524" i="12"/>
  <c r="N523" i="12" s="1"/>
  <c r="I524" i="12"/>
  <c r="J524" i="12"/>
  <c r="K524" i="12"/>
  <c r="G525" i="12"/>
  <c r="L524" i="12" s="1"/>
  <c r="H525" i="12"/>
  <c r="N524" i="12" s="1"/>
  <c r="I525" i="12"/>
  <c r="J525" i="12"/>
  <c r="K525" i="12"/>
  <c r="G526" i="12"/>
  <c r="L525" i="12" s="1"/>
  <c r="H526" i="12"/>
  <c r="N525" i="12" s="1"/>
  <c r="I526" i="12"/>
  <c r="J526" i="12"/>
  <c r="K526" i="12"/>
  <c r="G527" i="12"/>
  <c r="L526" i="12" s="1"/>
  <c r="H527" i="12"/>
  <c r="N526" i="12" s="1"/>
  <c r="I527" i="12"/>
  <c r="J527" i="12"/>
  <c r="K527" i="12"/>
  <c r="G528" i="12"/>
  <c r="L527" i="12" s="1"/>
  <c r="H528" i="12"/>
  <c r="N527" i="12" s="1"/>
  <c r="I528" i="12"/>
  <c r="J528" i="12"/>
  <c r="K528" i="12"/>
  <c r="G529" i="12"/>
  <c r="L528" i="12" s="1"/>
  <c r="H529" i="12"/>
  <c r="N528" i="12" s="1"/>
  <c r="I529" i="12"/>
  <c r="J529" i="12"/>
  <c r="K529" i="12"/>
  <c r="G530" i="12"/>
  <c r="L529" i="12" s="1"/>
  <c r="H530" i="12"/>
  <c r="N529" i="12" s="1"/>
  <c r="I530" i="12"/>
  <c r="J530" i="12"/>
  <c r="K530" i="12"/>
  <c r="G531" i="12"/>
  <c r="L530" i="12" s="1"/>
  <c r="H531" i="12"/>
  <c r="N530" i="12" s="1"/>
  <c r="I531" i="12"/>
  <c r="J531" i="12"/>
  <c r="K531" i="12"/>
  <c r="G532" i="12"/>
  <c r="L531" i="12" s="1"/>
  <c r="H532" i="12"/>
  <c r="N531" i="12" s="1"/>
  <c r="I532" i="12"/>
  <c r="J532" i="12"/>
  <c r="K532" i="12"/>
  <c r="G533" i="12"/>
  <c r="L532" i="12" s="1"/>
  <c r="H533" i="12"/>
  <c r="N532" i="12" s="1"/>
  <c r="I533" i="12"/>
  <c r="J533" i="12"/>
  <c r="K533" i="12"/>
  <c r="G534" i="12"/>
  <c r="L533" i="12" s="1"/>
  <c r="H534" i="12"/>
  <c r="N533" i="12" s="1"/>
  <c r="I534" i="12"/>
  <c r="J534" i="12"/>
  <c r="K534" i="12"/>
  <c r="G535" i="12"/>
  <c r="L534" i="12" s="1"/>
  <c r="H535" i="12"/>
  <c r="N534" i="12" s="1"/>
  <c r="I535" i="12"/>
  <c r="J535" i="12"/>
  <c r="K535" i="12"/>
  <c r="G536" i="12"/>
  <c r="L535" i="12" s="1"/>
  <c r="H536" i="12"/>
  <c r="N535" i="12" s="1"/>
  <c r="I536" i="12"/>
  <c r="J536" i="12"/>
  <c r="K536" i="12"/>
  <c r="G537" i="12"/>
  <c r="L536" i="12" s="1"/>
  <c r="H537" i="12"/>
  <c r="N536" i="12" s="1"/>
  <c r="I537" i="12"/>
  <c r="J537" i="12"/>
  <c r="K537" i="12"/>
  <c r="G538" i="12"/>
  <c r="L537" i="12" s="1"/>
  <c r="H538" i="12"/>
  <c r="N537" i="12" s="1"/>
  <c r="I538" i="12"/>
  <c r="J538" i="12"/>
  <c r="K538" i="12"/>
  <c r="G539" i="12"/>
  <c r="L538" i="12" s="1"/>
  <c r="H539" i="12"/>
  <c r="N538" i="12" s="1"/>
  <c r="I539" i="12"/>
  <c r="J539" i="12"/>
  <c r="K539" i="12"/>
  <c r="G540" i="12"/>
  <c r="L539" i="12" s="1"/>
  <c r="H540" i="12"/>
  <c r="N539" i="12" s="1"/>
  <c r="I540" i="12"/>
  <c r="J540" i="12"/>
  <c r="K540" i="12"/>
  <c r="G541" i="12"/>
  <c r="L540" i="12" s="1"/>
  <c r="H541" i="12"/>
  <c r="N540" i="12" s="1"/>
  <c r="I541" i="12"/>
  <c r="J541" i="12"/>
  <c r="K541" i="12"/>
  <c r="G542" i="12"/>
  <c r="L541" i="12" s="1"/>
  <c r="H542" i="12"/>
  <c r="N541" i="12" s="1"/>
  <c r="I542" i="12"/>
  <c r="J542" i="12"/>
  <c r="K542" i="12"/>
  <c r="G543" i="12"/>
  <c r="L542" i="12" s="1"/>
  <c r="H543" i="12"/>
  <c r="N542" i="12" s="1"/>
  <c r="I543" i="12"/>
  <c r="J543" i="12"/>
  <c r="K543" i="12"/>
  <c r="G544" i="12"/>
  <c r="L543" i="12" s="1"/>
  <c r="H544" i="12"/>
  <c r="N543" i="12" s="1"/>
  <c r="I544" i="12"/>
  <c r="J544" i="12"/>
  <c r="K544" i="12"/>
  <c r="G545" i="12"/>
  <c r="L544" i="12" s="1"/>
  <c r="H545" i="12"/>
  <c r="N544" i="12" s="1"/>
  <c r="I545" i="12"/>
  <c r="J545" i="12"/>
  <c r="K545" i="12"/>
  <c r="G546" i="12"/>
  <c r="L545" i="12" s="1"/>
  <c r="H546" i="12"/>
  <c r="N545" i="12" s="1"/>
  <c r="I546" i="12"/>
  <c r="J546" i="12"/>
  <c r="K546" i="12"/>
  <c r="G547" i="12"/>
  <c r="L546" i="12" s="1"/>
  <c r="H547" i="12"/>
  <c r="N546" i="12" s="1"/>
  <c r="I547" i="12"/>
  <c r="J547" i="12"/>
  <c r="K547" i="12"/>
  <c r="G548" i="12"/>
  <c r="L547" i="12" s="1"/>
  <c r="H548" i="12"/>
  <c r="N547" i="12" s="1"/>
  <c r="I548" i="12"/>
  <c r="J548" i="12"/>
  <c r="K548" i="12"/>
  <c r="G549" i="12"/>
  <c r="L548" i="12" s="1"/>
  <c r="H549" i="12"/>
  <c r="N548" i="12" s="1"/>
  <c r="I549" i="12"/>
  <c r="J549" i="12"/>
  <c r="K549" i="12"/>
  <c r="G550" i="12"/>
  <c r="L549" i="12" s="1"/>
  <c r="H550" i="12"/>
  <c r="N549" i="12" s="1"/>
  <c r="I550" i="12"/>
  <c r="J550" i="12"/>
  <c r="K550" i="12"/>
  <c r="G551" i="12"/>
  <c r="L550" i="12" s="1"/>
  <c r="H551" i="12"/>
  <c r="N550" i="12" s="1"/>
  <c r="I551" i="12"/>
  <c r="J551" i="12"/>
  <c r="K551" i="12"/>
  <c r="G552" i="12"/>
  <c r="L551" i="12" s="1"/>
  <c r="H552" i="12"/>
  <c r="N551" i="12" s="1"/>
  <c r="I552" i="12"/>
  <c r="J552" i="12"/>
  <c r="K552" i="12"/>
  <c r="G553" i="12"/>
  <c r="L552" i="12" s="1"/>
  <c r="H553" i="12"/>
  <c r="N552" i="12" s="1"/>
  <c r="I553" i="12"/>
  <c r="J553" i="12"/>
  <c r="K553" i="12"/>
  <c r="G554" i="12"/>
  <c r="L553" i="12" s="1"/>
  <c r="H554" i="12"/>
  <c r="N553" i="12" s="1"/>
  <c r="I554" i="12"/>
  <c r="J554" i="12"/>
  <c r="K554" i="12"/>
  <c r="G555" i="12"/>
  <c r="L554" i="12" s="1"/>
  <c r="H555" i="12"/>
  <c r="N554" i="12" s="1"/>
  <c r="I555" i="12"/>
  <c r="J555" i="12"/>
  <c r="K555" i="12"/>
  <c r="L555" i="12"/>
  <c r="M555" i="12"/>
  <c r="N555" i="12"/>
  <c r="G556" i="12"/>
  <c r="H556" i="12"/>
  <c r="I556" i="12"/>
  <c r="J556" i="12"/>
  <c r="K556" i="12"/>
  <c r="G557" i="12"/>
  <c r="L556" i="12" s="1"/>
  <c r="H557" i="12"/>
  <c r="N556" i="12" s="1"/>
  <c r="I557" i="12"/>
  <c r="J557" i="12"/>
  <c r="K557" i="12"/>
  <c r="G558" i="12"/>
  <c r="L557" i="12" s="1"/>
  <c r="H558" i="12"/>
  <c r="N557" i="12" s="1"/>
  <c r="I558" i="12"/>
  <c r="J558" i="12"/>
  <c r="K558" i="12"/>
  <c r="G559" i="12"/>
  <c r="L558" i="12" s="1"/>
  <c r="H559" i="12"/>
  <c r="N558" i="12" s="1"/>
  <c r="I559" i="12"/>
  <c r="J559" i="12"/>
  <c r="K559" i="12"/>
  <c r="G560" i="12"/>
  <c r="L559" i="12" s="1"/>
  <c r="H560" i="12"/>
  <c r="N559" i="12" s="1"/>
  <c r="I560" i="12"/>
  <c r="J560" i="12"/>
  <c r="K560" i="12"/>
  <c r="L560" i="12"/>
  <c r="M560" i="12"/>
  <c r="N560" i="12"/>
  <c r="I2" i="12"/>
  <c r="J2" i="12"/>
  <c r="K2" i="12"/>
  <c r="I3" i="12"/>
  <c r="J3" i="12"/>
  <c r="K3" i="12"/>
  <c r="L3" i="12"/>
  <c r="M3" i="12"/>
  <c r="N3" i="12"/>
  <c r="I4" i="12"/>
  <c r="J4" i="12"/>
  <c r="K4" i="12"/>
  <c r="I5" i="12"/>
  <c r="J5" i="12"/>
  <c r="K5" i="12"/>
  <c r="L5" i="12"/>
  <c r="M5" i="12"/>
  <c r="N5" i="12"/>
  <c r="G2" i="12"/>
  <c r="H2" i="12"/>
  <c r="G3" i="12"/>
  <c r="L2" i="12" s="1"/>
  <c r="H3" i="12"/>
  <c r="N2" i="12" s="1"/>
  <c r="G4" i="12"/>
  <c r="H4" i="12"/>
  <c r="G5" i="12"/>
  <c r="L4" i="12" s="1"/>
  <c r="H5" i="12"/>
  <c r="N4" i="12" s="1"/>
  <c r="G6" i="12"/>
  <c r="H6" i="12"/>
  <c r="I6" i="12"/>
  <c r="J6" i="12"/>
  <c r="K6" i="12"/>
  <c r="J3" i="6"/>
  <c r="J4" i="6"/>
  <c r="J5" i="6"/>
  <c r="J6" i="6"/>
  <c r="J7" i="6"/>
  <c r="J8" i="6"/>
  <c r="J10" i="6"/>
  <c r="J11" i="6"/>
  <c r="J12" i="6"/>
  <c r="J13" i="6"/>
  <c r="J14" i="6"/>
  <c r="J15" i="6"/>
  <c r="J16" i="6"/>
  <c r="J17" i="6"/>
  <c r="J18" i="6"/>
  <c r="J19" i="6"/>
  <c r="J259" i="6"/>
  <c r="J260" i="6"/>
  <c r="J261" i="6"/>
  <c r="J262" i="6"/>
  <c r="J263" i="6"/>
  <c r="J264" i="6"/>
  <c r="J265" i="6"/>
  <c r="J20" i="6" l="1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" i="6"/>
  <c r="I7" i="12" l="1"/>
  <c r="I8" i="12"/>
  <c r="I9" i="12"/>
  <c r="I10" i="12"/>
  <c r="E11" i="12"/>
  <c r="E12" i="12"/>
  <c r="M12" i="12" s="1"/>
  <c r="E13" i="12"/>
  <c r="E14" i="12"/>
  <c r="M14" i="12" s="1"/>
  <c r="E15" i="12"/>
  <c r="M15" i="12" s="1"/>
  <c r="E16" i="12"/>
  <c r="M16" i="12" s="1"/>
  <c r="E17" i="12"/>
  <c r="M17" i="12" s="1"/>
  <c r="E18" i="12"/>
  <c r="M18" i="12" s="1"/>
  <c r="E19" i="12"/>
  <c r="M19" i="12" s="1"/>
  <c r="E20" i="12"/>
  <c r="M20" i="12" s="1"/>
  <c r="E21" i="12"/>
  <c r="M21" i="12" s="1"/>
  <c r="E22" i="12"/>
  <c r="M22" i="12" s="1"/>
  <c r="E23" i="12"/>
  <c r="E24" i="12"/>
  <c r="M24" i="12" s="1"/>
  <c r="E25" i="12"/>
  <c r="M25" i="12" s="1"/>
  <c r="E26" i="12"/>
  <c r="M26" i="12" s="1"/>
  <c r="E27" i="12"/>
  <c r="M27" i="12" s="1"/>
  <c r="E28" i="12"/>
  <c r="M28" i="12" s="1"/>
  <c r="E29" i="12"/>
  <c r="M29" i="12" s="1"/>
  <c r="E30" i="12"/>
  <c r="E31" i="12"/>
  <c r="M31" i="12" s="1"/>
  <c r="E32" i="12"/>
  <c r="M32" i="12" s="1"/>
  <c r="E33" i="12"/>
  <c r="M33" i="12" s="1"/>
  <c r="E34" i="12"/>
  <c r="E35" i="12"/>
  <c r="E37" i="12"/>
  <c r="E38" i="12"/>
  <c r="M38" i="12" s="1"/>
  <c r="E39" i="12"/>
  <c r="M39" i="12" s="1"/>
  <c r="E40" i="12"/>
  <c r="E41" i="12"/>
  <c r="M41" i="12" s="1"/>
  <c r="E42" i="12"/>
  <c r="M42" i="12" s="1"/>
  <c r="E43" i="12"/>
  <c r="E44" i="12"/>
  <c r="E45" i="12"/>
  <c r="E46" i="12"/>
  <c r="E47" i="12"/>
  <c r="M47" i="12" s="1"/>
  <c r="E48" i="12"/>
  <c r="M48" i="12" s="1"/>
  <c r="E49" i="12"/>
  <c r="M49" i="12" s="1"/>
  <c r="E50" i="12"/>
  <c r="E51" i="12"/>
  <c r="M51" i="12" s="1"/>
  <c r="E52" i="12"/>
  <c r="M52" i="12" s="1"/>
  <c r="E53" i="12"/>
  <c r="E54" i="12"/>
  <c r="M54" i="12" s="1"/>
  <c r="E55" i="12"/>
  <c r="M55" i="12" s="1"/>
  <c r="E56" i="12"/>
  <c r="M56" i="12" s="1"/>
  <c r="E57" i="12"/>
  <c r="M57" i="12" s="1"/>
  <c r="E58" i="12"/>
  <c r="E59" i="12"/>
  <c r="M59" i="12" s="1"/>
  <c r="E60" i="12"/>
  <c r="M60" i="12" s="1"/>
  <c r="E61" i="12"/>
  <c r="M61" i="12" s="1"/>
  <c r="E62" i="12"/>
  <c r="E36" i="12"/>
  <c r="E63" i="12"/>
  <c r="E64" i="12"/>
  <c r="M64" i="12" s="1"/>
  <c r="E65" i="12"/>
  <c r="E66" i="12"/>
  <c r="E67" i="12"/>
  <c r="E68" i="12"/>
  <c r="E69" i="12"/>
  <c r="M69" i="12" s="1"/>
  <c r="E70" i="12"/>
  <c r="E71" i="12"/>
  <c r="M71" i="12" s="1"/>
  <c r="E72" i="12"/>
  <c r="M72" i="12" s="1"/>
  <c r="E73" i="12"/>
  <c r="M73" i="12" s="1"/>
  <c r="E74" i="12"/>
  <c r="E75" i="12"/>
  <c r="M75" i="12" s="1"/>
  <c r="E76" i="12"/>
  <c r="M76" i="12" s="1"/>
  <c r="E77" i="12"/>
  <c r="M77" i="12" s="1"/>
  <c r="E78" i="12"/>
  <c r="M78" i="12" s="1"/>
  <c r="E79" i="12"/>
  <c r="M79" i="12" s="1"/>
  <c r="E80" i="12"/>
  <c r="E81" i="12"/>
  <c r="M81" i="12" s="1"/>
  <c r="E82" i="12"/>
  <c r="M82" i="12" s="1"/>
  <c r="E83" i="12"/>
  <c r="E84" i="12"/>
  <c r="M84" i="12" s="1"/>
  <c r="E85" i="12"/>
  <c r="E86" i="12"/>
  <c r="E87" i="12"/>
  <c r="E88" i="12"/>
  <c r="E89" i="12"/>
  <c r="M89" i="12" s="1"/>
  <c r="E90" i="12"/>
  <c r="M90" i="12" s="1"/>
  <c r="E91" i="12"/>
  <c r="E92" i="12"/>
  <c r="E93" i="12"/>
  <c r="M93" i="12" s="1"/>
  <c r="E94" i="12"/>
  <c r="M94" i="12" s="1"/>
  <c r="E95" i="12"/>
  <c r="M95" i="12" s="1"/>
  <c r="E96" i="12"/>
  <c r="M96" i="12" s="1"/>
  <c r="E97" i="12"/>
  <c r="E98" i="12"/>
  <c r="E99" i="12"/>
  <c r="M99" i="12" s="1"/>
  <c r="E100" i="12"/>
  <c r="M100" i="12" s="1"/>
  <c r="E101" i="12"/>
  <c r="M101" i="12" s="1"/>
  <c r="E102" i="12"/>
  <c r="M102" i="12" s="1"/>
  <c r="E103" i="12"/>
  <c r="E104" i="12"/>
  <c r="M104" i="12" s="1"/>
  <c r="E105" i="12"/>
  <c r="M105" i="12" s="1"/>
  <c r="E106" i="12"/>
  <c r="M106" i="12" s="1"/>
  <c r="E107" i="12"/>
  <c r="M107" i="12" s="1"/>
  <c r="E108" i="12"/>
  <c r="M108" i="12" s="1"/>
  <c r="E109" i="12"/>
  <c r="M109" i="12" s="1"/>
  <c r="E110" i="12"/>
  <c r="E111" i="12"/>
  <c r="E112" i="12"/>
  <c r="E113" i="12"/>
  <c r="E114" i="12"/>
  <c r="E115" i="12"/>
  <c r="M115" i="12" s="1"/>
  <c r="E116" i="12"/>
  <c r="M116" i="12" s="1"/>
  <c r="E117" i="12"/>
  <c r="M117" i="12" s="1"/>
  <c r="E118" i="12"/>
  <c r="M118" i="12" s="1"/>
  <c r="E119" i="12"/>
  <c r="M119" i="12" s="1"/>
  <c r="E120" i="12"/>
  <c r="E121" i="12"/>
  <c r="M121" i="12" s="1"/>
  <c r="E122" i="12"/>
  <c r="M122" i="12" s="1"/>
  <c r="E123" i="12"/>
  <c r="M123" i="12" s="1"/>
  <c r="E124" i="12"/>
  <c r="M124" i="12" s="1"/>
  <c r="E125" i="12"/>
  <c r="M125" i="12" s="1"/>
  <c r="E126" i="12"/>
  <c r="M126" i="12" s="1"/>
  <c r="E127" i="12"/>
  <c r="E128" i="12"/>
  <c r="M128" i="12" s="1"/>
  <c r="E129" i="12"/>
  <c r="M129" i="12" s="1"/>
  <c r="E130" i="12"/>
  <c r="E131" i="12"/>
  <c r="M131" i="12" s="1"/>
  <c r="E132" i="12"/>
  <c r="M132" i="12" s="1"/>
  <c r="E133" i="12"/>
  <c r="M133" i="12" s="1"/>
  <c r="E134" i="12"/>
  <c r="M134" i="12" s="1"/>
  <c r="E135" i="12"/>
  <c r="M135" i="12" s="1"/>
  <c r="E136" i="12"/>
  <c r="M136" i="12" s="1"/>
  <c r="E137" i="12"/>
  <c r="M137" i="12" s="1"/>
  <c r="E138" i="12"/>
  <c r="E139" i="12"/>
  <c r="M139" i="12" s="1"/>
  <c r="E140" i="12"/>
  <c r="E141" i="12"/>
  <c r="M141" i="12" s="1"/>
  <c r="E142" i="12"/>
  <c r="M142" i="12" s="1"/>
  <c r="E143" i="12"/>
  <c r="E144" i="12"/>
  <c r="M144" i="12" s="1"/>
  <c r="E145" i="12"/>
  <c r="E146" i="12"/>
  <c r="E147" i="12"/>
  <c r="E148" i="12"/>
  <c r="M148" i="12" s="1"/>
  <c r="E149" i="12"/>
  <c r="M149" i="12" s="1"/>
  <c r="E150" i="12"/>
  <c r="M150" i="12" s="1"/>
  <c r="E151" i="12"/>
  <c r="M151" i="12" s="1"/>
  <c r="E152" i="12"/>
  <c r="M152" i="12" s="1"/>
  <c r="E153" i="12"/>
  <c r="M153" i="12" s="1"/>
  <c r="E154" i="12"/>
  <c r="M154" i="12" s="1"/>
  <c r="E155" i="12"/>
  <c r="M155" i="12" s="1"/>
  <c r="E156" i="12"/>
  <c r="M156" i="12" s="1"/>
  <c r="E157" i="12"/>
  <c r="M157" i="12" s="1"/>
  <c r="E158" i="12"/>
  <c r="M158" i="12" s="1"/>
  <c r="E159" i="12"/>
  <c r="M159" i="12" s="1"/>
  <c r="E160" i="12"/>
  <c r="M160" i="12" s="1"/>
  <c r="E161" i="12"/>
  <c r="M161" i="12" s="1"/>
  <c r="E162" i="12"/>
  <c r="M162" i="12" s="1"/>
  <c r="E163" i="12"/>
  <c r="M163" i="12" s="1"/>
  <c r="E164" i="12"/>
  <c r="M164" i="12" s="1"/>
  <c r="E165" i="12"/>
  <c r="M165" i="12" s="1"/>
  <c r="E166" i="12"/>
  <c r="M166" i="12" s="1"/>
  <c r="E167" i="12"/>
  <c r="M167" i="12" s="1"/>
  <c r="E168" i="12"/>
  <c r="M168" i="12" s="1"/>
  <c r="E169" i="12"/>
  <c r="E170" i="12"/>
  <c r="M170" i="12" s="1"/>
  <c r="E171" i="12"/>
  <c r="M171" i="12" s="1"/>
  <c r="E172" i="12"/>
  <c r="M172" i="12" s="1"/>
  <c r="E173" i="12"/>
  <c r="M173" i="12" s="1"/>
  <c r="E174" i="12"/>
  <c r="E175" i="12"/>
  <c r="M175" i="12" s="1"/>
  <c r="E176" i="12"/>
  <c r="M176" i="12" s="1"/>
  <c r="E177" i="12"/>
  <c r="M177" i="12" s="1"/>
  <c r="E178" i="12"/>
  <c r="M178" i="12" s="1"/>
  <c r="E179" i="12"/>
  <c r="M179" i="12" s="1"/>
  <c r="E180" i="12"/>
  <c r="M180" i="12" s="1"/>
  <c r="E181" i="12"/>
  <c r="M181" i="12" s="1"/>
  <c r="E182" i="12"/>
  <c r="E183" i="12"/>
  <c r="M183" i="12" s="1"/>
  <c r="E184" i="12"/>
  <c r="E185" i="12"/>
  <c r="M185" i="12" s="1"/>
  <c r="E186" i="12"/>
  <c r="M186" i="12" s="1"/>
  <c r="E187" i="12"/>
  <c r="M187" i="12" s="1"/>
  <c r="E188" i="12"/>
  <c r="M188" i="12" s="1"/>
  <c r="E189" i="12"/>
  <c r="M189" i="12" s="1"/>
  <c r="E190" i="12"/>
  <c r="M190" i="12" s="1"/>
  <c r="E191" i="12"/>
  <c r="M191" i="12" s="1"/>
  <c r="E192" i="12"/>
  <c r="E193" i="12"/>
  <c r="M193" i="12" s="1"/>
  <c r="E194" i="12"/>
  <c r="M194" i="12" s="1"/>
  <c r="E195" i="12"/>
  <c r="M195" i="12" s="1"/>
  <c r="E196" i="12"/>
  <c r="M196" i="12" s="1"/>
  <c r="E197" i="12"/>
  <c r="M197" i="12" s="1"/>
  <c r="E198" i="12"/>
  <c r="E199" i="12"/>
  <c r="M199" i="12" s="1"/>
  <c r="E200" i="12"/>
  <c r="M200" i="12" s="1"/>
  <c r="E201" i="12"/>
  <c r="M201" i="12" s="1"/>
  <c r="E202" i="12"/>
  <c r="M202" i="12" s="1"/>
  <c r="E203" i="12"/>
  <c r="M203" i="12" s="1"/>
  <c r="E204" i="12"/>
  <c r="E205" i="12"/>
  <c r="M205" i="12" s="1"/>
  <c r="E206" i="12"/>
  <c r="E207" i="12"/>
  <c r="M207" i="12" s="1"/>
  <c r="E208" i="12"/>
  <c r="M208" i="12" s="1"/>
  <c r="E209" i="12"/>
  <c r="M209" i="12" s="1"/>
  <c r="E210" i="12"/>
  <c r="M210" i="12" s="1"/>
  <c r="E211" i="12"/>
  <c r="M211" i="12" s="1"/>
  <c r="E212" i="12"/>
  <c r="M212" i="12" s="1"/>
  <c r="E213" i="12"/>
  <c r="M213" i="12" s="1"/>
  <c r="E214" i="12"/>
  <c r="M214" i="12" s="1"/>
  <c r="E215" i="12"/>
  <c r="M215" i="12" s="1"/>
  <c r="E216" i="12"/>
  <c r="E217" i="12"/>
  <c r="M217" i="12" s="1"/>
  <c r="E218" i="12"/>
  <c r="M218" i="12" s="1"/>
  <c r="E219" i="12"/>
  <c r="M219" i="12" s="1"/>
  <c r="E220" i="12"/>
  <c r="M220" i="12" s="1"/>
  <c r="E221" i="12"/>
  <c r="E222" i="12"/>
  <c r="E223" i="12"/>
  <c r="E224" i="12"/>
  <c r="M224" i="12" s="1"/>
  <c r="E225" i="12"/>
  <c r="M225" i="12" s="1"/>
  <c r="E226" i="12"/>
  <c r="E227" i="12"/>
  <c r="M227" i="12" s="1"/>
  <c r="E228" i="12"/>
  <c r="M228" i="12" s="1"/>
  <c r="E229" i="12"/>
  <c r="M229" i="12" s="1"/>
  <c r="E230" i="12"/>
  <c r="M230" i="12" s="1"/>
  <c r="E231" i="12"/>
  <c r="M231" i="12" s="1"/>
  <c r="E232" i="12"/>
  <c r="M232" i="12" s="1"/>
  <c r="E233" i="12"/>
  <c r="M233" i="12" s="1"/>
  <c r="E234" i="12"/>
  <c r="M234" i="12" s="1"/>
  <c r="E235" i="12"/>
  <c r="M235" i="12" s="1"/>
  <c r="E236" i="12"/>
  <c r="M236" i="12" s="1"/>
  <c r="E237" i="12"/>
  <c r="M237" i="12" s="1"/>
  <c r="E238" i="12"/>
  <c r="M238" i="12" s="1"/>
  <c r="E239" i="12"/>
  <c r="E240" i="12"/>
  <c r="M240" i="12" s="1"/>
  <c r="E242" i="12"/>
  <c r="M242" i="12" s="1"/>
  <c r="E243" i="12"/>
  <c r="M243" i="12" s="1"/>
  <c r="E244" i="12"/>
  <c r="M244" i="12" s="1"/>
  <c r="E245" i="12"/>
  <c r="M245" i="12" s="1"/>
  <c r="E246" i="12"/>
  <c r="M246" i="12" s="1"/>
  <c r="E247" i="12"/>
  <c r="M247" i="12" s="1"/>
  <c r="E248" i="12"/>
  <c r="M248" i="12" s="1"/>
  <c r="E249" i="12"/>
  <c r="M249" i="12" s="1"/>
  <c r="E250" i="12"/>
  <c r="M250" i="12" s="1"/>
  <c r="E251" i="12"/>
  <c r="M251" i="12" s="1"/>
  <c r="E252" i="12"/>
  <c r="M252" i="12" s="1"/>
  <c r="E253" i="12"/>
  <c r="M253" i="12" s="1"/>
  <c r="E254" i="12"/>
  <c r="M254" i="12" s="1"/>
  <c r="E255" i="12"/>
  <c r="M255" i="12" s="1"/>
  <c r="E256" i="12"/>
  <c r="M256" i="12" s="1"/>
  <c r="E257" i="12"/>
  <c r="E258" i="12"/>
  <c r="M258" i="12" s="1"/>
  <c r="E259" i="12"/>
  <c r="M259" i="12" s="1"/>
  <c r="E260" i="12"/>
  <c r="M260" i="12" s="1"/>
  <c r="E261" i="12"/>
  <c r="M261" i="12" s="1"/>
  <c r="E262" i="12"/>
  <c r="M262" i="12" s="1"/>
  <c r="E263" i="12"/>
  <c r="M263" i="12" s="1"/>
  <c r="E264" i="12"/>
  <c r="E265" i="12"/>
  <c r="M265" i="12" s="1"/>
  <c r="E266" i="12"/>
  <c r="M266" i="12" s="1"/>
  <c r="E267" i="12"/>
  <c r="M267" i="12" s="1"/>
  <c r="E268" i="12"/>
  <c r="M268" i="12" s="1"/>
  <c r="E269" i="12"/>
  <c r="M269" i="12" s="1"/>
  <c r="E270" i="12"/>
  <c r="M270" i="12" s="1"/>
  <c r="E271" i="12"/>
  <c r="E272" i="12"/>
  <c r="M272" i="12" s="1"/>
  <c r="E273" i="12"/>
  <c r="E274" i="12"/>
  <c r="M274" i="12" s="1"/>
  <c r="E275" i="12"/>
  <c r="M275" i="12" s="1"/>
  <c r="E276" i="12"/>
  <c r="M276" i="12" s="1"/>
  <c r="E277" i="12"/>
  <c r="M277" i="12" s="1"/>
  <c r="E278" i="12"/>
  <c r="E279" i="12"/>
  <c r="M279" i="12" s="1"/>
  <c r="E280" i="12"/>
  <c r="M280" i="12" s="1"/>
  <c r="E281" i="12"/>
  <c r="M281" i="12" s="1"/>
  <c r="E282" i="12"/>
  <c r="M282" i="12" s="1"/>
  <c r="E283" i="12"/>
  <c r="M283" i="12" s="1"/>
  <c r="E284" i="12"/>
  <c r="M284" i="12" s="1"/>
  <c r="E285" i="12"/>
  <c r="M285" i="12" s="1"/>
  <c r="E286" i="12"/>
  <c r="M286" i="12" s="1"/>
  <c r="E287" i="12"/>
  <c r="E288" i="12"/>
  <c r="M288" i="12" s="1"/>
  <c r="E289" i="12"/>
  <c r="E290" i="12"/>
  <c r="M290" i="12" s="1"/>
  <c r="E291" i="12"/>
  <c r="E292" i="12"/>
  <c r="M292" i="12" s="1"/>
  <c r="E293" i="12"/>
  <c r="M293" i="12" s="1"/>
  <c r="E294" i="12"/>
  <c r="E295" i="12"/>
  <c r="M295" i="12" s="1"/>
  <c r="E296" i="12"/>
  <c r="E297" i="12"/>
  <c r="M297" i="12" s="1"/>
  <c r="E298" i="12"/>
  <c r="M298" i="12" s="1"/>
  <c r="E299" i="12"/>
  <c r="M299" i="12" s="1"/>
  <c r="E300" i="12"/>
  <c r="M300" i="12" s="1"/>
  <c r="E301" i="12"/>
  <c r="M301" i="12" s="1"/>
  <c r="E302" i="12"/>
  <c r="M302" i="12" s="1"/>
  <c r="E303" i="12"/>
  <c r="M303" i="12" s="1"/>
  <c r="E304" i="12"/>
  <c r="M304" i="12" s="1"/>
  <c r="E305" i="12"/>
  <c r="E306" i="12"/>
  <c r="M306" i="12" s="1"/>
  <c r="E307" i="12"/>
  <c r="M307" i="12" s="1"/>
  <c r="E308" i="12"/>
  <c r="M308" i="12" s="1"/>
  <c r="E309" i="12"/>
  <c r="M309" i="12" s="1"/>
  <c r="E310" i="12"/>
  <c r="M310" i="12" s="1"/>
  <c r="E311" i="12"/>
  <c r="M311" i="12" s="1"/>
  <c r="E312" i="12"/>
  <c r="M312" i="12" s="1"/>
  <c r="E313" i="12"/>
  <c r="M313" i="12" s="1"/>
  <c r="E314" i="12"/>
  <c r="M314" i="12" s="1"/>
  <c r="E315" i="12"/>
  <c r="M315" i="12" s="1"/>
  <c r="E316" i="12"/>
  <c r="M316" i="12" s="1"/>
  <c r="E317" i="12"/>
  <c r="M317" i="12" s="1"/>
  <c r="E318" i="12"/>
  <c r="M318" i="12" s="1"/>
  <c r="E319" i="12"/>
  <c r="M319" i="12" s="1"/>
  <c r="E320" i="12"/>
  <c r="M320" i="12" s="1"/>
  <c r="E321" i="12"/>
  <c r="M321" i="12" s="1"/>
  <c r="E322" i="12"/>
  <c r="M322" i="12" s="1"/>
  <c r="E323" i="12"/>
  <c r="M323" i="12" s="1"/>
  <c r="E324" i="12"/>
  <c r="M324" i="12" s="1"/>
  <c r="E325" i="12"/>
  <c r="E326" i="12"/>
  <c r="M326" i="12" s="1"/>
  <c r="E327" i="12"/>
  <c r="M327" i="12" s="1"/>
  <c r="E328" i="12"/>
  <c r="M328" i="12" s="1"/>
  <c r="E329" i="12"/>
  <c r="M329" i="12" s="1"/>
  <c r="E330" i="12"/>
  <c r="M330" i="12" s="1"/>
  <c r="E331" i="12"/>
  <c r="M331" i="12" s="1"/>
  <c r="E332" i="12"/>
  <c r="M332" i="12" s="1"/>
  <c r="E333" i="12"/>
  <c r="M333" i="12" s="1"/>
  <c r="E334" i="12"/>
  <c r="M334" i="12" s="1"/>
  <c r="E335" i="12"/>
  <c r="M335" i="12" s="1"/>
  <c r="E336" i="12"/>
  <c r="M336" i="12" s="1"/>
  <c r="E337" i="12"/>
  <c r="M337" i="12" s="1"/>
  <c r="E338" i="12"/>
  <c r="M338" i="12" s="1"/>
  <c r="E339" i="12"/>
  <c r="E340" i="12"/>
  <c r="M340" i="12" s="1"/>
  <c r="E341" i="12"/>
  <c r="M341" i="12" s="1"/>
  <c r="E342" i="12"/>
  <c r="M342" i="12" s="1"/>
  <c r="E343" i="12"/>
  <c r="M343" i="12" s="1"/>
  <c r="E344" i="12"/>
  <c r="M344" i="12" s="1"/>
  <c r="E345" i="12"/>
  <c r="M345" i="12" s="1"/>
  <c r="E346" i="12"/>
  <c r="M346" i="12" s="1"/>
  <c r="E347" i="12"/>
  <c r="M347" i="12" s="1"/>
  <c r="E348" i="12"/>
  <c r="M348" i="12" s="1"/>
  <c r="E349" i="12"/>
  <c r="M349" i="12" s="1"/>
  <c r="E350" i="12"/>
  <c r="M350" i="12" s="1"/>
  <c r="E351" i="12"/>
  <c r="M351" i="12" s="1"/>
  <c r="E352" i="12"/>
  <c r="M352" i="12" s="1"/>
  <c r="E353" i="12"/>
  <c r="M353" i="12" s="1"/>
  <c r="E354" i="12"/>
  <c r="M354" i="12" s="1"/>
  <c r="E355" i="12"/>
  <c r="E356" i="12"/>
  <c r="M356" i="12" s="1"/>
  <c r="E357" i="12"/>
  <c r="M357" i="12" s="1"/>
  <c r="E358" i="12"/>
  <c r="M358" i="12" s="1"/>
  <c r="E359" i="12"/>
  <c r="M359" i="12" s="1"/>
  <c r="E360" i="12"/>
  <c r="M360" i="12" s="1"/>
  <c r="E361" i="12"/>
  <c r="M361" i="12" s="1"/>
  <c r="E362" i="12"/>
  <c r="M362" i="12" s="1"/>
  <c r="E363" i="12"/>
  <c r="M363" i="12" s="1"/>
  <c r="E364" i="12"/>
  <c r="E365" i="12"/>
  <c r="M365" i="12" s="1"/>
  <c r="E366" i="12"/>
  <c r="M366" i="12" s="1"/>
  <c r="E367" i="12"/>
  <c r="M367" i="12" s="1"/>
  <c r="E368" i="12"/>
  <c r="M368" i="12" s="1"/>
  <c r="E369" i="12"/>
  <c r="M369" i="12" s="1"/>
  <c r="E370" i="12"/>
  <c r="E371" i="12"/>
  <c r="M371" i="12" s="1"/>
  <c r="E372" i="12"/>
  <c r="E373" i="12"/>
  <c r="M373" i="12" s="1"/>
  <c r="E374" i="12"/>
  <c r="M374" i="12" s="1"/>
  <c r="E375" i="12"/>
  <c r="M375" i="12" s="1"/>
  <c r="E376" i="12"/>
  <c r="M376" i="12" s="1"/>
  <c r="E377" i="12"/>
  <c r="M377" i="12" s="1"/>
  <c r="E378" i="12"/>
  <c r="M378" i="12" s="1"/>
  <c r="E379" i="12"/>
  <c r="E380" i="12"/>
  <c r="M380" i="12" s="1"/>
  <c r="E381" i="12"/>
  <c r="M381" i="12" s="1"/>
  <c r="E382" i="12"/>
  <c r="M382" i="12" s="1"/>
  <c r="E383" i="12"/>
  <c r="M383" i="12" s="1"/>
  <c r="E384" i="12"/>
  <c r="M384" i="12" s="1"/>
  <c r="E385" i="12"/>
  <c r="M385" i="12" s="1"/>
  <c r="E386" i="12"/>
  <c r="M386" i="12" s="1"/>
  <c r="E387" i="12"/>
  <c r="M387" i="12" s="1"/>
  <c r="E388" i="12"/>
  <c r="E389" i="12"/>
  <c r="M389" i="12" s="1"/>
  <c r="E390" i="12"/>
  <c r="M390" i="12" s="1"/>
  <c r="E391" i="12"/>
  <c r="M391" i="12" s="1"/>
  <c r="E392" i="12"/>
  <c r="E393" i="12"/>
  <c r="M393" i="12" s="1"/>
  <c r="E394" i="12"/>
  <c r="M394" i="12" s="1"/>
  <c r="E395" i="12"/>
  <c r="M395" i="12" s="1"/>
  <c r="E396" i="12"/>
  <c r="M396" i="12" s="1"/>
  <c r="E397" i="12"/>
  <c r="M397" i="12" s="1"/>
  <c r="E398" i="12"/>
  <c r="M398" i="12" s="1"/>
  <c r="E399" i="12"/>
  <c r="M399" i="12" s="1"/>
  <c r="E400" i="12"/>
  <c r="M400" i="12" s="1"/>
  <c r="E401" i="12"/>
  <c r="M401" i="12" s="1"/>
  <c r="E402" i="12"/>
  <c r="M402" i="12" s="1"/>
  <c r="E403" i="12"/>
  <c r="M403" i="12" s="1"/>
  <c r="E404" i="12"/>
  <c r="E405" i="12"/>
  <c r="M405" i="12" s="1"/>
  <c r="E406" i="12"/>
  <c r="M406" i="12" s="1"/>
  <c r="E407" i="12"/>
  <c r="M407" i="12" s="1"/>
  <c r="E408" i="12"/>
  <c r="M408" i="12" s="1"/>
  <c r="E409" i="12"/>
  <c r="M409" i="12" s="1"/>
  <c r="E410" i="12"/>
  <c r="M410" i="12" s="1"/>
  <c r="E411" i="12"/>
  <c r="M411" i="12" s="1"/>
  <c r="E412" i="12"/>
  <c r="E413" i="12"/>
  <c r="M413" i="12" s="1"/>
  <c r="E414" i="12"/>
  <c r="M414" i="12" s="1"/>
  <c r="E415" i="12"/>
  <c r="M415" i="12" s="1"/>
  <c r="E416" i="12"/>
  <c r="M416" i="12" s="1"/>
  <c r="E417" i="12"/>
  <c r="M417" i="12" s="1"/>
  <c r="E418" i="12"/>
  <c r="M418" i="12" s="1"/>
  <c r="E419" i="12"/>
  <c r="M419" i="12" s="1"/>
  <c r="E420" i="12"/>
  <c r="E421" i="12"/>
  <c r="M421" i="12" s="1"/>
  <c r="E422" i="12"/>
  <c r="M422" i="12" s="1"/>
  <c r="E423" i="12"/>
  <c r="M423" i="12" s="1"/>
  <c r="E424" i="12"/>
  <c r="M424" i="12" s="1"/>
  <c r="E425" i="12"/>
  <c r="M425" i="12" s="1"/>
  <c r="E426" i="12"/>
  <c r="M426" i="12" s="1"/>
  <c r="E427" i="12"/>
  <c r="M427" i="12" s="1"/>
  <c r="E428" i="12"/>
  <c r="M428" i="12" s="1"/>
  <c r="E429" i="12"/>
  <c r="M429" i="12" s="1"/>
  <c r="E430" i="12"/>
  <c r="E431" i="12"/>
  <c r="M431" i="12" s="1"/>
  <c r="E432" i="12"/>
  <c r="M432" i="12" s="1"/>
  <c r="E433" i="12"/>
  <c r="E434" i="12"/>
  <c r="M434" i="12" s="1"/>
  <c r="E435" i="12"/>
  <c r="M435" i="12" s="1"/>
  <c r="E436" i="12"/>
  <c r="M436" i="12" s="1"/>
  <c r="E437" i="12"/>
  <c r="M437" i="12" s="1"/>
  <c r="E438" i="12"/>
  <c r="M438" i="12" s="1"/>
  <c r="E439" i="12"/>
  <c r="E440" i="12"/>
  <c r="M440" i="12" s="1"/>
  <c r="E441" i="12"/>
  <c r="E442" i="12"/>
  <c r="M442" i="12" s="1"/>
  <c r="E443" i="12"/>
  <c r="E444" i="12"/>
  <c r="M444" i="12" s="1"/>
  <c r="E445" i="12"/>
  <c r="M445" i="12" s="1"/>
  <c r="E446" i="12"/>
  <c r="M446" i="12" s="1"/>
  <c r="E447" i="12"/>
  <c r="M447" i="12" s="1"/>
  <c r="E448" i="12"/>
  <c r="M448" i="12" s="1"/>
  <c r="E449" i="12"/>
  <c r="M449" i="12" s="1"/>
  <c r="E450" i="12"/>
  <c r="E241" i="12"/>
  <c r="E451" i="12"/>
  <c r="M451" i="12" s="1"/>
  <c r="E452" i="12"/>
  <c r="M452" i="12" s="1"/>
  <c r="E453" i="12"/>
  <c r="M453" i="12" s="1"/>
  <c r="E454" i="12"/>
  <c r="M454" i="12" s="1"/>
  <c r="E455" i="12"/>
  <c r="M455" i="12" s="1"/>
  <c r="E456" i="12"/>
  <c r="M456" i="12" s="1"/>
  <c r="E457" i="12"/>
  <c r="E458" i="12"/>
  <c r="M458" i="12" s="1"/>
  <c r="E459" i="12"/>
  <c r="M459" i="12" s="1"/>
  <c r="E460" i="12"/>
  <c r="M460" i="12" s="1"/>
  <c r="E461" i="12"/>
  <c r="M461" i="12" s="1"/>
  <c r="E462" i="12"/>
  <c r="M462" i="12" s="1"/>
  <c r="E463" i="12"/>
  <c r="M463" i="12" s="1"/>
  <c r="E464" i="12"/>
  <c r="M464" i="12" s="1"/>
  <c r="E465" i="12"/>
  <c r="M465" i="12" s="1"/>
  <c r="E466" i="12"/>
  <c r="M466" i="12" s="1"/>
  <c r="E467" i="12"/>
  <c r="M467" i="12" s="1"/>
  <c r="E468" i="12"/>
  <c r="M468" i="12" s="1"/>
  <c r="E469" i="12"/>
  <c r="M469" i="12" s="1"/>
  <c r="E470" i="12"/>
  <c r="M470" i="12" s="1"/>
  <c r="E471" i="12"/>
  <c r="M471" i="12" s="1"/>
  <c r="E472" i="12"/>
  <c r="M472" i="12" s="1"/>
  <c r="E473" i="12"/>
  <c r="M473" i="12" s="1"/>
  <c r="E474" i="12"/>
  <c r="M474" i="12" s="1"/>
  <c r="E475" i="12"/>
  <c r="M475" i="12" s="1"/>
  <c r="E476" i="12"/>
  <c r="M476" i="12" s="1"/>
  <c r="E477" i="12"/>
  <c r="M477" i="12" s="1"/>
  <c r="E478" i="12"/>
  <c r="M478" i="12" s="1"/>
  <c r="E479" i="12"/>
  <c r="M479" i="12" s="1"/>
  <c r="E480" i="12"/>
  <c r="M480" i="12" s="1"/>
  <c r="E481" i="12"/>
  <c r="M481" i="12" s="1"/>
  <c r="E482" i="12"/>
  <c r="M482" i="12" s="1"/>
  <c r="E483" i="12"/>
  <c r="M483" i="12" s="1"/>
  <c r="E484" i="12"/>
  <c r="M484" i="12" s="1"/>
  <c r="E485" i="12"/>
  <c r="M485" i="12" s="1"/>
  <c r="E486" i="12"/>
  <c r="M486" i="12" s="1"/>
  <c r="E487" i="12"/>
  <c r="M487" i="12" s="1"/>
  <c r="E488" i="12"/>
  <c r="M488" i="12" s="1"/>
  <c r="E489" i="12"/>
  <c r="M489" i="12" s="1"/>
  <c r="E490" i="12"/>
  <c r="M490" i="12" s="1"/>
  <c r="E491" i="12"/>
  <c r="M491" i="12" s="1"/>
  <c r="E492" i="12"/>
  <c r="M492" i="12" s="1"/>
  <c r="E493" i="12"/>
  <c r="M493" i="12" s="1"/>
  <c r="E494" i="12"/>
  <c r="M494" i="12" s="1"/>
  <c r="E495" i="12"/>
  <c r="M495" i="12" s="1"/>
  <c r="E496" i="12"/>
  <c r="M496" i="12" s="1"/>
  <c r="E497" i="12"/>
  <c r="M497" i="12" s="1"/>
  <c r="E498" i="12"/>
  <c r="M498" i="12" s="1"/>
  <c r="E499" i="12"/>
  <c r="M499" i="12" s="1"/>
  <c r="E500" i="12"/>
  <c r="M500" i="12" s="1"/>
  <c r="E501" i="12"/>
  <c r="M501" i="12" s="1"/>
  <c r="E502" i="12"/>
  <c r="M502" i="12" s="1"/>
  <c r="E503" i="12"/>
  <c r="M503" i="12" s="1"/>
  <c r="E504" i="12"/>
  <c r="M504" i="12" s="1"/>
  <c r="E505" i="12"/>
  <c r="M505" i="12" s="1"/>
  <c r="E506" i="12"/>
  <c r="M506" i="12" s="1"/>
  <c r="E507" i="12"/>
  <c r="M507" i="12" s="1"/>
  <c r="E508" i="12"/>
  <c r="M508" i="12" s="1"/>
  <c r="E509" i="12"/>
  <c r="M509" i="12" s="1"/>
  <c r="E510" i="12"/>
  <c r="M510" i="12" s="1"/>
  <c r="E511" i="12"/>
  <c r="M511" i="12" s="1"/>
  <c r="E512" i="12"/>
  <c r="M512" i="12" s="1"/>
  <c r="E513" i="12"/>
  <c r="M513" i="12" s="1"/>
  <c r="E514" i="12"/>
  <c r="M514" i="12" s="1"/>
  <c r="E515" i="12"/>
  <c r="M515" i="12" s="1"/>
  <c r="E516" i="12"/>
  <c r="M516" i="12" s="1"/>
  <c r="E517" i="12"/>
  <c r="M517" i="12" s="1"/>
  <c r="E518" i="12"/>
  <c r="M518" i="12" s="1"/>
  <c r="E519" i="12"/>
  <c r="M519" i="12" s="1"/>
  <c r="E520" i="12"/>
  <c r="M520" i="12" s="1"/>
  <c r="E521" i="12"/>
  <c r="M521" i="12" s="1"/>
  <c r="E522" i="12"/>
  <c r="M522" i="12" s="1"/>
  <c r="E523" i="12"/>
  <c r="M523" i="12" s="1"/>
  <c r="E524" i="12"/>
  <c r="M524" i="12" s="1"/>
  <c r="E525" i="12"/>
  <c r="M525" i="12" s="1"/>
  <c r="E526" i="12"/>
  <c r="M526" i="12" s="1"/>
  <c r="E527" i="12"/>
  <c r="M527" i="12" s="1"/>
  <c r="E528" i="12"/>
  <c r="M528" i="12" s="1"/>
  <c r="E529" i="12"/>
  <c r="M529" i="12" s="1"/>
  <c r="E530" i="12"/>
  <c r="M530" i="12" s="1"/>
  <c r="E531" i="12"/>
  <c r="M531" i="12" s="1"/>
  <c r="E532" i="12"/>
  <c r="M532" i="12" s="1"/>
  <c r="E533" i="12"/>
  <c r="M533" i="12" s="1"/>
  <c r="E534" i="12"/>
  <c r="M534" i="12" s="1"/>
  <c r="E535" i="12"/>
  <c r="M535" i="12" s="1"/>
  <c r="E536" i="12"/>
  <c r="M536" i="12" s="1"/>
  <c r="E537" i="12"/>
  <c r="M537" i="12" s="1"/>
  <c r="E538" i="12"/>
  <c r="M538" i="12" s="1"/>
  <c r="E539" i="12"/>
  <c r="M539" i="12" s="1"/>
  <c r="E540" i="12"/>
  <c r="M540" i="12" s="1"/>
  <c r="E541" i="12"/>
  <c r="M541" i="12" s="1"/>
  <c r="E542" i="12"/>
  <c r="M542" i="12" s="1"/>
  <c r="E543" i="12"/>
  <c r="M543" i="12" s="1"/>
  <c r="E544" i="12"/>
  <c r="M544" i="12" s="1"/>
  <c r="E545" i="12"/>
  <c r="M545" i="12" s="1"/>
  <c r="E546" i="12"/>
  <c r="M546" i="12" s="1"/>
  <c r="E547" i="12"/>
  <c r="M547" i="12" s="1"/>
  <c r="E548" i="12"/>
  <c r="M548" i="12" s="1"/>
  <c r="E549" i="12"/>
  <c r="M549" i="12" s="1"/>
  <c r="E550" i="12"/>
  <c r="M550" i="12" s="1"/>
  <c r="E551" i="12"/>
  <c r="M551" i="12" s="1"/>
  <c r="E552" i="12"/>
  <c r="M552" i="12" s="1"/>
  <c r="E553" i="12"/>
  <c r="M553" i="12" s="1"/>
  <c r="E554" i="12"/>
  <c r="M554" i="12" s="1"/>
  <c r="E555" i="12"/>
  <c r="E556" i="12"/>
  <c r="M556" i="12" s="1"/>
  <c r="E557" i="12"/>
  <c r="M557" i="12" s="1"/>
  <c r="E558" i="12"/>
  <c r="M558" i="12" s="1"/>
  <c r="E559" i="12"/>
  <c r="M559" i="12" s="1"/>
  <c r="E560" i="12"/>
  <c r="E4" i="12"/>
  <c r="M4" i="12" s="1"/>
  <c r="E3" i="12"/>
  <c r="E5" i="12"/>
  <c r="E6" i="12"/>
  <c r="M6" i="12" s="1"/>
  <c r="E7" i="12"/>
  <c r="E8" i="12"/>
  <c r="E9" i="12"/>
  <c r="E10" i="12"/>
  <c r="G7" i="12"/>
  <c r="L6" i="12" s="1"/>
  <c r="G8" i="12"/>
  <c r="G9" i="12"/>
  <c r="M3" i="6"/>
  <c r="H7" i="12" l="1"/>
  <c r="N6" i="12" s="1"/>
  <c r="J7" i="12"/>
  <c r="K7" i="12"/>
  <c r="L7" i="12"/>
  <c r="H8" i="12"/>
  <c r="N7" i="12" s="1"/>
  <c r="J8" i="12"/>
  <c r="K8" i="12"/>
  <c r="L8" i="12"/>
  <c r="H9" i="12"/>
  <c r="N8" i="12" s="1"/>
  <c r="J9" i="12"/>
  <c r="K9" i="12"/>
  <c r="G10" i="12"/>
  <c r="L9" i="12" s="1"/>
  <c r="H10" i="12"/>
  <c r="N9" i="12" s="1"/>
  <c r="J10" i="12"/>
  <c r="K10" i="12"/>
  <c r="M10" i="12"/>
  <c r="L10" i="12"/>
  <c r="N10" i="12"/>
  <c r="E2" i="12" l="1"/>
  <c r="M2" i="12" s="1"/>
  <c r="M7" i="12"/>
  <c r="M8" i="12"/>
  <c r="M9" i="12"/>
  <c r="K3" i="6" l="1"/>
  <c r="K4" i="6"/>
  <c r="K5" i="6"/>
  <c r="K6" i="6"/>
  <c r="K2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</calcChain>
</file>

<file path=xl/sharedStrings.xml><?xml version="1.0" encoding="utf-8"?>
<sst xmlns="http://schemas.openxmlformats.org/spreadsheetml/2006/main" count="6874" uniqueCount="2128">
  <si>
    <t/>
  </si>
  <si>
    <t>Durée</t>
  </si>
  <si>
    <t>Distance (km)</t>
  </si>
  <si>
    <t>Vitesse (km/h)</t>
  </si>
  <si>
    <t>Excés de vitesse</t>
  </si>
  <si>
    <t>Freinage</t>
  </si>
  <si>
    <t>Au ralenti</t>
  </si>
  <si>
    <t>Ralenti Durée</t>
  </si>
  <si>
    <t>BVT17 KERAX 380 (RAZEL)</t>
  </si>
  <si>
    <t>BVT19 KERAX 370 (RAZEL)</t>
  </si>
  <si>
    <t>BVT20 KERAX 380 DXI (RAZEL)</t>
  </si>
  <si>
    <t>BVT24 (CAMION RENAULT) RAZEL</t>
  </si>
  <si>
    <t>BVT25 KERAX 380 DXI (RAZEL)</t>
  </si>
  <si>
    <t>BVT26 RENAULT 380 (RAZEL)</t>
  </si>
  <si>
    <t>BVT31 CAMION RENAULT (RAZEL)</t>
  </si>
  <si>
    <t>BVT37 CAMION KERAX 380 (RAZEL)</t>
  </si>
  <si>
    <t>BVT38 KERAX 380 DXI (RAZEL)</t>
  </si>
  <si>
    <t>BVT39 KERAX 380 DXI (RAZEL)</t>
  </si>
  <si>
    <t>BVT50 ACTROS 3335 (RAZEL)</t>
  </si>
  <si>
    <t>BVT51 MERCEDES 3335 (RAZEL)</t>
  </si>
  <si>
    <t>BVT58  ACTROS 3335 (RAZEL)</t>
  </si>
  <si>
    <t>BVT59 ACTROS 3335 JAUNE (RAZEL)</t>
  </si>
  <si>
    <t>BVT60 ACTROS 3335 (RAZEL)</t>
  </si>
  <si>
    <t>BVT61 MERCEDES 3335 (RAZEL)</t>
  </si>
  <si>
    <t>BVT62  ACTROS 3335  JAUNE (RAZEL)</t>
  </si>
  <si>
    <t>BVT65 CAMION RENAULT 380 JAUNE (RAZEL)</t>
  </si>
  <si>
    <t>BVT77 CAMION KERAX 440 (RAZEL)</t>
  </si>
  <si>
    <t>BVT78 CAMION KERAX 440 (RAZEL)</t>
  </si>
  <si>
    <t>BVT79 CAMION KERAX 440 (RAZEL)</t>
  </si>
  <si>
    <t>BVT80 KERAX 440 (RAZEL)</t>
  </si>
  <si>
    <t>BVT81 KERAX 440 (RAZEL)</t>
  </si>
  <si>
    <t>BVT82 KERAX 440 (RAZEL)</t>
  </si>
  <si>
    <t>N 3, Littoral, CAMEROON</t>
  </si>
  <si>
    <t>N 1, Central</t>
  </si>
  <si>
    <t>Véhicule</t>
  </si>
  <si>
    <t>Durée Utilisation</t>
  </si>
  <si>
    <t>Étiquettes de lignes</t>
  </si>
  <si>
    <t>Total général</t>
  </si>
  <si>
    <t>Somme de Distance (km)</t>
  </si>
  <si>
    <t>Arrêt C. On</t>
  </si>
  <si>
    <t>Lundi</t>
  </si>
  <si>
    <t xml:space="preserve">00h 00m 19s </t>
  </si>
  <si>
    <t>CARRIERE RAZEL NKOMETOU</t>
  </si>
  <si>
    <t xml:space="preserve">00h 01m 42s </t>
  </si>
  <si>
    <t xml:space="preserve">00h 02m 15s </t>
  </si>
  <si>
    <t xml:space="preserve">00h 02m 43s </t>
  </si>
  <si>
    <t xml:space="preserve">00h 01m 26s </t>
  </si>
  <si>
    <t xml:space="preserve">00h 00m 45s </t>
  </si>
  <si>
    <t>N 1, Yaounde, Central, CAMEROON</t>
  </si>
  <si>
    <t>N 1, Yaounde, Central</t>
  </si>
  <si>
    <t xml:space="preserve">00h 02m 08s </t>
  </si>
  <si>
    <t xml:space="preserve">00h 01m 31s </t>
  </si>
  <si>
    <t>BASE RAZEL OLEMBE</t>
  </si>
  <si>
    <t>BASE RAZEL AEROPORT</t>
  </si>
  <si>
    <t>29.6km NW of Edéa - N3, LOGBADJECK, CAMEROON</t>
  </si>
  <si>
    <t>CARRIERE LOGBADJECK</t>
  </si>
  <si>
    <t>DEPOT RAZEL YASSA</t>
  </si>
  <si>
    <t xml:space="preserve">00h 02m 42s </t>
  </si>
  <si>
    <t>BASE RAZEL WOURI</t>
  </si>
  <si>
    <t>entrée Boumnyebel -air de stationnement sortie camions</t>
  </si>
  <si>
    <t xml:space="preserve">00h 02m 32s </t>
  </si>
  <si>
    <t>0.1km W of MICHELIN YAOUNDE - N2, Yaounde, Central, CAMEROON</t>
  </si>
  <si>
    <t>2.1km SE of Nkometou - N4, EBANG 2, SOA, CAMEROON</t>
  </si>
  <si>
    <t>Jour</t>
  </si>
  <si>
    <t>JOUR</t>
  </si>
  <si>
    <t>VEHICULE</t>
  </si>
  <si>
    <t>Survitesse</t>
  </si>
  <si>
    <t>Somme de Durée Utilisation</t>
  </si>
  <si>
    <t>BVT17</t>
  </si>
  <si>
    <t>BVT19</t>
  </si>
  <si>
    <t>BVT20</t>
  </si>
  <si>
    <t>BVT24</t>
  </si>
  <si>
    <t>BVT25</t>
  </si>
  <si>
    <t>BVT26</t>
  </si>
  <si>
    <t>BVT31</t>
  </si>
  <si>
    <t>BVT37</t>
  </si>
  <si>
    <t>BVT38</t>
  </si>
  <si>
    <t>BVT39</t>
  </si>
  <si>
    <t>BVT50</t>
  </si>
  <si>
    <t>BVT51</t>
  </si>
  <si>
    <t>BVT58</t>
  </si>
  <si>
    <t>BVT59</t>
  </si>
  <si>
    <t>BVT60</t>
  </si>
  <si>
    <t>BVT61</t>
  </si>
  <si>
    <t>BVT62</t>
  </si>
  <si>
    <t>BVT65</t>
  </si>
  <si>
    <t>BVT77</t>
  </si>
  <si>
    <t>BVT78</t>
  </si>
  <si>
    <t>BVT79</t>
  </si>
  <si>
    <t>BVT80</t>
  </si>
  <si>
    <t>BVT81</t>
  </si>
  <si>
    <t>BVT82</t>
  </si>
  <si>
    <t>Base</t>
  </si>
  <si>
    <t>Date Entrée</t>
  </si>
  <si>
    <t>Date Sortie</t>
  </si>
  <si>
    <t>Nombre de Base</t>
  </si>
  <si>
    <t>Somme de Durée</t>
  </si>
  <si>
    <t>Mardi</t>
  </si>
  <si>
    <t>Mercredi</t>
  </si>
  <si>
    <t>Jeudi</t>
  </si>
  <si>
    <t>Transit</t>
  </si>
  <si>
    <t>Durée Transit</t>
  </si>
  <si>
    <t>Max de Durée Transit</t>
  </si>
  <si>
    <t>DASHBOARD SUIVI ACTIVITE TACTEURS ROUTIERS</t>
  </si>
  <si>
    <t>Dimanche</t>
  </si>
  <si>
    <t>Samedi</t>
  </si>
  <si>
    <t>Vendredi</t>
  </si>
  <si>
    <t xml:space="preserve">00h 01m 20s </t>
  </si>
  <si>
    <t xml:space="preserve">00h 02m 28s </t>
  </si>
  <si>
    <t xml:space="preserve">00h 00m 48s </t>
  </si>
  <si>
    <t xml:space="preserve">00h 02m 23s </t>
  </si>
  <si>
    <t xml:space="preserve">00h 01m 12s </t>
  </si>
  <si>
    <t xml:space="preserve">00h 00m 26s </t>
  </si>
  <si>
    <t xml:space="preserve">00h 03m 58s </t>
  </si>
  <si>
    <t xml:space="preserve">00h 00m 57s </t>
  </si>
  <si>
    <t xml:space="preserve">00h 00m 33s </t>
  </si>
  <si>
    <t xml:space="preserve">00h 04m 33s </t>
  </si>
  <si>
    <t xml:space="preserve">00h 00m 43s </t>
  </si>
  <si>
    <t xml:space="preserve">00h 02m 06s </t>
  </si>
  <si>
    <t xml:space="preserve">00h 01m 37s </t>
  </si>
  <si>
    <t xml:space="preserve">00h 05m 29s </t>
  </si>
  <si>
    <t xml:space="preserve">00h 01m 40s </t>
  </si>
  <si>
    <t xml:space="preserve">00h 07m 48s </t>
  </si>
  <si>
    <t xml:space="preserve">00h 00m 17s </t>
  </si>
  <si>
    <t xml:space="preserve">00h 00m 18s </t>
  </si>
  <si>
    <t xml:space="preserve">00h 05m 01s </t>
  </si>
  <si>
    <t xml:space="preserve">00h 00m 34s </t>
  </si>
  <si>
    <t xml:space="preserve">00h 01m 17s </t>
  </si>
  <si>
    <t xml:space="preserve">00h 05m 47s </t>
  </si>
  <si>
    <t xml:space="preserve">00h 00m 51s </t>
  </si>
  <si>
    <t xml:space="preserve">00h 01m 14s </t>
  </si>
  <si>
    <t xml:space="preserve">00h 16m 15s </t>
  </si>
  <si>
    <t xml:space="preserve">00h 07m 38s </t>
  </si>
  <si>
    <t xml:space="preserve">00h 01m 58s </t>
  </si>
  <si>
    <t xml:space="preserve">00h 03m 59s </t>
  </si>
  <si>
    <t xml:space="preserve">00h 16m 14s </t>
  </si>
  <si>
    <t xml:space="preserve">00h 03m 26s </t>
  </si>
  <si>
    <t xml:space="preserve">00h 11m 28s </t>
  </si>
  <si>
    <t>Unnamed Road, Littoral, CAMEROON</t>
  </si>
  <si>
    <t xml:space="preserve">00h 03m 04s </t>
  </si>
  <si>
    <t xml:space="preserve">00h 02m 12s </t>
  </si>
  <si>
    <t xml:space="preserve">00h 10m 50s </t>
  </si>
  <si>
    <t xml:space="preserve">00h 11m 54s </t>
  </si>
  <si>
    <t>POUMA STATION TRADEX</t>
  </si>
  <si>
    <t xml:space="preserve">00h 27m 22s </t>
  </si>
  <si>
    <t xml:space="preserve">00h 02m 47s </t>
  </si>
  <si>
    <t>Cimencam Bonabéri</t>
  </si>
  <si>
    <t>CIMENCAM, BONASSAMA</t>
  </si>
  <si>
    <t xml:space="preserve">00h 02m 09s </t>
  </si>
  <si>
    <t xml:space="preserve">00h 00m 21s </t>
  </si>
  <si>
    <t xml:space="preserve">01h 43m 54s </t>
  </si>
  <si>
    <t>0.1km S of infirmerie des BRASSERIES - YAOUNDE 3, CAMEROON</t>
  </si>
  <si>
    <t>0.2km W of MICHELIN YAOUNDE - N2, Yaounde, Central, CAMEROON</t>
  </si>
  <si>
    <t>0.1km W of MICHELIN YAOUNDE - YAOUNDE 4, CAMEROON</t>
  </si>
  <si>
    <t>N 3, Central, CAMEROON</t>
  </si>
  <si>
    <t>16.7km NW of Edéa - N3, LOGBADJECK, CAMEROON</t>
  </si>
  <si>
    <t xml:space="preserve">00h 09m 31s </t>
  </si>
  <si>
    <t xml:space="preserve">00h 01m 27s </t>
  </si>
  <si>
    <t xml:space="preserve">00h 05m 20s </t>
  </si>
  <si>
    <t xml:space="preserve">00h 06m 26s </t>
  </si>
  <si>
    <t>N 3, Littoral</t>
  </si>
  <si>
    <t>N 3, Central</t>
  </si>
  <si>
    <t>BV778 KERAX 380 (RAZEL)</t>
  </si>
  <si>
    <t>BASE RAZEL KRIBI</t>
  </si>
  <si>
    <t>BV666 KERAX 380 (RAZEL)</t>
  </si>
  <si>
    <t>BV778</t>
  </si>
  <si>
    <t>BV666</t>
  </si>
  <si>
    <t>Durée Site</t>
  </si>
  <si>
    <t>Durée de Transit</t>
  </si>
  <si>
    <t>Durée Arrêt C. On</t>
  </si>
  <si>
    <t xml:space="preserve">00h 03m 38s </t>
  </si>
  <si>
    <t xml:space="preserve">00h 03m 17s </t>
  </si>
  <si>
    <t xml:space="preserve">00h 00m 20s </t>
  </si>
  <si>
    <t xml:space="preserve">00h 04m 31s </t>
  </si>
  <si>
    <t xml:space="preserve">00h 16m 56s </t>
  </si>
  <si>
    <t>Tradex Edea</t>
  </si>
  <si>
    <t xml:space="preserve">00h 03m 24s </t>
  </si>
  <si>
    <t xml:space="preserve">00h 05m 08s </t>
  </si>
  <si>
    <t xml:space="preserve">00h 04m 53s </t>
  </si>
  <si>
    <t xml:space="preserve">00h 13m 57s </t>
  </si>
  <si>
    <t xml:space="preserve">00h 03m 45s </t>
  </si>
  <si>
    <t xml:space="preserve">00h 13m 55s </t>
  </si>
  <si>
    <t>pesage kankazock</t>
  </si>
  <si>
    <t>,Nzock-Nkong</t>
  </si>
  <si>
    <t>0.2km W of MICHELIN YAOUNDE - N 2, Yaounde, Central</t>
  </si>
  <si>
    <t xml:space="preserve">00h 07m 25s </t>
  </si>
  <si>
    <t xml:space="preserve">00h 00m 16s </t>
  </si>
  <si>
    <t xml:space="preserve">00h 00m 55s </t>
  </si>
  <si>
    <t xml:space="preserve">00h 01m 24s </t>
  </si>
  <si>
    <t xml:space="preserve">00h 01m 01s </t>
  </si>
  <si>
    <t xml:space="preserve">00h 00m 49s </t>
  </si>
  <si>
    <t xml:space="preserve">00h 04m 41s </t>
  </si>
  <si>
    <t>0.2km W of MICHELIN YAOUNDE - YAOUNDE 3, CAMEROON</t>
  </si>
  <si>
    <t>0.1km S of infirmerie des BRASSERIES - 8, YAOUNDE 3, CAMEROON</t>
  </si>
  <si>
    <t xml:space="preserve">00h 09m 17s </t>
  </si>
  <si>
    <t xml:space="preserve">00h 06m 23s </t>
  </si>
  <si>
    <t xml:space="preserve">00h 02m 46s </t>
  </si>
  <si>
    <t>BASE RAZEL PREFECTURE</t>
  </si>
  <si>
    <t>Heure Entrée</t>
  </si>
  <si>
    <t>Durée transit</t>
  </si>
  <si>
    <t>Durée Base Départ</t>
  </si>
  <si>
    <t>Heures de Transit</t>
  </si>
  <si>
    <t>Durée Base de Départ</t>
  </si>
  <si>
    <t>Durée de transit</t>
  </si>
  <si>
    <t>N1, Yaounde, Central, CAMEROON</t>
  </si>
  <si>
    <t>N 3, Edea, Littoral, CAMEROON</t>
  </si>
  <si>
    <t xml:space="preserve">00h 23m 26s </t>
  </si>
  <si>
    <t xml:space="preserve">00h 35m 11s </t>
  </si>
  <si>
    <t xml:space="preserve">00h 02m 58s </t>
  </si>
  <si>
    <t xml:space="preserve">00h 07m 56s </t>
  </si>
  <si>
    <t xml:space="preserve">00h 11m 48s </t>
  </si>
  <si>
    <t xml:space="preserve">00h 08m 31s </t>
  </si>
  <si>
    <t xml:space="preserve">00h 11m 36s </t>
  </si>
  <si>
    <t xml:space="preserve">00h 06m 58s </t>
  </si>
  <si>
    <t xml:space="preserve">00h 14m 29s </t>
  </si>
  <si>
    <t xml:space="preserve">00h 47m 27s </t>
  </si>
  <si>
    <t>panneau 60km/h entrée Song-dong</t>
  </si>
  <si>
    <t xml:space="preserve">01h 03m 26s </t>
  </si>
  <si>
    <t>0.3km S of LYCEE DE MBALLA II - Rue Lamido Rey Bouba, Djoungolo II, Yaounde, Central, CAMEROON</t>
  </si>
  <si>
    <t xml:space="preserve">00h 16m 18s </t>
  </si>
  <si>
    <t xml:space="preserve">00h 04m 07s </t>
  </si>
  <si>
    <t xml:space="preserve">00h 05m 40s </t>
  </si>
  <si>
    <t xml:space="preserve">00h 07m 26s </t>
  </si>
  <si>
    <t>0.2km W of MICHELIN YAOUNDE - N 2, Yaounde, Central, CAMEROON</t>
  </si>
  <si>
    <t xml:space="preserve">00h 05m 15s </t>
  </si>
  <si>
    <t xml:space="preserve">00h 16m 10s </t>
  </si>
  <si>
    <t xml:space="preserve">00h 30m 24s </t>
  </si>
  <si>
    <t xml:space="preserve">00h 45m 34s </t>
  </si>
  <si>
    <t>0.1km E of Cimencam Bonabéri - N3, Bonabéri, Littoral, CAMEROON</t>
  </si>
  <si>
    <t>0.1km E of Cimencam Bonabéri - N3, Bonabéri, Littoral</t>
  </si>
  <si>
    <t>0.1km NW of MICHELIN YAOUNDE - N2, Yaounde, Central, CAMEROON</t>
  </si>
  <si>
    <t xml:space="preserve">00h 43m 53s </t>
  </si>
  <si>
    <t xml:space="preserve">00h 03m 21s </t>
  </si>
  <si>
    <t xml:space="preserve">00h 16m 32s </t>
  </si>
  <si>
    <t>0.3km NW of CONTROLE PK 25 - N3, LOGBADJECK, CAMEROON</t>
  </si>
  <si>
    <t xml:space="preserve">00h 33m 41s </t>
  </si>
  <si>
    <t xml:space="preserve">00h 39m 34s </t>
  </si>
  <si>
    <t xml:space="preserve">00h 04m 44s </t>
  </si>
  <si>
    <t xml:space="preserve">00h 03m 32s </t>
  </si>
  <si>
    <t xml:space="preserve">00h 03m 05s </t>
  </si>
  <si>
    <t xml:space="preserve">00h 31m 08s </t>
  </si>
  <si>
    <t>0.1km SW of infirmerie des BRASSERIES - YAOUNDE 3, CAMEROON</t>
  </si>
  <si>
    <t xml:space="preserve">00h 04m 48s </t>
  </si>
  <si>
    <t xml:space="preserve">00h 23m 36s </t>
  </si>
  <si>
    <t>0.1km SW of infirmerie des BRASSERIES - 8, YAOUNDE 3, CAMEROON</t>
  </si>
  <si>
    <t xml:space="preserve">00h 31m 21s </t>
  </si>
  <si>
    <t xml:space="preserve">00h 02m 33s </t>
  </si>
  <si>
    <t>0.2km S of DEPOT RAZEL YASSA - Unnamed Road, Douala, Littoral, CAMEROON</t>
  </si>
  <si>
    <t>BV794 (KERAX 400) RAZEL</t>
  </si>
  <si>
    <t>BV793 (KERAX 400) RAZEL</t>
  </si>
  <si>
    <t>BV794</t>
  </si>
  <si>
    <t>BV793</t>
  </si>
  <si>
    <t xml:space="preserve">01h 01m 21s </t>
  </si>
  <si>
    <t xml:space="preserve">00h 09m 25s </t>
  </si>
  <si>
    <t xml:space="preserve">00h 00m 39s </t>
  </si>
  <si>
    <t xml:space="preserve">01h 58m 59s </t>
  </si>
  <si>
    <t xml:space="preserve">02h 35m 23s </t>
  </si>
  <si>
    <t xml:space="preserve">00h 07m 28s </t>
  </si>
  <si>
    <t xml:space="preserve">00h 17m 50s </t>
  </si>
  <si>
    <t xml:space="preserve">02h 54m 47s </t>
  </si>
  <si>
    <t>Unnamed Road, Yaoundé, Mfoundi, CAMEROON</t>
  </si>
  <si>
    <t xml:space="preserve">03h 54m 04s </t>
  </si>
  <si>
    <t xml:space="preserve">00h 08m 38s </t>
  </si>
  <si>
    <t xml:space="preserve">05h 10m 04s </t>
  </si>
  <si>
    <t xml:space="preserve">00h 56m 59s </t>
  </si>
  <si>
    <t xml:space="preserve">00h 12m 35s </t>
  </si>
  <si>
    <t xml:space="preserve">01h 54m 16s </t>
  </si>
  <si>
    <t xml:space="preserve">05h 35m 53s </t>
  </si>
  <si>
    <t xml:space="preserve">04h 16m 27s </t>
  </si>
  <si>
    <t xml:space="preserve">01h 10m 24s </t>
  </si>
  <si>
    <t xml:space="preserve">00h 01m 49s </t>
  </si>
  <si>
    <t xml:space="preserve">09h 28m 55s </t>
  </si>
  <si>
    <t xml:space="preserve">00h 19m 08s </t>
  </si>
  <si>
    <t>0.8km SW of CARRIERE RAZEL NKOMETOU - MEYOS, OBALA, CAMEROON</t>
  </si>
  <si>
    <t xml:space="preserve">00h 02m 31s </t>
  </si>
  <si>
    <t xml:space="preserve">02h 21m 47s </t>
  </si>
  <si>
    <t xml:space="preserve">02h 10m 23s </t>
  </si>
  <si>
    <t xml:space="preserve">00h 18m 43s </t>
  </si>
  <si>
    <t xml:space="preserve">02h 42m 57s </t>
  </si>
  <si>
    <t xml:space="preserve">00h 15m 14s </t>
  </si>
  <si>
    <t xml:space="preserve">02h 00m 33s </t>
  </si>
  <si>
    <t xml:space="preserve">02h 11m 26s </t>
  </si>
  <si>
    <t xml:space="preserve">00h 24m 03s </t>
  </si>
  <si>
    <t xml:space="preserve">00h 51m 15s </t>
  </si>
  <si>
    <t>0.1km SW of Comité Internationale de La CR - Rue Zogo Fouda Ngono, YAOUNDE, YAOUNDE 1, CAMEROON</t>
  </si>
  <si>
    <t xml:space="preserve">00h 41m 12s </t>
  </si>
  <si>
    <t xml:space="preserve">00h 13m 52s </t>
  </si>
  <si>
    <t xml:space="preserve">02h 28m 57s </t>
  </si>
  <si>
    <t xml:space="preserve">05h 03m 22s </t>
  </si>
  <si>
    <t xml:space="preserve">01h 28m 39s </t>
  </si>
  <si>
    <t xml:space="preserve">03h 26m 46s </t>
  </si>
  <si>
    <t xml:space="preserve">00h 54m 57s </t>
  </si>
  <si>
    <t xml:space="preserve">04h 51m 11s </t>
  </si>
  <si>
    <t xml:space="preserve">03h 33m 15s </t>
  </si>
  <si>
    <t xml:space="preserve">01h 27m 19s </t>
  </si>
  <si>
    <t xml:space="preserve">01h 54m 41s </t>
  </si>
  <si>
    <t xml:space="preserve">01h 47m 42s </t>
  </si>
  <si>
    <t xml:space="preserve">02h 07m 23s </t>
  </si>
  <si>
    <t xml:space="preserve">02h 40m 33s </t>
  </si>
  <si>
    <t xml:space="preserve">00h 11m 18s </t>
  </si>
  <si>
    <t xml:space="preserve">00h 00m 58s </t>
  </si>
  <si>
    <t xml:space="preserve">01h 48m 07s </t>
  </si>
  <si>
    <t xml:space="preserve">01h 55m 59s </t>
  </si>
  <si>
    <t xml:space="preserve">00h 28m 28s </t>
  </si>
  <si>
    <t>16.9km NW of Edéa - N3, LOGBADJECK, CAMEROON</t>
  </si>
  <si>
    <t xml:space="preserve">00h 29m 04s </t>
  </si>
  <si>
    <t xml:space="preserve">04h 12m 06s </t>
  </si>
  <si>
    <t xml:space="preserve">00h 01m 56s </t>
  </si>
  <si>
    <t xml:space="preserve">01h 17m 32s </t>
  </si>
  <si>
    <t>0.5km SW of FINEXS YAOUNDE - AHALA 1, YAOUNDE 4, CAMEROON</t>
  </si>
  <si>
    <t xml:space="preserve">00h 04m 32s </t>
  </si>
  <si>
    <t xml:space="preserve">00h 02m 03s </t>
  </si>
  <si>
    <t xml:space="preserve">00h 35m 34s </t>
  </si>
  <si>
    <t xml:space="preserve">00h 12m 14s </t>
  </si>
  <si>
    <t xml:space="preserve">00h 03m 33s </t>
  </si>
  <si>
    <t xml:space="preserve">03h 57m 45s </t>
  </si>
  <si>
    <t xml:space="preserve">00h 27m 47s </t>
  </si>
  <si>
    <t xml:space="preserve">00h 47m 11s </t>
  </si>
  <si>
    <t xml:space="preserve">00h 05m 37s </t>
  </si>
  <si>
    <t xml:space="preserve">00h 15m 23s </t>
  </si>
  <si>
    <t xml:space="preserve">00h 56m 56s </t>
  </si>
  <si>
    <t xml:space="preserve">00h 03m 57s </t>
  </si>
  <si>
    <t xml:space="preserve">00h 13m 47s </t>
  </si>
  <si>
    <t xml:space="preserve">01h 35m 37s </t>
  </si>
  <si>
    <t xml:space="preserve">00h 15m 08s </t>
  </si>
  <si>
    <t>0.2km NE of CAREFFOUR KIENKE (PONT) / STATION MRS - KRIBI, KRIBI 1, CAMEROON</t>
  </si>
  <si>
    <t xml:space="preserve">05h 09m 35s </t>
  </si>
  <si>
    <t xml:space="preserve">00h 26m 05s </t>
  </si>
  <si>
    <t xml:space="preserve">00h 20m 08s </t>
  </si>
  <si>
    <t xml:space="preserve">00h 06m 38s </t>
  </si>
  <si>
    <t xml:space="preserve">00h 19m 19s </t>
  </si>
  <si>
    <t xml:space="preserve">00h 35m 31s </t>
  </si>
  <si>
    <t xml:space="preserve">03h 09m 21s </t>
  </si>
  <si>
    <t xml:space="preserve">00h 15m 54s </t>
  </si>
  <si>
    <t xml:space="preserve">00h 04m 37s </t>
  </si>
  <si>
    <t xml:space="preserve">00h 14m 27s </t>
  </si>
  <si>
    <t xml:space="preserve">02h 03m 19s </t>
  </si>
  <si>
    <t xml:space="preserve">00h 29m 02s </t>
  </si>
  <si>
    <t xml:space="preserve">00h 30m 16s </t>
  </si>
  <si>
    <t xml:space="preserve">00h 02m 17s </t>
  </si>
  <si>
    <t xml:space="preserve">00h 13m 44s </t>
  </si>
  <si>
    <t xml:space="preserve">01h 26m 05s </t>
  </si>
  <si>
    <t xml:space="preserve">02h 41m 07s </t>
  </si>
  <si>
    <t xml:space="preserve">00h 46m 33s </t>
  </si>
  <si>
    <t xml:space="preserve">07h 01m 18s </t>
  </si>
  <si>
    <t xml:space="preserve">00h 14m 04s </t>
  </si>
  <si>
    <t xml:space="preserve">01h 38m 26s </t>
  </si>
  <si>
    <t xml:space="preserve">05h 57m 38s </t>
  </si>
  <si>
    <t xml:space="preserve">00h 38m 36s </t>
  </si>
  <si>
    <t xml:space="preserve">05h 23m 33s </t>
  </si>
  <si>
    <t xml:space="preserve">03h 49m 37s </t>
  </si>
  <si>
    <t xml:space="preserve">00h 29m 52s </t>
  </si>
  <si>
    <t xml:space="preserve">01h 13m 27s </t>
  </si>
  <si>
    <t xml:space="preserve">02h 23m 15s </t>
  </si>
  <si>
    <t xml:space="preserve">00h 03m 25s </t>
  </si>
  <si>
    <t xml:space="preserve">00h 04m 22s </t>
  </si>
  <si>
    <t xml:space="preserve">00h 26m 21s </t>
  </si>
  <si>
    <t xml:space="preserve">00h 03m 03s </t>
  </si>
  <si>
    <t xml:space="preserve">00h 13m 20s </t>
  </si>
  <si>
    <t xml:space="preserve">01h 37m 16s </t>
  </si>
  <si>
    <t xml:space="preserve">02h 15m 54s </t>
  </si>
  <si>
    <t xml:space="preserve">00h 44m 17s </t>
  </si>
  <si>
    <t xml:space="preserve">00h 16m 23s </t>
  </si>
  <si>
    <t xml:space="preserve">02h 40m 54s </t>
  </si>
  <si>
    <t xml:space="preserve">00h 01m 05s </t>
  </si>
  <si>
    <t xml:space="preserve">05h 19m 31s </t>
  </si>
  <si>
    <t xml:space="preserve">04h 36m 30s </t>
  </si>
  <si>
    <t xml:space="preserve">01h 16m 38s </t>
  </si>
  <si>
    <t xml:space="preserve">00h 02m 35s </t>
  </si>
  <si>
    <t xml:space="preserve">00h 05m 21s </t>
  </si>
  <si>
    <t xml:space="preserve">00h 10m 04s </t>
  </si>
  <si>
    <t xml:space="preserve">00h 02m 24s </t>
  </si>
  <si>
    <t xml:space="preserve">01h 46m 43s </t>
  </si>
  <si>
    <t xml:space="preserve">00h 07m 04s </t>
  </si>
  <si>
    <t xml:space="preserve">01h 40m 53s </t>
  </si>
  <si>
    <t xml:space="preserve">00h 52m 27s </t>
  </si>
  <si>
    <t xml:space="preserve">04h 08m 41s </t>
  </si>
  <si>
    <t>0.1km N of COGENI EMANA - N 1, Yaounde, Central</t>
  </si>
  <si>
    <t xml:space="preserve">00h 44m 11s </t>
  </si>
  <si>
    <t xml:space="preserve">00h 01m 25s </t>
  </si>
  <si>
    <t xml:space="preserve">00h 15m 32s </t>
  </si>
  <si>
    <t xml:space="preserve">01h 18m 12s </t>
  </si>
  <si>
    <t xml:space="preserve">00h 11m 09s </t>
  </si>
  <si>
    <t xml:space="preserve">00h 10m 28s </t>
  </si>
  <si>
    <t xml:space="preserve">01h 14m 19s </t>
  </si>
  <si>
    <t xml:space="preserve">00h 07m 00s </t>
  </si>
  <si>
    <t xml:space="preserve">00h 17m 30s </t>
  </si>
  <si>
    <t xml:space="preserve">00h 10m 05s </t>
  </si>
  <si>
    <t xml:space="preserve">00h 02m 52s </t>
  </si>
  <si>
    <t xml:space="preserve">00h 03m 39s </t>
  </si>
  <si>
    <t xml:space="preserve">00h 11m 26s </t>
  </si>
  <si>
    <t xml:space="preserve">00h 26m 13s </t>
  </si>
  <si>
    <t xml:space="preserve">00h 09m 43s </t>
  </si>
  <si>
    <t xml:space="preserve">00h 25m 17s </t>
  </si>
  <si>
    <t xml:space="preserve">02h 21m 07s </t>
  </si>
  <si>
    <t xml:space="preserve">03h 11m 31s </t>
  </si>
  <si>
    <t>0.2km E of SOMBO - N3, Nyong-et-Kéllé, CAMEROON</t>
  </si>
  <si>
    <t xml:space="preserve">04h 20m 07s </t>
  </si>
  <si>
    <t xml:space="preserve">00h 07m 40s </t>
  </si>
  <si>
    <t xml:space="preserve">00h 04m 55s </t>
  </si>
  <si>
    <t xml:space="preserve">00h 01m 23s </t>
  </si>
  <si>
    <t xml:space="preserve">01h 28m 31s </t>
  </si>
  <si>
    <t xml:space="preserve">00h 12m 50s </t>
  </si>
  <si>
    <t xml:space="preserve">00h 48m 22s </t>
  </si>
  <si>
    <t xml:space="preserve">00h 10m 01s </t>
  </si>
  <si>
    <t xml:space="preserve">00h 59m 20s </t>
  </si>
  <si>
    <t>0.1km S of Comité Internationale de La CR - Rue Zogo Fouda Ngono, YAOUNDE, YAOUNDE 1, CAMEROON</t>
  </si>
  <si>
    <t xml:space="preserve">00h 02m 25s </t>
  </si>
  <si>
    <t xml:space="preserve">00h 36m 48s </t>
  </si>
  <si>
    <t xml:space="preserve">00h 06m 47s </t>
  </si>
  <si>
    <t xml:space="preserve">09h 36m 37s </t>
  </si>
  <si>
    <t xml:space="preserve">00h 24m 10s </t>
  </si>
  <si>
    <t xml:space="preserve">00h 03m 37s </t>
  </si>
  <si>
    <t xml:space="preserve">04h 48m 18s </t>
  </si>
  <si>
    <t xml:space="preserve">01h 36m 22s </t>
  </si>
  <si>
    <t xml:space="preserve">04h 38m 39s </t>
  </si>
  <si>
    <t xml:space="preserve">00h 21m 21s </t>
  </si>
  <si>
    <t xml:space="preserve">00h 38m 11s </t>
  </si>
  <si>
    <t xml:space="preserve">00h 16m 29s </t>
  </si>
  <si>
    <t xml:space="preserve">00h 01m 29s </t>
  </si>
  <si>
    <t xml:space="preserve">00h 04m 16s </t>
  </si>
  <si>
    <t xml:space="preserve">00h 04m 39s </t>
  </si>
  <si>
    <t xml:space="preserve">00h 23m 28s </t>
  </si>
  <si>
    <t xml:space="preserve">00h 15m 35s </t>
  </si>
  <si>
    <t xml:space="preserve">11h 44m 48s </t>
  </si>
  <si>
    <t xml:space="preserve">00h 30m 33s </t>
  </si>
  <si>
    <t xml:space="preserve">06h 01m 41s </t>
  </si>
  <si>
    <t xml:space="preserve">00h 27m 43s </t>
  </si>
  <si>
    <t xml:space="preserve">00h 07m 08s </t>
  </si>
  <si>
    <t xml:space="preserve">00h 22m 12s </t>
  </si>
  <si>
    <t xml:space="preserve">02h 54m 38s </t>
  </si>
  <si>
    <t xml:space="preserve">00h 42m 56s </t>
  </si>
  <si>
    <t xml:space="preserve">00h 10m 24s </t>
  </si>
  <si>
    <t xml:space="preserve">00h 01m 45s </t>
  </si>
  <si>
    <t xml:space="preserve">00h 09m 15s </t>
  </si>
  <si>
    <t xml:space="preserve">04h 19m 58s </t>
  </si>
  <si>
    <t>0.1km SW of MICHELIN YAOUNDE - N2, Yaounde, Central, CAMEROON</t>
  </si>
  <si>
    <t xml:space="preserve">00h 13m 58s </t>
  </si>
  <si>
    <t xml:space="preserve">00h 25m 34s </t>
  </si>
  <si>
    <t xml:space="preserve">00h 08m 07s </t>
  </si>
  <si>
    <t xml:space="preserve">00h 05m 19s </t>
  </si>
  <si>
    <t>0.1km SW of CHAMPS TIR 1 YDE - Unnamed Road, Yaounde, Central, CAMEROON</t>
  </si>
  <si>
    <t xml:space="preserve">00h 13m 08s </t>
  </si>
  <si>
    <t xml:space="preserve">02h 30m 13s </t>
  </si>
  <si>
    <t xml:space="preserve">00h 08m 42s </t>
  </si>
  <si>
    <t xml:space="preserve">00h 59m 27s </t>
  </si>
  <si>
    <t xml:space="preserve">00h 37m 08s </t>
  </si>
  <si>
    <t xml:space="preserve">00h 00m 28s </t>
  </si>
  <si>
    <t xml:space="preserve">00h 32m 24s </t>
  </si>
  <si>
    <t xml:space="preserve">01h 03m 01s </t>
  </si>
  <si>
    <t xml:space="preserve">00h 34m 47s </t>
  </si>
  <si>
    <t xml:space="preserve">01h 12m 15s </t>
  </si>
  <si>
    <t xml:space="preserve">00h 15m 00s </t>
  </si>
  <si>
    <t xml:space="preserve">02h 31m 08s </t>
  </si>
  <si>
    <t xml:space="preserve">00h 25m 46s </t>
  </si>
  <si>
    <t xml:space="preserve">04h 40m 39s </t>
  </si>
  <si>
    <t xml:space="preserve">02h 35m 32s </t>
  </si>
  <si>
    <t xml:space="preserve">00h 03m 35s </t>
  </si>
  <si>
    <t xml:space="preserve">03h 54m 13s </t>
  </si>
  <si>
    <t xml:space="preserve">00h 52m 31s </t>
  </si>
  <si>
    <t xml:space="preserve">00h 44m 07s </t>
  </si>
  <si>
    <t xml:space="preserve">03h 19m 55s </t>
  </si>
  <si>
    <t xml:space="preserve">02h 57m 00s </t>
  </si>
  <si>
    <t xml:space="preserve">02h 37m 52s </t>
  </si>
  <si>
    <t xml:space="preserve">00h 04m 26s </t>
  </si>
  <si>
    <t xml:space="preserve">04h 52m 41s </t>
  </si>
  <si>
    <t xml:space="preserve">00h 53m 25s </t>
  </si>
  <si>
    <t xml:space="preserve">00h 01m 38s </t>
  </si>
  <si>
    <t xml:space="preserve">01h 03m 54s </t>
  </si>
  <si>
    <t xml:space="preserve">00h 40m 46s </t>
  </si>
  <si>
    <t>0.1km E of CARREFOUR NELSON MANDELA(ANCIEN ELF) - N 3, Douala, Littoral</t>
  </si>
  <si>
    <t xml:space="preserve">00h 50m 28s </t>
  </si>
  <si>
    <t xml:space="preserve">01h 14m 07s </t>
  </si>
  <si>
    <t xml:space="preserve">02h 07m 40s </t>
  </si>
  <si>
    <t xml:space="preserve">02h 23m 07s </t>
  </si>
  <si>
    <t xml:space="preserve">00h 49m 12s </t>
  </si>
  <si>
    <t xml:space="preserve">00h 42m 14s </t>
  </si>
  <si>
    <t xml:space="preserve">01h 29m 05s </t>
  </si>
  <si>
    <t xml:space="preserve">00h 51m 45s </t>
  </si>
  <si>
    <t xml:space="preserve">00h 25m 29s </t>
  </si>
  <si>
    <t xml:space="preserve">01h 13m 56s </t>
  </si>
  <si>
    <t xml:space="preserve">00h 08m 12s </t>
  </si>
  <si>
    <t xml:space="preserve">03h 29m 55s </t>
  </si>
  <si>
    <t xml:space="preserve">00h 17m 27s </t>
  </si>
  <si>
    <t xml:space="preserve">01h 06m 01s </t>
  </si>
  <si>
    <t xml:space="preserve">01h 12m 37s </t>
  </si>
  <si>
    <t xml:space="preserve">01h 36m 34s </t>
  </si>
  <si>
    <t xml:space="preserve">02h 51m 21s </t>
  </si>
  <si>
    <t xml:space="preserve">00h 31m 41s </t>
  </si>
  <si>
    <t xml:space="preserve">00h 02m 38s </t>
  </si>
  <si>
    <t xml:space="preserve">01h 23m 06s </t>
  </si>
  <si>
    <t xml:space="preserve">00h 46m 13s </t>
  </si>
  <si>
    <t xml:space="preserve">00h 18m 02s </t>
  </si>
  <si>
    <t xml:space="preserve">00h 16m 13s </t>
  </si>
  <si>
    <t xml:space="preserve">00h 01m 43s </t>
  </si>
  <si>
    <t xml:space="preserve">00h 06m 42s </t>
  </si>
  <si>
    <t xml:space="preserve">00h 49m 31s </t>
  </si>
  <si>
    <t xml:space="preserve">00h 06m 13s </t>
  </si>
  <si>
    <t xml:space="preserve">01h 01m 03s </t>
  </si>
  <si>
    <t xml:space="preserve">00h 06m 19s </t>
  </si>
  <si>
    <t xml:space="preserve">05h 26m 58s </t>
  </si>
  <si>
    <t xml:space="preserve">02h 30m 53s </t>
  </si>
  <si>
    <t xml:space="preserve">00h 10m 02s </t>
  </si>
  <si>
    <t xml:space="preserve">00h 22m 13s </t>
  </si>
  <si>
    <t xml:space="preserve">01h 28m 54s </t>
  </si>
  <si>
    <t xml:space="preserve">00h 08m 36s </t>
  </si>
  <si>
    <t xml:space="preserve">02h 08m 13s </t>
  </si>
  <si>
    <t xml:space="preserve">03h 49m 17s </t>
  </si>
  <si>
    <t xml:space="preserve">00h 07m 39s </t>
  </si>
  <si>
    <t xml:space="preserve">09h 27m 08s </t>
  </si>
  <si>
    <t xml:space="preserve">00h 27m 14s </t>
  </si>
  <si>
    <t xml:space="preserve">04h 22m 35s </t>
  </si>
  <si>
    <t xml:space="preserve">03h 13m 58s </t>
  </si>
  <si>
    <t>0.2km NE of MARCHE DE MESSASSI (YAOUNDE) - N 1, Yaounde, Central, CAMEROON</t>
  </si>
  <si>
    <t xml:space="preserve">01h 05m 08s </t>
  </si>
  <si>
    <t xml:space="preserve">05h 09m 15s </t>
  </si>
  <si>
    <t xml:space="preserve">00h 53m 00s </t>
  </si>
  <si>
    <t xml:space="preserve">01h 41m 28s </t>
  </si>
  <si>
    <t xml:space="preserve">00h 36m 21s </t>
  </si>
  <si>
    <t xml:space="preserve">04h 55m 47s </t>
  </si>
  <si>
    <t xml:space="preserve">04h 15m 30s </t>
  </si>
  <si>
    <t>0.2km NE of MARCHE DE MESSASSI (YAOUNDE) - N 1, Yaounde, Central</t>
  </si>
  <si>
    <t>1.8km NE of Nkometou - MFOMEKAP, OBALA, CAMEROON</t>
  </si>
  <si>
    <t xml:space="preserve">00h 15m 27s </t>
  </si>
  <si>
    <t xml:space="preserve">00h 13m 35s </t>
  </si>
  <si>
    <t xml:space="preserve">02h 15m 21s </t>
  </si>
  <si>
    <t xml:space="preserve">05h 59m 54s </t>
  </si>
  <si>
    <t xml:space="preserve">00h 07m 37s </t>
  </si>
  <si>
    <t xml:space="preserve">00h 08m 51s </t>
  </si>
  <si>
    <t xml:space="preserve">00h 17m 48s </t>
  </si>
  <si>
    <t xml:space="preserve">00h 52m 46s </t>
  </si>
  <si>
    <t xml:space="preserve">00h 25m 25s </t>
  </si>
  <si>
    <t xml:space="preserve">00h 02m 51s </t>
  </si>
  <si>
    <t xml:space="preserve">00h 06m 21s </t>
  </si>
  <si>
    <t xml:space="preserve">00h 09m 09s </t>
  </si>
  <si>
    <t xml:space="preserve">00h 17m 51s </t>
  </si>
  <si>
    <t xml:space="preserve">00h 14m 14s </t>
  </si>
  <si>
    <t xml:space="preserve">00h 52m 18s </t>
  </si>
  <si>
    <t xml:space="preserve">00h 04m 50s </t>
  </si>
  <si>
    <t xml:space="preserve">00h 06m 41s </t>
  </si>
  <si>
    <t xml:space="preserve">00h 47m 50s </t>
  </si>
  <si>
    <t xml:space="preserve">00h 22m 11s </t>
  </si>
  <si>
    <t xml:space="preserve">00h 15m 24s </t>
  </si>
  <si>
    <t xml:space="preserve">00h 07m 45s </t>
  </si>
  <si>
    <t xml:space="preserve">00h 07m 49s </t>
  </si>
  <si>
    <t xml:space="preserve">00h 04m 51s </t>
  </si>
  <si>
    <t xml:space="preserve">02h 56m 06s </t>
  </si>
  <si>
    <t xml:space="preserve">00h 00m 22s </t>
  </si>
  <si>
    <t xml:space="preserve">00h 05m 41s </t>
  </si>
  <si>
    <t xml:space="preserve">00h 10m 41s </t>
  </si>
  <si>
    <t xml:space="preserve">00h 56m 43s </t>
  </si>
  <si>
    <t>0.2km S of DEPOT RAZEL YASSA - N 3, Littoral, CAMEROON</t>
  </si>
  <si>
    <t xml:space="preserve">00h 01m 22s </t>
  </si>
  <si>
    <t xml:space="preserve">01h 02m 37s </t>
  </si>
  <si>
    <t xml:space="preserve">00h 37m 46s </t>
  </si>
  <si>
    <t xml:space="preserve">00h 47m 55s </t>
  </si>
  <si>
    <t xml:space="preserve">00h 04m 12s </t>
  </si>
  <si>
    <t xml:space="preserve">00h 06m 25s </t>
  </si>
  <si>
    <t xml:space="preserve">00h 25m 40s </t>
  </si>
  <si>
    <t xml:space="preserve">03h 33m 34s </t>
  </si>
  <si>
    <t>7.2km S of Nkometou - N4, NYOM 1, YAOUNDE 1, CAMEROON</t>
  </si>
  <si>
    <t xml:space="preserve">02h 40m 02s </t>
  </si>
  <si>
    <t xml:space="preserve">01h 08m 38s </t>
  </si>
  <si>
    <t xml:space="preserve">00h 16m 25s </t>
  </si>
  <si>
    <t xml:space="preserve">00h 15m 45s </t>
  </si>
  <si>
    <t xml:space="preserve">00h 43m 30s </t>
  </si>
  <si>
    <t xml:space="preserve">00h 08m 19s </t>
  </si>
  <si>
    <t xml:space="preserve">02h 32m 10s </t>
  </si>
  <si>
    <t xml:space="preserve">00h 59m 58s </t>
  </si>
  <si>
    <t xml:space="preserve">00h 19m 04s </t>
  </si>
  <si>
    <t xml:space="preserve">00h 02m 36s </t>
  </si>
  <si>
    <t xml:space="preserve">00h 04m 35s </t>
  </si>
  <si>
    <t>#23043</t>
  </si>
  <si>
    <t xml:space="preserve">00h 17m 11s </t>
  </si>
  <si>
    <t xml:space="preserve">00h 03m 07s </t>
  </si>
  <si>
    <t xml:space="preserve">00h 35m 24s </t>
  </si>
  <si>
    <t xml:space="preserve">00h 04m 19s </t>
  </si>
  <si>
    <t xml:space="preserve">00h 03m 18s </t>
  </si>
  <si>
    <t xml:space="preserve">00h 38m 37s </t>
  </si>
  <si>
    <t xml:space="preserve">00h 20m 36s </t>
  </si>
  <si>
    <t xml:space="preserve">03h 29m 48s </t>
  </si>
  <si>
    <t xml:space="preserve">00h 15m 47s </t>
  </si>
  <si>
    <t xml:space="preserve">02h 42m 04s </t>
  </si>
  <si>
    <t xml:space="preserve">03h 00m 03s </t>
  </si>
  <si>
    <t xml:space="preserve">00h 24m 07s </t>
  </si>
  <si>
    <t xml:space="preserve">01h 59m 08s </t>
  </si>
  <si>
    <t xml:space="preserve">02h 06m 29s </t>
  </si>
  <si>
    <t xml:space="preserve">03h 30m 46s </t>
  </si>
  <si>
    <t xml:space="preserve">01h 37m 09s </t>
  </si>
  <si>
    <t xml:space="preserve">00h 52m 53s </t>
  </si>
  <si>
    <t xml:space="preserve">02h 10m 54s </t>
  </si>
  <si>
    <t xml:space="preserve">01h 44m 33s </t>
  </si>
  <si>
    <t xml:space="preserve">00h 05m 17s </t>
  </si>
  <si>
    <t xml:space="preserve">00h 13m 13s </t>
  </si>
  <si>
    <t xml:space="preserve">00h 03m 15s </t>
  </si>
  <si>
    <t xml:space="preserve">02h 51m 17s </t>
  </si>
  <si>
    <t xml:space="preserve">00h 02m 18s </t>
  </si>
  <si>
    <t xml:space="preserve">05h 50m 50s </t>
  </si>
  <si>
    <t xml:space="preserve">04h 32m 07s </t>
  </si>
  <si>
    <t xml:space="preserve">04h 57m 32s </t>
  </si>
  <si>
    <t xml:space="preserve">00h 04m 20s </t>
  </si>
  <si>
    <t xml:space="preserve">00h 05m 48s </t>
  </si>
  <si>
    <t xml:space="preserve">02h 33m 55s </t>
  </si>
  <si>
    <t xml:space="preserve">01h 33m 20s </t>
  </si>
  <si>
    <t xml:space="preserve">09h 03m 07s </t>
  </si>
  <si>
    <t xml:space="preserve">06h 32m 10s </t>
  </si>
  <si>
    <t xml:space="preserve">02h 08m 55s </t>
  </si>
  <si>
    <t xml:space="preserve">01h 41m 50s </t>
  </si>
  <si>
    <t xml:space="preserve">00h 05m 22s </t>
  </si>
  <si>
    <t xml:space="preserve">00h 05m 35s </t>
  </si>
  <si>
    <t xml:space="preserve">00h 12m 32s </t>
  </si>
  <si>
    <t>0.2km E of BASE RAZEL WOURI - N3, Douala, Littoral, CAMEROON</t>
  </si>
  <si>
    <t xml:space="preserve">00h 03m 44s </t>
  </si>
  <si>
    <t xml:space="preserve">10h 54m 50s </t>
  </si>
  <si>
    <t xml:space="preserve">00h 06m 16s </t>
  </si>
  <si>
    <t xml:space="preserve">00h 05m 45s </t>
  </si>
  <si>
    <t xml:space="preserve">00h 05m 25s </t>
  </si>
  <si>
    <t xml:space="preserve">01h 10m 52s </t>
  </si>
  <si>
    <t>0.1km W of FOKOU LOGISTIQUE - N 3, Douala, Littoral</t>
  </si>
  <si>
    <t xml:space="preserve">00h 46m 49s </t>
  </si>
  <si>
    <t>Unnamed Road, Douala, Littoral, CAMEROON</t>
  </si>
  <si>
    <t xml:space="preserve">00h 50m 11s </t>
  </si>
  <si>
    <t>SQC MARCHE, NDOGPASSI</t>
  </si>
  <si>
    <t xml:space="preserve">00h 41m 04s </t>
  </si>
  <si>
    <t>STATION TOTAL Aéroport</t>
  </si>
  <si>
    <t xml:space="preserve">01h 02m 03s </t>
  </si>
  <si>
    <t xml:space="preserve">00h 04m 18s </t>
  </si>
  <si>
    <t xml:space="preserve">00h 28m 03s </t>
  </si>
  <si>
    <t xml:space="preserve">00h 04m 52s </t>
  </si>
  <si>
    <t xml:space="preserve">02h 31m 16s </t>
  </si>
  <si>
    <t xml:space="preserve">00h 54m 37s </t>
  </si>
  <si>
    <t>Tradex Pouma</t>
  </si>
  <si>
    <t xml:space="preserve">00h 57m 38s </t>
  </si>
  <si>
    <t xml:space="preserve">00h 34m 03s </t>
  </si>
  <si>
    <t xml:space="preserve">00h 26m 31s </t>
  </si>
  <si>
    <t xml:space="preserve">02h 22m 18s </t>
  </si>
  <si>
    <t xml:space="preserve">01h 18m 46s </t>
  </si>
  <si>
    <t xml:space="preserve">00h 43m 04s </t>
  </si>
  <si>
    <t xml:space="preserve">00h 44m 08s </t>
  </si>
  <si>
    <t xml:space="preserve">03h 05m 21s </t>
  </si>
  <si>
    <t xml:space="preserve">06h 30m 54s </t>
  </si>
  <si>
    <t xml:space="preserve">00h 25m 37s </t>
  </si>
  <si>
    <t xml:space="preserve">01h 31m 34s </t>
  </si>
  <si>
    <t xml:space="preserve">00h 22m 30s </t>
  </si>
  <si>
    <t xml:space="preserve">05h 23m 12s </t>
  </si>
  <si>
    <t xml:space="preserve">02h 30m 36s </t>
  </si>
  <si>
    <t xml:space="preserve">02h 02m 26s </t>
  </si>
  <si>
    <t xml:space="preserve">00h 12m 31s </t>
  </si>
  <si>
    <t xml:space="preserve">05h 23m 08s </t>
  </si>
  <si>
    <t xml:space="preserve">03h 13m 20s </t>
  </si>
  <si>
    <t xml:space="preserve">00h 24m 59s </t>
  </si>
  <si>
    <t xml:space="preserve">00h 02m 04s </t>
  </si>
  <si>
    <t xml:space="preserve">07h 10m 34s </t>
  </si>
  <si>
    <t xml:space="preserve">02h 13m 36s </t>
  </si>
  <si>
    <t xml:space="preserve">00h 58m 07s </t>
  </si>
  <si>
    <t xml:space="preserve">07h 03m 39s </t>
  </si>
  <si>
    <t xml:space="preserve">01h 19m 51s </t>
  </si>
  <si>
    <t xml:space="preserve">01h 20m 59s </t>
  </si>
  <si>
    <t xml:space="preserve">00h 55m 00s </t>
  </si>
  <si>
    <t xml:space="preserve">06h 24m 43s </t>
  </si>
  <si>
    <t xml:space="preserve">03h 19m 45s </t>
  </si>
  <si>
    <t xml:space="preserve">03h 31m 38s </t>
  </si>
  <si>
    <t>7.3km S of Nkometou - N4, NYOM 1, YAOUNDE 1, CAMEROON</t>
  </si>
  <si>
    <t xml:space="preserve">03h 23m 22s </t>
  </si>
  <si>
    <t xml:space="preserve">00h 07m 12s </t>
  </si>
  <si>
    <t xml:space="preserve">00h 24m 16s </t>
  </si>
  <si>
    <t xml:space="preserve">03h 29m 17s </t>
  </si>
  <si>
    <t xml:space="preserve">01h 32m 41s </t>
  </si>
  <si>
    <t xml:space="preserve">03h 39m 15s </t>
  </si>
  <si>
    <t xml:space="preserve">00h 03m 56s </t>
  </si>
  <si>
    <t xml:space="preserve">01h 25m 54s </t>
  </si>
  <si>
    <t xml:space="preserve">00h 16m 48s </t>
  </si>
  <si>
    <t xml:space="preserve">10h 12m 05s </t>
  </si>
  <si>
    <t xml:space="preserve">01h 21m 31s </t>
  </si>
  <si>
    <t xml:space="preserve">00h 33m 59s </t>
  </si>
  <si>
    <t xml:space="preserve">00h 49m 50s </t>
  </si>
  <si>
    <t xml:space="preserve">00h 04m 58s </t>
  </si>
  <si>
    <t xml:space="preserve">00h 04m 02s </t>
  </si>
  <si>
    <t xml:space="preserve">02h 17m 40s </t>
  </si>
  <si>
    <t xml:space="preserve">00h 57m 22s </t>
  </si>
  <si>
    <t xml:space="preserve">00h 33m 24s </t>
  </si>
  <si>
    <t xml:space="preserve">00h 08m 55s </t>
  </si>
  <si>
    <t xml:space="preserve">03h 50m 43s </t>
  </si>
  <si>
    <t xml:space="preserve">00h 41m 56s </t>
  </si>
  <si>
    <t>0.1km NE of PEAGE ENTREE KRIBI - N 7, Londgi, South, CAMEROON</t>
  </si>
  <si>
    <t xml:space="preserve">02h 50m 09s </t>
  </si>
  <si>
    <t xml:space="preserve">00h 33m 51s </t>
  </si>
  <si>
    <t xml:space="preserve">00h 02m 41s </t>
  </si>
  <si>
    <t xml:space="preserve">00h 07m 17s </t>
  </si>
  <si>
    <t xml:space="preserve">00h 12m 56s </t>
  </si>
  <si>
    <t xml:space="preserve">08h 35m 10s </t>
  </si>
  <si>
    <t xml:space="preserve">04h 54m 34s </t>
  </si>
  <si>
    <t xml:space="preserve">04h 28m 07s </t>
  </si>
  <si>
    <t xml:space="preserve">00h 47m 14s </t>
  </si>
  <si>
    <t>0.1km SE of STATION TOTAL Aéroport - N 3, Douala, Littoral, CAMEROON</t>
  </si>
  <si>
    <t xml:space="preserve">00h 01m 44s </t>
  </si>
  <si>
    <t>0.1km NW of BOUTIQUE KAMI (AXE-LOURD) - N 3, Douala, Littoral, CAMEROON</t>
  </si>
  <si>
    <t xml:space="preserve">00h 04m 36s </t>
  </si>
  <si>
    <t>BOUTIQUE KAMI (AXE-LOURD)</t>
  </si>
  <si>
    <t xml:space="preserve">01h 00m 52s </t>
  </si>
  <si>
    <t xml:space="preserve">07h 28m 19s </t>
  </si>
  <si>
    <t xml:space="preserve">01h 55m 21s </t>
  </si>
  <si>
    <t xml:space="preserve">01h 48m 11s </t>
  </si>
  <si>
    <t xml:space="preserve">00h 47m 06s </t>
  </si>
  <si>
    <t xml:space="preserve">00h 01m 00s </t>
  </si>
  <si>
    <t xml:space="preserve">09h 58m 28s </t>
  </si>
  <si>
    <t xml:space="preserve">00h 08m 35s </t>
  </si>
  <si>
    <t xml:space="preserve">00h 14m 54s </t>
  </si>
  <si>
    <t xml:space="preserve">04h 25m 54s </t>
  </si>
  <si>
    <t xml:space="preserve">00h 45m 54s </t>
  </si>
  <si>
    <t>0.1km NE of PEAGE ENTREE KRIBI - N 7, Londgi, South</t>
  </si>
  <si>
    <t xml:space="preserve">02h 41m 21s </t>
  </si>
  <si>
    <t xml:space="preserve">00h 31m 44s </t>
  </si>
  <si>
    <t xml:space="preserve">10h 03m 25s </t>
  </si>
  <si>
    <t xml:space="preserve">00h 07m 31s </t>
  </si>
  <si>
    <t xml:space="preserve">00h 40m 00s </t>
  </si>
  <si>
    <t xml:space="preserve">05h 43m 30s </t>
  </si>
  <si>
    <t xml:space="preserve">02h 58m 43s </t>
  </si>
  <si>
    <t>Unnamed Road, Douala, Wouri, CAMEROON</t>
  </si>
  <si>
    <t xml:space="preserve">01h 18m 08s </t>
  </si>
  <si>
    <t xml:space="preserve">00h 08m 22s </t>
  </si>
  <si>
    <t xml:space="preserve">00h 09m 12s </t>
  </si>
  <si>
    <t xml:space="preserve">00h 09m 07s </t>
  </si>
  <si>
    <t xml:space="preserve">01h 08m 11s </t>
  </si>
  <si>
    <t xml:space="preserve">00h 06m 00s </t>
  </si>
  <si>
    <t xml:space="preserve">05h 22m 42s </t>
  </si>
  <si>
    <t xml:space="preserve">05h 23m 32s </t>
  </si>
  <si>
    <t>BVC74</t>
  </si>
  <si>
    <t>BVC82</t>
  </si>
  <si>
    <t>AEROPORT DE DOUALA</t>
  </si>
  <si>
    <t>2016-05-28 15:09:51</t>
  </si>
  <si>
    <t>2016-05-30 08:48:43</t>
  </si>
  <si>
    <t>2016-05-27 19:42:59</t>
  </si>
  <si>
    <t>2016-05-30 07:41:24</t>
  </si>
  <si>
    <t>2016-05-28 14:41:25</t>
  </si>
  <si>
    <t>2016-05-30 08:28:08</t>
  </si>
  <si>
    <t>2016-05-28 12:45:21</t>
  </si>
  <si>
    <t>2016-05-30 05:23:59</t>
  </si>
  <si>
    <t>2016-05-28 11:36:00</t>
  </si>
  <si>
    <t>2016-05-30 05:26:31</t>
  </si>
  <si>
    <t>2016-05-26 17:32:16</t>
  </si>
  <si>
    <t>2016-05-30 05:37:47</t>
  </si>
  <si>
    <t>2016-05-27 15:12:51</t>
  </si>
  <si>
    <t>2016-05-30 08:42:59</t>
  </si>
  <si>
    <t>BV706</t>
  </si>
  <si>
    <t>BASE RAZEL BAGANGTE</t>
  </si>
  <si>
    <t>BV707</t>
  </si>
  <si>
    <t>BV711</t>
  </si>
  <si>
    <t>MV700</t>
  </si>
  <si>
    <t>MV702</t>
  </si>
  <si>
    <t>MV701</t>
  </si>
  <si>
    <t>2016-05-30 00:42:32</t>
  </si>
  <si>
    <t>2016-05-30 06:48:50</t>
  </si>
  <si>
    <t>2016-05-30 00:52:00</t>
  </si>
  <si>
    <t>2016-05-30 06:48:51</t>
  </si>
  <si>
    <t>2016-05-30 17:49:49</t>
  </si>
  <si>
    <t>2016-05-31 07:46:41</t>
  </si>
  <si>
    <t>2016-05-30 17:47:42</t>
  </si>
  <si>
    <t>2016-05-31 07:34:18</t>
  </si>
  <si>
    <t>2016-05-30 00:32:52</t>
  </si>
  <si>
    <t>2016-05-30 08:21:54</t>
  </si>
  <si>
    <t>CARRIERE RAZEL BAGANGTE</t>
  </si>
  <si>
    <t>2016-05-30 08:40:54</t>
  </si>
  <si>
    <t>2016-05-30 08:50:30</t>
  </si>
  <si>
    <t>2016-05-30 08:53:30</t>
  </si>
  <si>
    <t>2016-05-30 09:02:30</t>
  </si>
  <si>
    <t>2016-05-30 00:31:14</t>
  </si>
  <si>
    <t>2016-05-30 08:26:58</t>
  </si>
  <si>
    <t>2016-05-30 11:40:58</t>
  </si>
  <si>
    <t>2016-05-30 11:54:59</t>
  </si>
  <si>
    <t>2016-05-30 13:25:59</t>
  </si>
  <si>
    <t>2016-05-31 07:34:08</t>
  </si>
  <si>
    <t>2016-05-30 06:57:11</t>
  </si>
  <si>
    <t>2016-05-30 08:35:30</t>
  </si>
  <si>
    <t>2016-05-30 08:36:30</t>
  </si>
  <si>
    <t>2016-05-30 16:52:48</t>
  </si>
  <si>
    <t>2016-05-30 00:28:57</t>
  </si>
  <si>
    <t>2016-05-30 05:54:59</t>
  </si>
  <si>
    <t>2016-05-30 06:32:59</t>
  </si>
  <si>
    <t>2016-05-30 07:42:52</t>
  </si>
  <si>
    <t>2016-05-30 08:33:52</t>
  </si>
  <si>
    <t>2016-05-30 08:38:52</t>
  </si>
  <si>
    <t>2016-05-30 09:15:52</t>
  </si>
  <si>
    <t>2016-05-30 09:36:54</t>
  </si>
  <si>
    <t>2016-05-30 11:09:26</t>
  </si>
  <si>
    <t>2016-05-30 11:13:54</t>
  </si>
  <si>
    <t>2016-05-30 11:56:54</t>
  </si>
  <si>
    <t>2016-05-30 13:10:54</t>
  </si>
  <si>
    <t>2016-05-30 14:15:54</t>
  </si>
  <si>
    <t>2016-05-30 14:25:54</t>
  </si>
  <si>
    <t>2016-05-30 15:02:54</t>
  </si>
  <si>
    <t>2016-05-30 15:34:54</t>
  </si>
  <si>
    <t>2016-05-30 16:46:54</t>
  </si>
  <si>
    <t>2016-05-30 16:51:42</t>
  </si>
  <si>
    <t>2016-05-30 17:31:54</t>
  </si>
  <si>
    <t>2016-05-31 07:51:23</t>
  </si>
  <si>
    <t>CARRIERE RAZEL LOGBADJECK</t>
  </si>
  <si>
    <t>2016-05-30 06:29:23</t>
  </si>
  <si>
    <t>2016-05-30 07:42:47</t>
  </si>
  <si>
    <t>2016-05-30 08:35:47</t>
  </si>
  <si>
    <t>2016-05-30 08:44:47</t>
  </si>
  <si>
    <t>2016-05-30 10:19:47</t>
  </si>
  <si>
    <t>2016-05-30 11:34:49</t>
  </si>
  <si>
    <t>2016-05-30 12:27:49</t>
  </si>
  <si>
    <t>2016-05-30 12:46:49</t>
  </si>
  <si>
    <t>2016-05-30 14:39:49</t>
  </si>
  <si>
    <t>2016-05-30 15:31:49</t>
  </si>
  <si>
    <t>2016-05-30 16:24:49</t>
  </si>
  <si>
    <t>2016-05-30 16:30:49</t>
  </si>
  <si>
    <t>2016-05-30 17:32:49</t>
  </si>
  <si>
    <t>2016-05-31 07:24:30</t>
  </si>
  <si>
    <t>2016-05-30 07:52:41</t>
  </si>
  <si>
    <t>2016-05-30 08:45:25</t>
  </si>
  <si>
    <t>BASE RAZEL PADY 2</t>
  </si>
  <si>
    <t>2016-05-30 10:10:25</t>
  </si>
  <si>
    <t>2016-05-30 10:31:08</t>
  </si>
  <si>
    <t>2016-05-30 11:42:56</t>
  </si>
  <si>
    <t>2016-05-30 12:38:13</t>
  </si>
  <si>
    <t>2016-05-30 13:49:13</t>
  </si>
  <si>
    <t>2016-05-30 13:50:13</t>
  </si>
  <si>
    <t>2016-05-30 14:56:13</t>
  </si>
  <si>
    <t>2016-05-30 15:32:13</t>
  </si>
  <si>
    <t>2016-05-30 09:09:27</t>
  </si>
  <si>
    <t>2016-05-30 09:52:27</t>
  </si>
  <si>
    <t>2016-05-30 11:32:27</t>
  </si>
  <si>
    <t>2016-05-30 11:42:39</t>
  </si>
  <si>
    <t>2016-05-30 12:50:41</t>
  </si>
  <si>
    <t>2016-05-30 13:38:41</t>
  </si>
  <si>
    <t>2016-05-30 15:41:41</t>
  </si>
  <si>
    <t>2016-05-30 16:28:41</t>
  </si>
  <si>
    <t>2016-05-30 07:03:58</t>
  </si>
  <si>
    <t>2016-05-30 07:20:56</t>
  </si>
  <si>
    <t>2016-05-30 08:14:56</t>
  </si>
  <si>
    <t>2016-05-30 08:45:00</t>
  </si>
  <si>
    <t>2016-05-30 10:04:00</t>
  </si>
  <si>
    <t>2016-05-30 17:02:16</t>
  </si>
  <si>
    <t>2016-05-31 17:34:50</t>
  </si>
  <si>
    <t>2016-06-01 06:50:54</t>
  </si>
  <si>
    <t>2016-05-31 17:55:05</t>
  </si>
  <si>
    <t>2016-06-01 07:36:18</t>
  </si>
  <si>
    <t>2016-05-31 17:50:45</t>
  </si>
  <si>
    <t>2016-06-01 08:51:27</t>
  </si>
  <si>
    <t>2016-05-31 08:51:59</t>
  </si>
  <si>
    <t>2016-05-31 08:53:59</t>
  </si>
  <si>
    <t>2016-05-31 12:13:58</t>
  </si>
  <si>
    <t>2016-05-31 12:28:58</t>
  </si>
  <si>
    <t>2016-05-31 13:23:58</t>
  </si>
  <si>
    <t>2016-05-31 16:25:08</t>
  </si>
  <si>
    <t>2016-05-31 17:10:58</t>
  </si>
  <si>
    <t>2016-06-01 08:21:08</t>
  </si>
  <si>
    <t>2016-05-31 07:19:30</t>
  </si>
  <si>
    <t>2016-05-31 07:21:30</t>
  </si>
  <si>
    <t>2016-05-31 08:32:30</t>
  </si>
  <si>
    <t>2016-05-31 09:36:30</t>
  </si>
  <si>
    <t>2016-05-31 10:57:31</t>
  </si>
  <si>
    <t>2016-05-31 10:58:31</t>
  </si>
  <si>
    <t>2016-05-31 08:44:24</t>
  </si>
  <si>
    <t>2016-05-31 08:49:24</t>
  </si>
  <si>
    <t>2016-05-31 09:35:24</t>
  </si>
  <si>
    <t>2016-05-31 10:04:24</t>
  </si>
  <si>
    <t>2016-05-31 11:06:24</t>
  </si>
  <si>
    <t>2016-05-31 11:13:24</t>
  </si>
  <si>
    <t>2016-05-31 11:51:24</t>
  </si>
  <si>
    <t>2016-05-31 13:45:33</t>
  </si>
  <si>
    <t>2016-05-31 18:31:33</t>
  </si>
  <si>
    <t>2016-06-01 06:31:03</t>
  </si>
  <si>
    <t>2016-05-31 08:16:30</t>
  </si>
  <si>
    <t>2016-05-31 08:26:30</t>
  </si>
  <si>
    <t>2016-05-31 09:29:30</t>
  </si>
  <si>
    <t>2016-05-31 10:23:30</t>
  </si>
  <si>
    <t>2016-05-31 16:34:30</t>
  </si>
  <si>
    <t>2016-05-31 17:14:30</t>
  </si>
  <si>
    <t>2016-05-31 18:12:30</t>
  </si>
  <si>
    <t>2016-06-01 05:40:59</t>
  </si>
  <si>
    <t>2016-05-31 08:08:51</t>
  </si>
  <si>
    <t>2016-05-31 15:50:19</t>
  </si>
  <si>
    <t>2016-05-31 09:32:44</t>
  </si>
  <si>
    <t>2016-05-31 10:15:44</t>
  </si>
  <si>
    <t>2016-05-31 08:24:01</t>
  </si>
  <si>
    <t>2016-05-31 08:30:01</t>
  </si>
  <si>
    <t>2016-05-31 09:32:01</t>
  </si>
  <si>
    <t>2016-05-31 09:48:22</t>
  </si>
  <si>
    <t>2016-06-01 17:56:35</t>
  </si>
  <si>
    <t>2016-06-02 07:03:09</t>
  </si>
  <si>
    <t>2016-06-01 16:35:00</t>
  </si>
  <si>
    <t>2016-06-02 06:41:03</t>
  </si>
  <si>
    <t>2016-06-01 16:34:52</t>
  </si>
  <si>
    <t>2016-06-02 06:40:17</t>
  </si>
  <si>
    <t>2016-06-01 10:03:58</t>
  </si>
  <si>
    <t>2016-06-01 12:28:58</t>
  </si>
  <si>
    <t>2016-06-01 15:19:58</t>
  </si>
  <si>
    <t>2016-06-02 07:34:57</t>
  </si>
  <si>
    <t>2016-06-01 09:12:56</t>
  </si>
  <si>
    <t>2016-06-01 09:13:56</t>
  </si>
  <si>
    <t>2016-06-01 11:18:58</t>
  </si>
  <si>
    <t>2016-06-01 13:48:24</t>
  </si>
  <si>
    <t>2016-06-01 14:29:59</t>
  </si>
  <si>
    <t>2016-06-01 16:26:42</t>
  </si>
  <si>
    <t>2016-06-01 17:01:05</t>
  </si>
  <si>
    <t>2016-06-02 07:16:55</t>
  </si>
  <si>
    <t>2016-06-01 07:09:03</t>
  </si>
  <si>
    <t>2016-06-01 08:07:41</t>
  </si>
  <si>
    <t>2016-06-01 08:58:41</t>
  </si>
  <si>
    <t>2016-06-01 09:06:29</t>
  </si>
  <si>
    <t>2016-06-01 09:42:41</t>
  </si>
  <si>
    <t>2016-06-01 10:14:41</t>
  </si>
  <si>
    <t>2016-06-01 11:05:41</t>
  </si>
  <si>
    <t>2016-06-01 11:11:41</t>
  </si>
  <si>
    <t>2016-06-01 11:48:41</t>
  </si>
  <si>
    <t>2016-06-01 13:17:17</t>
  </si>
  <si>
    <t>2016-06-01 18:15:23</t>
  </si>
  <si>
    <t>2016-06-02 06:27:55</t>
  </si>
  <si>
    <t>2016-06-01 08:59:59</t>
  </si>
  <si>
    <t>2016-06-01 10:07:09</t>
  </si>
  <si>
    <t>2016-06-01 14:03:12</t>
  </si>
  <si>
    <t>2016-06-01 14:05:50</t>
  </si>
  <si>
    <t>2016-06-01 15:38:48</t>
  </si>
  <si>
    <t>2016-06-02 07:03:55</t>
  </si>
  <si>
    <t>2016-06-01 08:08:22</t>
  </si>
  <si>
    <t>2016-06-01 13:40:11</t>
  </si>
  <si>
    <t>2016-06-01 15:42:07</t>
  </si>
  <si>
    <t>2016-06-01 15:43:54</t>
  </si>
  <si>
    <t>2016-06-02 17:57:49</t>
  </si>
  <si>
    <t>2016-06-03 06:43:21</t>
  </si>
  <si>
    <t>2016-06-02 17:56:15</t>
  </si>
  <si>
    <t>2016-06-03 06:38:50</t>
  </si>
  <si>
    <t>2016-06-02 18:01:56</t>
  </si>
  <si>
    <t>2016-06-03 06:49:30</t>
  </si>
  <si>
    <t>2016-06-02 10:29:57</t>
  </si>
  <si>
    <t>2016-06-02 10:48:57</t>
  </si>
  <si>
    <t>2016-06-02 13:10:08</t>
  </si>
  <si>
    <t>2016-06-02 13:32:58</t>
  </si>
  <si>
    <t>2016-06-02 14:14:58</t>
  </si>
  <si>
    <t>2016-06-03 06:52:57</t>
  </si>
  <si>
    <t>2016-06-02 19:03:59</t>
  </si>
  <si>
    <t>2016-06-03 07:06:05</t>
  </si>
  <si>
    <t>2016-06-02 07:18:09</t>
  </si>
  <si>
    <t>2016-06-02 07:20:09</t>
  </si>
  <si>
    <t>2016-06-02 09:01:50</t>
  </si>
  <si>
    <t>2016-06-02 09:02:40</t>
  </si>
  <si>
    <t>2016-06-02 09:43:32</t>
  </si>
  <si>
    <t>2016-06-02 09:56:32</t>
  </si>
  <si>
    <t>2016-06-02 10:23:46</t>
  </si>
  <si>
    <t>2016-06-02 10:24:46</t>
  </si>
  <si>
    <t>2016-06-02 11:20:16</t>
  </si>
  <si>
    <t>2016-06-02 11:20:57</t>
  </si>
  <si>
    <t>2016-06-02 17:47:44</t>
  </si>
  <si>
    <t>2016-06-03 04:45:08</t>
  </si>
  <si>
    <t>2016-06-02 07:02:41</t>
  </si>
  <si>
    <t>2016-06-02 07:57:47</t>
  </si>
  <si>
    <t>2016-06-02 08:50:27</t>
  </si>
  <si>
    <t>2016-06-02 08:50:33</t>
  </si>
  <si>
    <t>2016-06-02 08:51:33</t>
  </si>
  <si>
    <t>2016-06-02 08:56:02</t>
  </si>
  <si>
    <t>2016-06-02 09:31:24</t>
  </si>
  <si>
    <t>2016-06-02 10:34:50</t>
  </si>
  <si>
    <t>2016-06-02 16:01:17</t>
  </si>
  <si>
    <t>2016-06-03 07:52:51</t>
  </si>
  <si>
    <t>2016-06-02 07:58:11</t>
  </si>
  <si>
    <t>2016-06-02 08:09:11</t>
  </si>
  <si>
    <t>2016-06-02 09:14:22</t>
  </si>
  <si>
    <t>2016-06-02 10:14:39</t>
  </si>
  <si>
    <t>2016-06-02 11:08:50</t>
  </si>
  <si>
    <t>2016-06-02 11:17:50</t>
  </si>
  <si>
    <t>2016-06-02 12:14:51</t>
  </si>
  <si>
    <t>2016-06-02 12:49:22</t>
  </si>
  <si>
    <t>2016-06-02 13:44:31</t>
  </si>
  <si>
    <t>2016-06-02 13:50:31</t>
  </si>
  <si>
    <t>2016-06-02 14:43:27</t>
  </si>
  <si>
    <t>2016-06-02 15:33:46</t>
  </si>
  <si>
    <t>2016-06-02 16:28:23</t>
  </si>
  <si>
    <t>2016-06-03 08:50:10</t>
  </si>
  <si>
    <t>2016-06-02 07:51:48</t>
  </si>
  <si>
    <t>2016-06-02 15:19:54</t>
  </si>
  <si>
    <t>2016-06-03 18:01:43</t>
  </si>
  <si>
    <t>2016-06-04 07:13:12</t>
  </si>
  <si>
    <t>2016-06-03 17:56:51</t>
  </si>
  <si>
    <t>2016-06-04 06:51:28</t>
  </si>
  <si>
    <t>2016-06-03 17:49:23</t>
  </si>
  <si>
    <t>2016-06-04 06:44:45</t>
  </si>
  <si>
    <t>2016-06-03 07:27:06</t>
  </si>
  <si>
    <t>2016-06-03 08:30:46</t>
  </si>
  <si>
    <t>2016-06-03 09:22:56</t>
  </si>
  <si>
    <t>2016-06-03 11:06:56</t>
  </si>
  <si>
    <t>2016-06-03 14:49:57</t>
  </si>
  <si>
    <t>2016-06-03 15:30:57</t>
  </si>
  <si>
    <t>2016-06-03 16:05:57</t>
  </si>
  <si>
    <t>2016-06-03 16:10:07</t>
  </si>
  <si>
    <t>2016-06-03 16:20:57</t>
  </si>
  <si>
    <t>2016-06-03 16:30:07</t>
  </si>
  <si>
    <t>2016-06-03 17:30:57</t>
  </si>
  <si>
    <t>2016-06-04 06:47:57</t>
  </si>
  <si>
    <t>2016-06-03 08:08:06</t>
  </si>
  <si>
    <t>2016-06-03 09:16:54</t>
  </si>
  <si>
    <t>2016-06-03 10:23:54</t>
  </si>
  <si>
    <t>2016-06-03 10:36:54</t>
  </si>
  <si>
    <t>2016-06-03 11:51:54</t>
  </si>
  <si>
    <t>2016-06-03 12:40:19</t>
  </si>
  <si>
    <t>2016-06-03 13:48:58</t>
  </si>
  <si>
    <t>2016-06-03 14:08:58</t>
  </si>
  <si>
    <t>2016-06-03 15:17:58</t>
  </si>
  <si>
    <t>2016-06-03 15:59:58</t>
  </si>
  <si>
    <t>2016-06-03 17:02:58</t>
  </si>
  <si>
    <t>2016-06-03 17:12:58</t>
  </si>
  <si>
    <t>2016-06-03 17:53:37</t>
  </si>
  <si>
    <t>2016-06-04 07:17:50</t>
  </si>
  <si>
    <t>2016-06-03 08:56:26</t>
  </si>
  <si>
    <t>2016-06-03 09:16:19</t>
  </si>
  <si>
    <t>2016-06-03 10:51:31</t>
  </si>
  <si>
    <t>2016-06-03 11:29:29</t>
  </si>
  <si>
    <t>2016-06-03 19:11:07</t>
  </si>
  <si>
    <t>2016-06-04 08:09:34</t>
  </si>
  <si>
    <t>2016-06-03 05:56:51</t>
  </si>
  <si>
    <t>2016-06-03 07:10:37</t>
  </si>
  <si>
    <t>2016-06-03 08:02:37</t>
  </si>
  <si>
    <t>2016-06-03 08:11:37</t>
  </si>
  <si>
    <t>2016-06-03 09:50:37</t>
  </si>
  <si>
    <t>2016-06-03 10:44:37</t>
  </si>
  <si>
    <t>2016-06-03 11:35:37</t>
  </si>
  <si>
    <t>2016-06-03 11:42:37</t>
  </si>
  <si>
    <t>2016-06-03 12:28:37</t>
  </si>
  <si>
    <t>2016-06-03 12:57:37</t>
  </si>
  <si>
    <t>2016-06-03 13:49:37</t>
  </si>
  <si>
    <t>2016-06-03 13:57:37</t>
  </si>
  <si>
    <t>2016-06-03 14:49:37</t>
  </si>
  <si>
    <t>2016-06-03 15:30:37</t>
  </si>
  <si>
    <t>2016-06-03 16:28:37</t>
  </si>
  <si>
    <t>2016-06-04 04:31:57</t>
  </si>
  <si>
    <t>2016-06-03 13:10:36</t>
  </si>
  <si>
    <t>2016-06-03 13:56:57</t>
  </si>
  <si>
    <t>2016-06-03 18:11:04</t>
  </si>
  <si>
    <t>2016-06-04 06:47:59</t>
  </si>
  <si>
    <t>2016-06-03 09:50:10</t>
  </si>
  <si>
    <t>2016-06-03 11:00:25</t>
  </si>
  <si>
    <t>2016-06-03 11:57:25</t>
  </si>
  <si>
    <t>2016-06-03 12:10:25</t>
  </si>
  <si>
    <t>2016-06-03 13:18:25</t>
  </si>
  <si>
    <t>2016-06-04 07:00:27</t>
  </si>
  <si>
    <t>2016-06-03 14:20:16</t>
  </si>
  <si>
    <t>2016-06-03 14:25:12</t>
  </si>
  <si>
    <t>2016-06-03 16:09:22</t>
  </si>
  <si>
    <t>2016-06-03 16:15:06</t>
  </si>
  <si>
    <t>2016-06-04 11:38:25</t>
  </si>
  <si>
    <t>2016-06-05 23:56:03</t>
  </si>
  <si>
    <t>2016-06-04 11:57:47</t>
  </si>
  <si>
    <t>2016-06-05 23:59:51</t>
  </si>
  <si>
    <t>2016-06-04 07:10:57</t>
  </si>
  <si>
    <t>2016-06-04 07:19:43</t>
  </si>
  <si>
    <t>2016-06-04 07:22:05</t>
  </si>
  <si>
    <t>2016-06-04 07:32:29</t>
  </si>
  <si>
    <t>2016-06-04 08:13:24</t>
  </si>
  <si>
    <t>2016-06-04 09:03:33</t>
  </si>
  <si>
    <t>2016-06-04 09:08:41</t>
  </si>
  <si>
    <t>2016-06-04 09:14:13</t>
  </si>
  <si>
    <t>2016-06-04 09:18:22</t>
  </si>
  <si>
    <t>2016-06-04 09:25:13</t>
  </si>
  <si>
    <t>2016-06-04 09:28:04</t>
  </si>
  <si>
    <t>2016-06-04 09:34:01</t>
  </si>
  <si>
    <t>2016-06-04 09:36:52</t>
  </si>
  <si>
    <t>2016-06-04 09:40:51</t>
  </si>
  <si>
    <t>2016-06-04 09:43:51</t>
  </si>
  <si>
    <t>2016-06-04 09:48:21</t>
  </si>
  <si>
    <t>2016-06-04 09:52:15</t>
  </si>
  <si>
    <t>2016-06-04 09:56:17</t>
  </si>
  <si>
    <t>2016-06-04 09:59:27</t>
  </si>
  <si>
    <t>2016-06-04 10:15:44</t>
  </si>
  <si>
    <t>2016-06-04 10:27:35</t>
  </si>
  <si>
    <t>2016-06-04 10:28:35</t>
  </si>
  <si>
    <t>2016-06-04 10:35:00</t>
  </si>
  <si>
    <t>2016-06-04 10:36:03</t>
  </si>
  <si>
    <t>2016-06-04 10:38:00</t>
  </si>
  <si>
    <t>2016-06-04 10:38:10</t>
  </si>
  <si>
    <t>2016-06-04 10:43:57</t>
  </si>
  <si>
    <t>2016-06-04 10:45:44</t>
  </si>
  <si>
    <t>2016-06-04 10:51:22</t>
  </si>
  <si>
    <t>2016-06-04 10:54:18</t>
  </si>
  <si>
    <t>2016-06-04 10:58:52</t>
  </si>
  <si>
    <t>2016-06-04 11:00:43</t>
  </si>
  <si>
    <t>2016-06-04 11:05:35</t>
  </si>
  <si>
    <t>2016-06-04 11:07:24</t>
  </si>
  <si>
    <t>2016-06-04 11:11:37</t>
  </si>
  <si>
    <t>2016-06-04 11:16:04</t>
  </si>
  <si>
    <t>2016-06-04 11:20:13</t>
  </si>
  <si>
    <t>2016-06-04 11:22:41</t>
  </si>
  <si>
    <t>2016-06-04 11:29:31</t>
  </si>
  <si>
    <t>2016-06-04 11:33:32</t>
  </si>
  <si>
    <t>2016-06-04 11:43:42</t>
  </si>
  <si>
    <t>2016-06-04 11:48:48</t>
  </si>
  <si>
    <t>2016-06-04 12:20:49</t>
  </si>
  <si>
    <t>2016-06-05 23:59:39</t>
  </si>
  <si>
    <t>2016-06-04 07:56:57</t>
  </si>
  <si>
    <t>2016-06-04 08:25:47</t>
  </si>
  <si>
    <t>2016-06-04 08:28:47</t>
  </si>
  <si>
    <t>2016-06-04 08:56:57</t>
  </si>
  <si>
    <t>2016-06-04 09:30:57</t>
  </si>
  <si>
    <t>2016-06-04 09:34:57</t>
  </si>
  <si>
    <t>2016-06-04 10:42:56</t>
  </si>
  <si>
    <t>2016-06-04 10:53:07</t>
  </si>
  <si>
    <t>2016-06-04 10:57:07</t>
  </si>
  <si>
    <t>2016-06-05 23:59:41</t>
  </si>
  <si>
    <t>2016-06-04 08:23:54</t>
  </si>
  <si>
    <t>2016-06-04 08:36:54</t>
  </si>
  <si>
    <t>2016-06-04 09:40:54</t>
  </si>
  <si>
    <t>2016-06-04 10:13:54</t>
  </si>
  <si>
    <t>2016-06-04 11:12:54</t>
  </si>
  <si>
    <t>2016-06-04 11:22:56</t>
  </si>
  <si>
    <t>2016-06-04 12:22:56</t>
  </si>
  <si>
    <t>2016-06-04 12:59:56</t>
  </si>
  <si>
    <t>2016-06-04 13:55:56</t>
  </si>
  <si>
    <t>2016-06-04 14:07:56</t>
  </si>
  <si>
    <t>2016-06-04 15:12:56</t>
  </si>
  <si>
    <t>2016-06-04 15:41:56</t>
  </si>
  <si>
    <t>2016-06-04 16:45:56</t>
  </si>
  <si>
    <t>2016-06-04 16:59:56</t>
  </si>
  <si>
    <t>2016-06-04 17:45:56</t>
  </si>
  <si>
    <t>2016-06-05 23:59:38</t>
  </si>
  <si>
    <t>2016-06-04 08:40:26</t>
  </si>
  <si>
    <t>2016-06-04 09:57:50</t>
  </si>
  <si>
    <t>BASE RAZEL PENETRANTE EST</t>
  </si>
  <si>
    <t>2016-06-04 10:47:10</t>
  </si>
  <si>
    <t>2016-06-04 12:10:16</t>
  </si>
  <si>
    <t>2016-06-04 05:40:07</t>
  </si>
  <si>
    <t>2016-06-04 06:55:22</t>
  </si>
  <si>
    <t>2016-06-04 07:52:22</t>
  </si>
  <si>
    <t>2016-06-04 08:02:22</t>
  </si>
  <si>
    <t>2016-06-04 09:36:22</t>
  </si>
  <si>
    <t>2016-06-04 10:06:22</t>
  </si>
  <si>
    <t>2016-06-04 11:01:22</t>
  </si>
  <si>
    <t>2016-06-04 11:08:22</t>
  </si>
  <si>
    <t>2016-06-04 11:56:22</t>
  </si>
  <si>
    <t>2016-06-04 12:22:24</t>
  </si>
  <si>
    <t>2016-06-04 13:19:24</t>
  </si>
  <si>
    <t>2016-06-04 13:28:24</t>
  </si>
  <si>
    <t>2016-06-04 14:29:24</t>
  </si>
  <si>
    <t>2016-06-04 15:01:24</t>
  </si>
  <si>
    <t>2016-06-04 15:55:24</t>
  </si>
  <si>
    <t>2016-06-05 23:42:41</t>
  </si>
  <si>
    <t>2016-06-04 07:22:39</t>
  </si>
  <si>
    <t>2016-06-04 08:26:47</t>
  </si>
  <si>
    <t>2016-06-04 09:30:58</t>
  </si>
  <si>
    <t>2016-06-04 09:43:47</t>
  </si>
  <si>
    <t>2016-06-04 10:23:12</t>
  </si>
  <si>
    <t>2016-06-04 10:50:58</t>
  </si>
  <si>
    <t>2016-06-04 11:37:56</t>
  </si>
  <si>
    <t>2016-06-04 11:52:56</t>
  </si>
  <si>
    <t>2016-06-04 12:41:04</t>
  </si>
  <si>
    <t>2016-06-04 13:07:21</t>
  </si>
  <si>
    <t>2016-06-04 13:53:36</t>
  </si>
  <si>
    <t>2016-06-05 23:56:36</t>
  </si>
  <si>
    <t>2016-06-04 07:54:27</t>
  </si>
  <si>
    <t>2016-06-04 08:04:27</t>
  </si>
  <si>
    <t>2016-06-04 09:18:27</t>
  </si>
  <si>
    <t>2016-06-04 10:07:27</t>
  </si>
  <si>
    <t>2016-06-04 11:06:27</t>
  </si>
  <si>
    <t>2016-06-04 11:17:27</t>
  </si>
  <si>
    <t>2016-06-04 12:24:28</t>
  </si>
  <si>
    <t>2016-06-04 13:07:28</t>
  </si>
  <si>
    <t>2016-06-04 14:10:28</t>
  </si>
  <si>
    <t>2016-06-04 14:23:28</t>
  </si>
  <si>
    <t>2016-06-04 15:58:29</t>
  </si>
  <si>
    <t>2016-06-05 02:10:27</t>
  </si>
  <si>
    <t>2016-06-04 07:36:31</t>
  </si>
  <si>
    <t>2016-06-04 07:44:15</t>
  </si>
  <si>
    <t>2016-06-04 08:16:08</t>
  </si>
  <si>
    <t>2016-06-04 08:16:48</t>
  </si>
  <si>
    <t>2016-05-30 09:39:15</t>
  </si>
  <si>
    <t>2016-05-30 09:45:57</t>
  </si>
  <si>
    <t>2016-05-30 10:19:06</t>
  </si>
  <si>
    <t>2016-05-30 10:42:44</t>
  </si>
  <si>
    <t>2016-05-30 12:09:38</t>
  </si>
  <si>
    <t>2016-05-30 12:14:06</t>
  </si>
  <si>
    <t>2016-05-30 12:14:36</t>
  </si>
  <si>
    <t>2016-05-30 12:15:08</t>
  </si>
  <si>
    <t>2016-05-30 13:18:37</t>
  </si>
  <si>
    <t>2016-05-30 14:09:24</t>
  </si>
  <si>
    <t>2016-05-30 14:59:24</t>
  </si>
  <si>
    <t>2016-05-30 15:04:17</t>
  </si>
  <si>
    <t>2016-05-30 15:58:47</t>
  </si>
  <si>
    <t>2016-05-30 16:38:34</t>
  </si>
  <si>
    <t>2016-05-30 17:22:01</t>
  </si>
  <si>
    <t>2016-05-30 17:27:57</t>
  </si>
  <si>
    <t>2016-05-30 18:08:08</t>
  </si>
  <si>
    <t>2016-05-31 08:38:55</t>
  </si>
  <si>
    <t>2016-05-28 12:47:46</t>
  </si>
  <si>
    <t>2016-05-30 12:53:32</t>
  </si>
  <si>
    <t>2016-05-30 13:59:09</t>
  </si>
  <si>
    <t>2016-05-30 14:36:02</t>
  </si>
  <si>
    <t>2016-05-30 15:35:05</t>
  </si>
  <si>
    <t>2016-05-30 16:34:53</t>
  </si>
  <si>
    <t>2016-05-30 17:36:12</t>
  </si>
  <si>
    <t>2016-05-30 17:45:35</t>
  </si>
  <si>
    <t>2016-05-30 18:38:56</t>
  </si>
  <si>
    <t>2016-05-31 08:28:33</t>
  </si>
  <si>
    <t>2016-05-28 13:54:50</t>
  </si>
  <si>
    <t>2016-05-31 08:31:02</t>
  </si>
  <si>
    <t>2016-05-30 08:50:18</t>
  </si>
  <si>
    <t>2016-05-30 08:50:47</t>
  </si>
  <si>
    <t>2016-05-30 19:02:16</t>
  </si>
  <si>
    <t>2016-05-31 08:54:30</t>
  </si>
  <si>
    <t>2016-05-30 06:42:02</t>
  </si>
  <si>
    <t>2016-05-30 08:56:18</t>
  </si>
  <si>
    <t>2016-05-30 10:52:21</t>
  </si>
  <si>
    <t>2016-05-30 10:54:42</t>
  </si>
  <si>
    <t>2016-05-30 10:56:13</t>
  </si>
  <si>
    <t>2016-05-30 10:59:51</t>
  </si>
  <si>
    <t>2016-05-30 11:08:04</t>
  </si>
  <si>
    <t>2016-05-30 11:31:31</t>
  </si>
  <si>
    <t>2016-05-30 11:40:03</t>
  </si>
  <si>
    <t>2016-05-30 11:40:36</t>
  </si>
  <si>
    <t>2016-05-30 11:42:13</t>
  </si>
  <si>
    <t>2016-05-30 11:45:23</t>
  </si>
  <si>
    <t>2016-05-30 13:15:18</t>
  </si>
  <si>
    <t>2016-05-30 14:18:18</t>
  </si>
  <si>
    <t>2016-05-30 15:30:05</t>
  </si>
  <si>
    <t>2016-05-30 15:41:45</t>
  </si>
  <si>
    <t>2016-05-30 15:42:58</t>
  </si>
  <si>
    <t>2016-05-30 15:46:45</t>
  </si>
  <si>
    <t>2016-05-30 15:56:33</t>
  </si>
  <si>
    <t>2016-05-30 16:01:28</t>
  </si>
  <si>
    <t>2016-05-30 16:09:20</t>
  </si>
  <si>
    <t>2016-05-30 16:09:55</t>
  </si>
  <si>
    <t>2016-05-30 16:11:37</t>
  </si>
  <si>
    <t>2016-05-31 07:17:26</t>
  </si>
  <si>
    <t>2016-05-30 12:33:55</t>
  </si>
  <si>
    <t>2016-05-30 16:12:11</t>
  </si>
  <si>
    <t>2016-05-30 06:45:07</t>
  </si>
  <si>
    <t>2016-05-30 08:55:43</t>
  </si>
  <si>
    <t>2016-05-30 10:52:13</t>
  </si>
  <si>
    <t>2016-05-30 10:53:58</t>
  </si>
  <si>
    <t>2016-05-30 10:54:56</t>
  </si>
  <si>
    <t>2016-05-30 10:58:52</t>
  </si>
  <si>
    <t>2016-05-30 11:11:39</t>
  </si>
  <si>
    <t>2016-05-30 11:12:45</t>
  </si>
  <si>
    <t>2016-05-30 11:15:15</t>
  </si>
  <si>
    <t>2016-05-30 11:15:25</t>
  </si>
  <si>
    <t>2016-05-30 11:20:53</t>
  </si>
  <si>
    <t>2016-05-30 11:21:03</t>
  </si>
  <si>
    <t>2016-05-30 11:23:10</t>
  </si>
  <si>
    <t>2016-05-30 12:00:03</t>
  </si>
  <si>
    <t>2016-05-30 13:15:35</t>
  </si>
  <si>
    <t>2016-05-30 14:17:47</t>
  </si>
  <si>
    <t>2016-05-30 15:29:45</t>
  </si>
  <si>
    <t>2016-05-30 15:38:56</t>
  </si>
  <si>
    <t>2016-05-30 15:40:14</t>
  </si>
  <si>
    <t>2016-05-30 15:45:09</t>
  </si>
  <si>
    <t>2016-05-30 15:49:34</t>
  </si>
  <si>
    <t>2016-05-30 16:01:01</t>
  </si>
  <si>
    <t>2016-05-30 16:01:56</t>
  </si>
  <si>
    <t>2016-05-30 16:03:11</t>
  </si>
  <si>
    <t>2016-05-30 16:04:24</t>
  </si>
  <si>
    <t>2016-05-30 16:08:40</t>
  </si>
  <si>
    <t>2016-05-30 16:08:45</t>
  </si>
  <si>
    <t>2016-05-30 16:10:36</t>
  </si>
  <si>
    <t>2016-05-31 07:17:52</t>
  </si>
  <si>
    <t>2016-05-30 06:35:51</t>
  </si>
  <si>
    <t>2016-05-30 09:05:45</t>
  </si>
  <si>
    <t>2016-05-30 09:58:51</t>
  </si>
  <si>
    <t>2016-05-30 10:13:52</t>
  </si>
  <si>
    <t>2016-05-30 11:35:52</t>
  </si>
  <si>
    <t>2016-05-30 12:37:57</t>
  </si>
  <si>
    <t>2016-05-30 13:38:52</t>
  </si>
  <si>
    <t>2016-05-30 13:48:52</t>
  </si>
  <si>
    <t>2016-05-30 15:34:14</t>
  </si>
  <si>
    <t>2016-05-30 16:17:31</t>
  </si>
  <si>
    <t>2016-05-30 17:13:52</t>
  </si>
  <si>
    <t>2016-05-31 05:34:36</t>
  </si>
  <si>
    <t>2016-05-30 09:38:03</t>
  </si>
  <si>
    <t>2016-05-30 09:53:03</t>
  </si>
  <si>
    <t>2016-05-30 11:19:39</t>
  </si>
  <si>
    <t>2016-05-30 12:34:21</t>
  </si>
  <si>
    <t>2016-05-30 13:38:03</t>
  </si>
  <si>
    <t>2016-05-30 13:53:03</t>
  </si>
  <si>
    <t>2016-05-30 15:39:54</t>
  </si>
  <si>
    <t>2016-05-30 16:31:43</t>
  </si>
  <si>
    <t>2016-05-30 17:30:33</t>
  </si>
  <si>
    <t>2016-05-30 17:32:45</t>
  </si>
  <si>
    <t>2016-05-30 18:35:11</t>
  </si>
  <si>
    <t>2016-05-31 08:24:21</t>
  </si>
  <si>
    <t>2016-05-30 17:11:20</t>
  </si>
  <si>
    <t>2016-05-31 11:54:33</t>
  </si>
  <si>
    <t>2016-05-31 12:16:48</t>
  </si>
  <si>
    <t>2016-05-31 17:11:28</t>
  </si>
  <si>
    <t>2016-05-31 09:32:41</t>
  </si>
  <si>
    <t>2016-05-31 09:40:03</t>
  </si>
  <si>
    <t>2016-05-31 10:25:31</t>
  </si>
  <si>
    <t>2016-05-31 12:17:33</t>
  </si>
  <si>
    <t>2016-05-31 13:06:18</t>
  </si>
  <si>
    <t>2016-05-31 13:27:30</t>
  </si>
  <si>
    <t>2016-05-31 14:03:04</t>
  </si>
  <si>
    <t>2016-05-31 14:44:50</t>
  </si>
  <si>
    <t>2016-05-31 09:31:24</t>
  </si>
  <si>
    <t>2016-05-31 09:44:36</t>
  </si>
  <si>
    <t>2016-05-31 10:43:00</t>
  </si>
  <si>
    <t>2016-05-31 11:22:34</t>
  </si>
  <si>
    <t>2016-05-31 12:25:16</t>
  </si>
  <si>
    <t>2016-05-31 12:41:23</t>
  </si>
  <si>
    <t>2016-05-31 13:36:33</t>
  </si>
  <si>
    <t>2016-05-31 14:26:18</t>
  </si>
  <si>
    <t>2016-05-31 15:24:42</t>
  </si>
  <si>
    <t>2016-05-31 15:34:39</t>
  </si>
  <si>
    <t>2016-05-31 16:27:40</t>
  </si>
  <si>
    <t>2016-05-31 16:54:24</t>
  </si>
  <si>
    <t>2016-05-31 17:45:40</t>
  </si>
  <si>
    <t>2016-05-31 17:49:54</t>
  </si>
  <si>
    <t>2016-05-31 18:39:40</t>
  </si>
  <si>
    <t>2016-06-01 08:07:34</t>
  </si>
  <si>
    <t>2016-05-30 21:18:11</t>
  </si>
  <si>
    <t>2016-05-31 12:14:58</t>
  </si>
  <si>
    <t>2016-05-31 18:20:35</t>
  </si>
  <si>
    <t>2016-06-01 08:25:13</t>
  </si>
  <si>
    <t>2016-05-31 13:45:48</t>
  </si>
  <si>
    <t>2016-05-31 16:32:42</t>
  </si>
  <si>
    <t>2016-05-30 12:43:22</t>
  </si>
  <si>
    <t>2016-05-31 09:27:47</t>
  </si>
  <si>
    <t>2016-05-31 11:06:02</t>
  </si>
  <si>
    <t>2016-05-31 13:04:04</t>
  </si>
  <si>
    <t>2016-05-31 13:23:12</t>
  </si>
  <si>
    <t>2016-06-01 08:35:24</t>
  </si>
  <si>
    <t>2016-05-30 18:14:20</t>
  </si>
  <si>
    <t>2016-05-31 17:26:47</t>
  </si>
  <si>
    <t>2016-05-31 18:11:52</t>
  </si>
  <si>
    <t>2016-06-01 08:54:21</t>
  </si>
  <si>
    <t>2016-05-31 08:56:34</t>
  </si>
  <si>
    <t>2016-05-31 08:57:03</t>
  </si>
  <si>
    <t>2016-05-31 09:20:53</t>
  </si>
  <si>
    <t>2016-05-31 10:10:49</t>
  </si>
  <si>
    <t>2016-05-31 11:22:38</t>
  </si>
  <si>
    <t>2016-05-31 11:23:18</t>
  </si>
  <si>
    <t>2016-05-31 11:25:59</t>
  </si>
  <si>
    <t>2016-05-31 12:03:39</t>
  </si>
  <si>
    <t>2016-05-31 12:05:52</t>
  </si>
  <si>
    <t>2016-05-31 12:06:31</t>
  </si>
  <si>
    <t>2016-05-31 12:31:48</t>
  </si>
  <si>
    <t>2016-05-31 16:21:24</t>
  </si>
  <si>
    <t>2016-05-31 16:46:07</t>
  </si>
  <si>
    <t>2016-05-31 16:46:46</t>
  </si>
  <si>
    <t>2016-05-31 16:49:02</t>
  </si>
  <si>
    <t>2016-06-01 06:22:36</t>
  </si>
  <si>
    <t>2016-05-27 15:33:28</t>
  </si>
  <si>
    <t>2016-05-31 09:55:01</t>
  </si>
  <si>
    <t>2016-05-31 10:13:28</t>
  </si>
  <si>
    <t>2016-05-31 10:14:20</t>
  </si>
  <si>
    <t>2016-05-31 10:15:56</t>
  </si>
  <si>
    <t>2016-05-31 10:55:03</t>
  </si>
  <si>
    <t>2016-05-31 10:56:31</t>
  </si>
  <si>
    <t>2016-05-31 10:59:55</t>
  </si>
  <si>
    <t>2016-05-31 11:47:50</t>
  </si>
  <si>
    <t>2016-05-31 11:48:29</t>
  </si>
  <si>
    <t>2016-05-31 11:50:13</t>
  </si>
  <si>
    <t>2016-05-31 11:50:31</t>
  </si>
  <si>
    <t>2016-05-31 11:51:51</t>
  </si>
  <si>
    <t>2016-05-31 11:52:08</t>
  </si>
  <si>
    <t>2016-05-31 13:17:42</t>
  </si>
  <si>
    <t>2016-05-31 13:18:11</t>
  </si>
  <si>
    <t>2016-05-31 13:18:32</t>
  </si>
  <si>
    <t>2016-05-31 13:21:21</t>
  </si>
  <si>
    <t>2016-05-31 13:47:37</t>
  </si>
  <si>
    <t>2016-05-31 13:49:50</t>
  </si>
  <si>
    <t>2016-05-31 13:51:02</t>
  </si>
  <si>
    <t>2016-05-31 13:51:10</t>
  </si>
  <si>
    <t>2016-05-31 14:52:26</t>
  </si>
  <si>
    <t>2016-05-31 14:53:04</t>
  </si>
  <si>
    <t>2016-05-31 14:53:48</t>
  </si>
  <si>
    <t>2016-05-31 14:54:38</t>
  </si>
  <si>
    <t>2016-05-31 15:00:40</t>
  </si>
  <si>
    <t>2016-05-31 15:02:21</t>
  </si>
  <si>
    <t>2016-05-31 15:31:12</t>
  </si>
  <si>
    <t>2016-05-31 15:32:37</t>
  </si>
  <si>
    <t>2016-05-31 15:37:01</t>
  </si>
  <si>
    <t>2016-05-31 15:37:09</t>
  </si>
  <si>
    <t>2016-05-31 16:33:00</t>
  </si>
  <si>
    <t>2016-05-31 16:33:28</t>
  </si>
  <si>
    <t>2016-05-31 17:21:12</t>
  </si>
  <si>
    <t>2016-05-31 17:21:44</t>
  </si>
  <si>
    <t>2016-05-31 18:41:00</t>
  </si>
  <si>
    <t>2016-05-31 18:47:31</t>
  </si>
  <si>
    <t>2016-05-31 18:49:00</t>
  </si>
  <si>
    <t>2016-06-01 07:44:47</t>
  </si>
  <si>
    <t>2016-05-31 08:32:38</t>
  </si>
  <si>
    <t>2016-05-31 09:05:15</t>
  </si>
  <si>
    <t>2016-05-31 10:58:13</t>
  </si>
  <si>
    <t>2016-05-31 11:01:51</t>
  </si>
  <si>
    <t>2016-05-31 11:03:04</t>
  </si>
  <si>
    <t>2016-05-31 11:06:53</t>
  </si>
  <si>
    <t>2016-05-31 11:15:07</t>
  </si>
  <si>
    <t>2016-05-31 11:18:33</t>
  </si>
  <si>
    <t>2016-05-31 11:25:56</t>
  </si>
  <si>
    <t>2016-05-31 11:26:24</t>
  </si>
  <si>
    <t>2016-05-31 11:28:06</t>
  </si>
  <si>
    <t>2016-05-31 11:31:41</t>
  </si>
  <si>
    <t>2016-05-31 12:44:15</t>
  </si>
  <si>
    <t>2016-05-31 14:16:14</t>
  </si>
  <si>
    <t>2016-05-31 15:41:56</t>
  </si>
  <si>
    <t>2016-05-31 15:58:35</t>
  </si>
  <si>
    <t>2016-05-31 15:59:46</t>
  </si>
  <si>
    <t>2016-05-31 16:03:04</t>
  </si>
  <si>
    <t>2016-05-31 16:08:04</t>
  </si>
  <si>
    <t>2016-05-31 16:14:54</t>
  </si>
  <si>
    <t>2016-05-31 16:41:06</t>
  </si>
  <si>
    <t>2016-05-31 18:18:45</t>
  </si>
  <si>
    <t>2016-05-31 18:48:07</t>
  </si>
  <si>
    <t>2016-05-31 18:49:52</t>
  </si>
  <si>
    <t>2016-05-31 18:52:24</t>
  </si>
  <si>
    <t>2016-06-01 05:19:15</t>
  </si>
  <si>
    <t>2016-05-31 08:34:05</t>
  </si>
  <si>
    <t>2016-05-31 09:07:03</t>
  </si>
  <si>
    <t>2016-05-31 10:57:58</t>
  </si>
  <si>
    <t>2016-05-31 11:00:33</t>
  </si>
  <si>
    <t>2016-05-31 11:01:29</t>
  </si>
  <si>
    <t>2016-05-31 11:05:31</t>
  </si>
  <si>
    <t>2016-05-31 11:10:35</t>
  </si>
  <si>
    <t>2016-05-31 11:15:43</t>
  </si>
  <si>
    <t>2016-05-31 11:18:06</t>
  </si>
  <si>
    <t>2016-05-31 11:18:38</t>
  </si>
  <si>
    <t>2016-05-31 11:23:48</t>
  </si>
  <si>
    <t>2016-05-31 11:23:57</t>
  </si>
  <si>
    <t>2016-05-31 11:26:09</t>
  </si>
  <si>
    <t>2016-05-31 11:30:18</t>
  </si>
  <si>
    <t>2016-05-31 12:43:06</t>
  </si>
  <si>
    <t>2016-05-31 14:17:03</t>
  </si>
  <si>
    <t>2016-05-31 15:42:12</t>
  </si>
  <si>
    <t>2016-05-31 15:57:42</t>
  </si>
  <si>
    <t>2016-05-31 15:58:39</t>
  </si>
  <si>
    <t>2016-05-31 16:02:33</t>
  </si>
  <si>
    <t>2016-05-31 16:09:38</t>
  </si>
  <si>
    <t>2016-05-31 16:15:27</t>
  </si>
  <si>
    <t>2016-05-31 16:16:16</t>
  </si>
  <si>
    <t>2016-05-31 16:16:29</t>
  </si>
  <si>
    <t>2016-05-31 16:17:44</t>
  </si>
  <si>
    <t>2016-05-31 16:19:02</t>
  </si>
  <si>
    <t>2016-05-31 16:23:25</t>
  </si>
  <si>
    <t>2016-05-31 16:23:34</t>
  </si>
  <si>
    <t>2016-05-31 16:25:37</t>
  </si>
  <si>
    <t>2016-06-01 05:30:35</t>
  </si>
  <si>
    <t>2016-05-31 06:37:46</t>
  </si>
  <si>
    <t>2016-05-31 08:24:15</t>
  </si>
  <si>
    <t>2016-05-31 09:24:15</t>
  </si>
  <si>
    <t>2016-05-31 09:44:15</t>
  </si>
  <si>
    <t>2016-05-31 10:59:16</t>
  </si>
  <si>
    <t>2016-05-31 11:31:27</t>
  </si>
  <si>
    <t>2016-05-31 12:28:09</t>
  </si>
  <si>
    <t>2016-05-31 12:38:38</t>
  </si>
  <si>
    <t>2016-05-31 13:29:16</t>
  </si>
  <si>
    <t>2016-05-31 14:27:15</t>
  </si>
  <si>
    <t>2016-05-31 15:24:16</t>
  </si>
  <si>
    <t>2016-05-31 15:34:16</t>
  </si>
  <si>
    <t>2016-05-31 16:29:16</t>
  </si>
  <si>
    <t>2016-05-31 16:55:31</t>
  </si>
  <si>
    <t>2016-05-31 17:54:16</t>
  </si>
  <si>
    <t>2016-06-01 05:40:10</t>
  </si>
  <si>
    <t>2016-05-31 09:16:32</t>
  </si>
  <si>
    <t>2016-05-31 09:27:19</t>
  </si>
  <si>
    <t>2016-05-31 10:30:12</t>
  </si>
  <si>
    <t>2016-05-31 11:23:21</t>
  </si>
  <si>
    <t>2016-05-31 14:12:29</t>
  </si>
  <si>
    <t>2016-05-31 14:13:25</t>
  </si>
  <si>
    <t>2016-05-31 17:36:23</t>
  </si>
  <si>
    <t>2016-05-31 18:14:13</t>
  </si>
  <si>
    <t>2016-05-31 19:16:07</t>
  </si>
  <si>
    <t>2016-06-01 06:42:29</t>
  </si>
  <si>
    <t>2016-06-01 21:07:47</t>
  </si>
  <si>
    <t>2016-06-02 08:36:30</t>
  </si>
  <si>
    <t>2016-06-02 17:09:51</t>
  </si>
  <si>
    <t>2016-06-03 04:50:13</t>
  </si>
  <si>
    <t>2016-06-01 18:46:48</t>
  </si>
  <si>
    <t>2016-06-02 07:22:14</t>
  </si>
  <si>
    <t>2016-06-02 07:57:31</t>
  </si>
  <si>
    <t>2016-06-02 09:09:35</t>
  </si>
  <si>
    <t>2016-06-02 10:00:28</t>
  </si>
  <si>
    <t>2016-06-02 10:01:58</t>
  </si>
  <si>
    <t>2016-06-02 10:38:05</t>
  </si>
  <si>
    <t>2016-06-02 11:34:38</t>
  </si>
  <si>
    <t>2016-06-02 16:34:49</t>
  </si>
  <si>
    <t>2016-06-02 16:35:45</t>
  </si>
  <si>
    <t>2016-06-02 16:36:41</t>
  </si>
  <si>
    <t>2016-06-02 16:40:02</t>
  </si>
  <si>
    <t>2016-06-02 17:21:26</t>
  </si>
  <si>
    <t>2016-06-03 08:41:02</t>
  </si>
  <si>
    <t>2016-06-01 18:08:05</t>
  </si>
  <si>
    <t>2016-06-02 08:00:13</t>
  </si>
  <si>
    <t>2016-06-02 08:46:28</t>
  </si>
  <si>
    <t>2016-06-02 08:50:52</t>
  </si>
  <si>
    <t>2016-06-02 09:24:48</t>
  </si>
  <si>
    <t>2016-06-02 09:39:28</t>
  </si>
  <si>
    <t>2016-06-02 10:28:43</t>
  </si>
  <si>
    <t>2016-06-02 10:36:34</t>
  </si>
  <si>
    <t>2016-06-02 11:08:55</t>
  </si>
  <si>
    <t>2016-06-02 11:27:51</t>
  </si>
  <si>
    <t>2016-06-02 12:10:36</t>
  </si>
  <si>
    <t>2016-06-02 12:15:20</t>
  </si>
  <si>
    <t>2016-06-02 12:51:53</t>
  </si>
  <si>
    <t>2016-06-02 14:18:49</t>
  </si>
  <si>
    <t>2016-06-02 15:35:17</t>
  </si>
  <si>
    <t>2016-06-02 15:43:08</t>
  </si>
  <si>
    <t>2016-06-02 16:30:33</t>
  </si>
  <si>
    <t>2016-06-03 08:09:48</t>
  </si>
  <si>
    <t>2016-06-01 18:00:38</t>
  </si>
  <si>
    <t>2016-06-02 15:17:41</t>
  </si>
  <si>
    <t>2016-06-02 15:38:16</t>
  </si>
  <si>
    <t>2016-06-02 19:02:03</t>
  </si>
  <si>
    <t>2016-06-02 19:26:30</t>
  </si>
  <si>
    <t>2016-06-02 19:27:25</t>
  </si>
  <si>
    <t>2016-06-02 19:29:30</t>
  </si>
  <si>
    <t>2016-06-03 07:03:06</t>
  </si>
  <si>
    <t>2016-06-01 18:27:23</t>
  </si>
  <si>
    <t>2016-06-02 09:19:39</t>
  </si>
  <si>
    <t>2016-06-02 09:38:03</t>
  </si>
  <si>
    <t>2016-06-02 10:49:51</t>
  </si>
  <si>
    <t>2016-06-02 11:07:03</t>
  </si>
  <si>
    <t>2016-06-02 11:07:49</t>
  </si>
  <si>
    <t>2016-06-02 11:09:20</t>
  </si>
  <si>
    <t>2016-06-02 12:10:58</t>
  </si>
  <si>
    <t>2016-06-02 12:13:42</t>
  </si>
  <si>
    <t>2016-06-02 12:15:05</t>
  </si>
  <si>
    <t>2016-06-02 12:18:06</t>
  </si>
  <si>
    <t>2016-06-02 17:51:00</t>
  </si>
  <si>
    <t>2016-06-02 17:52:31</t>
  </si>
  <si>
    <t>2016-06-02 17:53:31</t>
  </si>
  <si>
    <t>2016-06-02 17:54:30</t>
  </si>
  <si>
    <t>2016-06-02 17:56:06</t>
  </si>
  <si>
    <t>2016-06-02 17:57:12</t>
  </si>
  <si>
    <t>2016-06-02 18:14:24</t>
  </si>
  <si>
    <t>2016-06-02 18:24:20</t>
  </si>
  <si>
    <t>2016-06-02 18:40:02</t>
  </si>
  <si>
    <t>2016-06-02 18:40:30</t>
  </si>
  <si>
    <t>2016-06-02 18:41:56</t>
  </si>
  <si>
    <t>2016-06-03 07:28:13</t>
  </si>
  <si>
    <t>2016-06-01 16:29:33</t>
  </si>
  <si>
    <t>2016-06-02 07:22:45</t>
  </si>
  <si>
    <t>2016-06-02 09:12:55</t>
  </si>
  <si>
    <t>2016-06-02 11:10:48</t>
  </si>
  <si>
    <t>2016-06-02 11:17:10</t>
  </si>
  <si>
    <t>2016-06-02 12:39:54</t>
  </si>
  <si>
    <t>2016-06-02 13:14:25</t>
  </si>
  <si>
    <t>2016-06-02 14:31:13</t>
  </si>
  <si>
    <t>2016-06-02 14:33:58</t>
  </si>
  <si>
    <t>2016-06-02 16:01:27</t>
  </si>
  <si>
    <t>2016-06-02 16:30:38</t>
  </si>
  <si>
    <t>2016-06-02 18:02:41</t>
  </si>
  <si>
    <t>2016-06-02 18:06:29</t>
  </si>
  <si>
    <t>2016-06-02 18:22:29</t>
  </si>
  <si>
    <t>2016-06-03 05:22:26</t>
  </si>
  <si>
    <t>2016-06-01 16:31:30</t>
  </si>
  <si>
    <t>2016-06-02 07:22:55</t>
  </si>
  <si>
    <t>2016-06-02 08:36:26</t>
  </si>
  <si>
    <t>2016-06-02 09:13:35</t>
  </si>
  <si>
    <t>2016-06-02 11:10:57</t>
  </si>
  <si>
    <t>2016-06-02 11:17:40</t>
  </si>
  <si>
    <t>2016-06-02 12:40:17</t>
  </si>
  <si>
    <t>2016-06-02 13:15:01</t>
  </si>
  <si>
    <t>2016-06-02 14:31:33</t>
  </si>
  <si>
    <t>2016-06-02 14:35:52</t>
  </si>
  <si>
    <t>2016-06-02 16:01:39</t>
  </si>
  <si>
    <t>2016-06-02 16:30:50</t>
  </si>
  <si>
    <t>2016-06-02 18:03:02</t>
  </si>
  <si>
    <t>2016-06-02 18:06:49</t>
  </si>
  <si>
    <t>2016-06-02 18:25:44</t>
  </si>
  <si>
    <t>2016-06-03 05:36:03</t>
  </si>
  <si>
    <t>2016-06-02 10:53:34</t>
  </si>
  <si>
    <t>2016-06-03 09:10:10</t>
  </si>
  <si>
    <t>2016-06-03 09:32:12</t>
  </si>
  <si>
    <t>2016-06-03 10:00:04</t>
  </si>
  <si>
    <t>2016-06-03 10:00:50</t>
  </si>
  <si>
    <t>2016-06-03 10:04:39</t>
  </si>
  <si>
    <t>2016-06-03 11:04:32</t>
  </si>
  <si>
    <t>2016-06-03 11:11:42</t>
  </si>
  <si>
    <t>2016-06-03 11:13:25</t>
  </si>
  <si>
    <t>2016-06-03 11:13:34</t>
  </si>
  <si>
    <t>2016-06-03 13:07:08</t>
  </si>
  <si>
    <t>2016-06-03 13:10:51</t>
  </si>
  <si>
    <t>2016-06-03 13:36:25</t>
  </si>
  <si>
    <t>2016-06-03 13:38:22</t>
  </si>
  <si>
    <t>2016-06-03 16:26:36</t>
  </si>
  <si>
    <t>2016-06-03 16:29:32</t>
  </si>
  <si>
    <t>2016-06-03 16:32:44</t>
  </si>
  <si>
    <t>2016-06-03 16:32:52</t>
  </si>
  <si>
    <t>2016-06-03 19:30:40</t>
  </si>
  <si>
    <t>2016-06-04 08:25:37</t>
  </si>
  <si>
    <t>2016-06-03 14:17:30</t>
  </si>
  <si>
    <t>2016-06-03 15:03:26</t>
  </si>
  <si>
    <t>2016-06-03 19:07:52</t>
  </si>
  <si>
    <t>2016-06-04 07:26:23</t>
  </si>
  <si>
    <t>2016-06-03 09:02:51</t>
  </si>
  <si>
    <t>2016-06-03 09:17:21</t>
  </si>
  <si>
    <t>2016-06-03 09:56:01</t>
  </si>
  <si>
    <t>2016-06-03 10:11:47</t>
  </si>
  <si>
    <t>2016-06-03 10:59:17</t>
  </si>
  <si>
    <t>2016-06-03 11:04:18</t>
  </si>
  <si>
    <t>2016-06-03 11:40:46</t>
  </si>
  <si>
    <t>2016-06-03 13:16:57</t>
  </si>
  <si>
    <t>2016-06-03 18:41:36</t>
  </si>
  <si>
    <t>2016-06-04 08:19:35</t>
  </si>
  <si>
    <t>2016-06-03 22:21:34</t>
  </si>
  <si>
    <t>2016-06-04 07:54:55</t>
  </si>
  <si>
    <t>2016-06-02 09:55:57</t>
  </si>
  <si>
    <t>2016-06-03 09:08:12</t>
  </si>
  <si>
    <t>2016-06-03 16:43:53</t>
  </si>
  <si>
    <t>2016-06-03 17:52:33</t>
  </si>
  <si>
    <t>2016-06-03 06:54:58</t>
  </si>
  <si>
    <t>2016-06-03 08:32:44</t>
  </si>
  <si>
    <t>2016-06-03 10:29:50</t>
  </si>
  <si>
    <t>2016-06-03 10:34:42</t>
  </si>
  <si>
    <t>2016-06-03 12:10:21</t>
  </si>
  <si>
    <t>2016-06-03 12:59:07</t>
  </si>
  <si>
    <t>2016-06-03 14:30:12</t>
  </si>
  <si>
    <t>2016-06-03 14:43:29</t>
  </si>
  <si>
    <t>2016-06-03 16:27:39</t>
  </si>
  <si>
    <t>2016-06-03 16:49:16</t>
  </si>
  <si>
    <t>2016-06-03 18:10:25</t>
  </si>
  <si>
    <t>2016-06-04 07:11:25</t>
  </si>
  <si>
    <t>2016-06-03 11:23:49</t>
  </si>
  <si>
    <t>2016-06-03 15:40:30</t>
  </si>
  <si>
    <t>2016-06-03 06:58:20</t>
  </si>
  <si>
    <t>2016-06-03 08:33:27</t>
  </si>
  <si>
    <t>2016-06-03 10:30:00</t>
  </si>
  <si>
    <t>2016-06-03 10:36:29</t>
  </si>
  <si>
    <t>2016-06-03 12:10:01</t>
  </si>
  <si>
    <t>2016-06-03 13:00:17</t>
  </si>
  <si>
    <t>2016-06-03 14:56:58</t>
  </si>
  <si>
    <t>2016-06-03 15:07:31</t>
  </si>
  <si>
    <t>2016-06-03 16:22:00</t>
  </si>
  <si>
    <t>2016-06-03 18:07:38</t>
  </si>
  <si>
    <t>2016-06-04 07:12:55</t>
  </si>
  <si>
    <t>2016-06-04 09:46:10</t>
  </si>
  <si>
    <t>2016-06-04 10:13:24</t>
  </si>
  <si>
    <t>2016-06-04 10:14:31</t>
  </si>
  <si>
    <t>2016-06-04 10:29:04</t>
  </si>
  <si>
    <t>2016-06-04 10:30:14</t>
  </si>
  <si>
    <t>2016-06-04 10:33:54</t>
  </si>
  <si>
    <t>2016-06-04 10:35:10</t>
  </si>
  <si>
    <t>2016-06-04 10:54:22</t>
  </si>
  <si>
    <t>2016-06-04 10:54:54</t>
  </si>
  <si>
    <t>2016-06-04 10:59:35</t>
  </si>
  <si>
    <t>2016-06-04 11:00:20</t>
  </si>
  <si>
    <t>2016-06-04 11:07:02</t>
  </si>
  <si>
    <t>2016-06-04 11:07:48</t>
  </si>
  <si>
    <t>2016-06-04 11:21:53</t>
  </si>
  <si>
    <t>2016-06-04 11:22:42</t>
  </si>
  <si>
    <t>2016-06-04 11:25:49</t>
  </si>
  <si>
    <t>2016-06-04 11:26:45</t>
  </si>
  <si>
    <t>2016-06-04 11:32:01</t>
  </si>
  <si>
    <t>2016-06-04 11:33:22</t>
  </si>
  <si>
    <t>2016-06-04 12:39:35</t>
  </si>
  <si>
    <t>2016-06-04 12:41:18</t>
  </si>
  <si>
    <t>2016-06-04 12:54:12</t>
  </si>
  <si>
    <t>2016-06-04 12:55:09</t>
  </si>
  <si>
    <t>2016-06-04 13:00:12</t>
  </si>
  <si>
    <t>2016-06-04 13:00:57</t>
  </si>
  <si>
    <t>2016-06-04 13:08:17</t>
  </si>
  <si>
    <t>2016-06-04 13:10:23</t>
  </si>
  <si>
    <t>2016-06-04 13:32:33</t>
  </si>
  <si>
    <t>2016-06-04 13:34:15</t>
  </si>
  <si>
    <t>2016-06-04 13:37:12</t>
  </si>
  <si>
    <t>2016-06-04 13:38:10</t>
  </si>
  <si>
    <t>2016-06-04 13:44:29</t>
  </si>
  <si>
    <t>2016-06-04 13:46:52</t>
  </si>
  <si>
    <t>2016-06-04 13:48:06</t>
  </si>
  <si>
    <t>2016-06-04 13:49:53</t>
  </si>
  <si>
    <t>2016-06-04 13:52:08</t>
  </si>
  <si>
    <t>2016-06-04 13:53:47</t>
  </si>
  <si>
    <t>2016-06-04 14:01:47</t>
  </si>
  <si>
    <t>2016-06-04 14:03:18</t>
  </si>
  <si>
    <t>2016-06-04 14:21:14</t>
  </si>
  <si>
    <t>2016-06-04 14:23:27</t>
  </si>
  <si>
    <t>2016-06-04 15:20:50</t>
  </si>
  <si>
    <t>2016-06-04 15:22:17</t>
  </si>
  <si>
    <t>2016-06-04 15:28:20</t>
  </si>
  <si>
    <t>2016-06-04 15:29:36</t>
  </si>
  <si>
    <t>2016-06-04 15:31:06</t>
  </si>
  <si>
    <t>2016-06-04 15:32:08</t>
  </si>
  <si>
    <t>2016-06-04 15:32:50</t>
  </si>
  <si>
    <t>2016-06-04 15:34:50</t>
  </si>
  <si>
    <t>2016-06-04 15:35:49</t>
  </si>
  <si>
    <t>2016-06-04 15:36:38</t>
  </si>
  <si>
    <t>2016-06-04 15:38:17</t>
  </si>
  <si>
    <t>2016-06-04 15:39:34</t>
  </si>
  <si>
    <t>2016-06-04 15:46:03</t>
  </si>
  <si>
    <t>2016-06-04 15:46:59</t>
  </si>
  <si>
    <t>2016-06-04 16:19:38</t>
  </si>
  <si>
    <t>2016-06-04 16:20:17</t>
  </si>
  <si>
    <t>2016-06-04 16:20:50</t>
  </si>
  <si>
    <t>2016-06-04 16:21:20</t>
  </si>
  <si>
    <t>2016-06-04 16:24:29</t>
  </si>
  <si>
    <t>2016-06-04 16:26:33</t>
  </si>
  <si>
    <t>2016-06-04 16:54:03</t>
  </si>
  <si>
    <t>2016-06-04 16:54:55</t>
  </si>
  <si>
    <t>2016-06-04 17:05:29</t>
  </si>
  <si>
    <t>2016-06-04 17:06:49</t>
  </si>
  <si>
    <t>2016-06-04 17:08:20</t>
  </si>
  <si>
    <t>2016-06-04 17:09:58</t>
  </si>
  <si>
    <t>2016-06-04 17:11:25</t>
  </si>
  <si>
    <t>2016-06-04 17:13:28</t>
  </si>
  <si>
    <t>2016-06-04 17:13:55</t>
  </si>
  <si>
    <t>2016-06-04 17:15:49</t>
  </si>
  <si>
    <t>2016-06-04 17:23:11</t>
  </si>
  <si>
    <t>2016-06-04 17:23:55</t>
  </si>
  <si>
    <t>2016-06-04 17:25:01</t>
  </si>
  <si>
    <t>2016-06-04 17:25:29</t>
  </si>
  <si>
    <t>2016-06-04 17:26:21</t>
  </si>
  <si>
    <t>2016-06-04 17:28:12</t>
  </si>
  <si>
    <t>2016-06-04 17:29:19</t>
  </si>
  <si>
    <t>2016-06-04 17:30:14</t>
  </si>
  <si>
    <t>2016-06-04 17:31:25</t>
  </si>
  <si>
    <t>2016-06-04 17:32:40</t>
  </si>
  <si>
    <t>2016-06-04 17:33:28</t>
  </si>
  <si>
    <t>2016-06-04 17:37:11</t>
  </si>
  <si>
    <t>2016-06-04 17:38:35</t>
  </si>
  <si>
    <t>2016-06-04 17:40:46</t>
  </si>
  <si>
    <t>2016-06-04 17:47:12</t>
  </si>
  <si>
    <t>2016-06-04 17:47:58</t>
  </si>
  <si>
    <t>2016-06-04 18:00:48</t>
  </si>
  <si>
    <t>2016-06-04 18:03:15</t>
  </si>
  <si>
    <t>2016-06-04 18:05:32</t>
  </si>
  <si>
    <t>2016-06-04 18:07:36</t>
  </si>
  <si>
    <t>2016-06-04 18:09:34</t>
  </si>
  <si>
    <t>2016-06-04 18:10:48</t>
  </si>
  <si>
    <t>2016-06-04 18:16:29</t>
  </si>
  <si>
    <t>2016-06-04 18:17:31</t>
  </si>
  <si>
    <t>2016-06-04 18:18:01</t>
  </si>
  <si>
    <t>2016-06-04 18:18:31</t>
  </si>
  <si>
    <t>2016-06-04 18:19:48</t>
  </si>
  <si>
    <t>2016-06-04 18:20:53</t>
  </si>
  <si>
    <t>2016-06-04 18:22:58</t>
  </si>
  <si>
    <t>2016-06-04 18:25:10</t>
  </si>
  <si>
    <t>2016-06-04 18:27:42</t>
  </si>
  <si>
    <t>2016-06-04 18:28:31</t>
  </si>
  <si>
    <t>2016-06-04 18:45:45</t>
  </si>
  <si>
    <t>2016-06-04 18:50:01</t>
  </si>
  <si>
    <t>2016-06-04 18:55:29</t>
  </si>
  <si>
    <t>2016-06-04 18:56:05</t>
  </si>
  <si>
    <t>2016-06-04 18:58:03</t>
  </si>
  <si>
    <t>2016-06-04 19:02:20</t>
  </si>
  <si>
    <t>2016-06-04 19:08:23</t>
  </si>
  <si>
    <t>2016-06-04 19:11:51</t>
  </si>
  <si>
    <t>2016-06-04 19:15:50</t>
  </si>
  <si>
    <t>2016-06-04 19:16:39</t>
  </si>
  <si>
    <t>2016-06-04 19:19:16</t>
  </si>
  <si>
    <t>2016-06-04 19:20:41</t>
  </si>
  <si>
    <t>2016-06-04 19:23:22</t>
  </si>
  <si>
    <t>2016-06-04 19:24:07</t>
  </si>
  <si>
    <t>2016-06-04 19:26:58</t>
  </si>
  <si>
    <t>2016-06-04 19:29:53</t>
  </si>
  <si>
    <t>2016-06-04 19:32:59</t>
  </si>
  <si>
    <t>2016-06-04 19:34:32</t>
  </si>
  <si>
    <t>2016-06-04 19:35:28</t>
  </si>
  <si>
    <t>2016-06-04 19:38:26</t>
  </si>
  <si>
    <t>2016-06-04 19:40:40</t>
  </si>
  <si>
    <t>2016-06-04 19:43:23</t>
  </si>
  <si>
    <t>2016-06-04 19:45:58</t>
  </si>
  <si>
    <t>2016-06-04 19:46:50</t>
  </si>
  <si>
    <t>2016-06-04 19:52:12</t>
  </si>
  <si>
    <t>2016-06-04 19:53:30</t>
  </si>
  <si>
    <t>2016-06-04 19:57:47</t>
  </si>
  <si>
    <t>2016-06-04 19:58:45</t>
  </si>
  <si>
    <t>2016-06-04 19:59:39</t>
  </si>
  <si>
    <t>2016-06-04 20:01:24</t>
  </si>
  <si>
    <t>2016-06-04 20:04:26</t>
  </si>
  <si>
    <t>2016-06-04 20:06:12</t>
  </si>
  <si>
    <t>2016-06-04 20:06:39</t>
  </si>
  <si>
    <t>2016-06-04 20:07:32</t>
  </si>
  <si>
    <t>2016-06-04 20:17:21</t>
  </si>
  <si>
    <t>2016-06-04 20:20:33</t>
  </si>
  <si>
    <t>2016-06-04 20:27:20</t>
  </si>
  <si>
    <t>2016-06-04 20:30:47</t>
  </si>
  <si>
    <t>2016-06-04 20:35:59</t>
  </si>
  <si>
    <t>2016-06-04 20:39:00</t>
  </si>
  <si>
    <t>2016-06-04 20:47:19</t>
  </si>
  <si>
    <t>2016-06-04 20:48:27</t>
  </si>
  <si>
    <t>2016-06-04 20:58:08</t>
  </si>
  <si>
    <t>2016-06-04 20:59:08</t>
  </si>
  <si>
    <t>2016-06-04 21:01:11</t>
  </si>
  <si>
    <t>2016-06-04 21:03:09</t>
  </si>
  <si>
    <t>2016-06-04 21:05:25</t>
  </si>
  <si>
    <t>2016-06-04 21:05:53</t>
  </si>
  <si>
    <t>2016-06-04 21:10:56</t>
  </si>
  <si>
    <t>2016-06-04 21:13:55</t>
  </si>
  <si>
    <t>2016-06-04 21:17:03</t>
  </si>
  <si>
    <t>2016-06-04 21:17:54</t>
  </si>
  <si>
    <t>2016-06-04 21:28:07</t>
  </si>
  <si>
    <t>2016-06-04 21:29:08</t>
  </si>
  <si>
    <t>2016-06-04 21:35:41</t>
  </si>
  <si>
    <t>2016-06-04 21:36:24</t>
  </si>
  <si>
    <t>2016-06-04 21:37:04</t>
  </si>
  <si>
    <t>2016-06-04 21:37:53</t>
  </si>
  <si>
    <t>2016-06-04 21:41:40</t>
  </si>
  <si>
    <t>2016-06-04 21:42:47</t>
  </si>
  <si>
    <t>2016-06-04 22:01:59</t>
  </si>
  <si>
    <t>2016-06-04 22:03:11</t>
  </si>
  <si>
    <t>2016-06-04 22:10:40</t>
  </si>
  <si>
    <t>2016-06-04 22:11:31</t>
  </si>
  <si>
    <t>2016-06-04 22:32:13</t>
  </si>
  <si>
    <t>2016-06-04 22:32:50</t>
  </si>
  <si>
    <t>2016-06-04 22:47:18</t>
  </si>
  <si>
    <t>2016-06-04 22:48:02</t>
  </si>
  <si>
    <t>2016-06-04 22:52:43</t>
  </si>
  <si>
    <t>2016-06-04 22:55:57</t>
  </si>
  <si>
    <t>2016-06-04 23:08:39</t>
  </si>
  <si>
    <t>2016-06-04 23:10:16</t>
  </si>
  <si>
    <t>2016-06-04 23:14:05</t>
  </si>
  <si>
    <t>2016-06-04 23:14:40</t>
  </si>
  <si>
    <t>2016-06-04 23:22:59</t>
  </si>
  <si>
    <t>2016-06-04 23:23:49</t>
  </si>
  <si>
    <t>2016-06-04 23:24:20</t>
  </si>
  <si>
    <t>2016-06-04 23:24:57</t>
  </si>
  <si>
    <t>2016-06-04 23:25:50</t>
  </si>
  <si>
    <t>2016-06-04 23:27:02</t>
  </si>
  <si>
    <t>2016-06-04 23:30:38</t>
  </si>
  <si>
    <t>2016-06-04 23:31:08</t>
  </si>
  <si>
    <t>2016-06-04 23:31:36</t>
  </si>
  <si>
    <t>2016-06-04 23:32:08</t>
  </si>
  <si>
    <t>2016-06-05 00:34:31</t>
  </si>
  <si>
    <t>2016-06-05 00:35:42</t>
  </si>
  <si>
    <t>2016-06-05 00:37:51</t>
  </si>
  <si>
    <t>2016-06-05 00:40:18</t>
  </si>
  <si>
    <t>2016-06-05 00:41:57</t>
  </si>
  <si>
    <t>2016-06-05 00:43:28</t>
  </si>
  <si>
    <t>2016-06-05 00:49:59</t>
  </si>
  <si>
    <t>2016-06-05 00:50:27</t>
  </si>
  <si>
    <t>2016-06-05 00:57:06</t>
  </si>
  <si>
    <t>2016-06-04 09:05:33</t>
  </si>
  <si>
    <t>2016-06-04 09:06:08</t>
  </si>
  <si>
    <t>2016-06-04 09:58:32</t>
  </si>
  <si>
    <t>2016-06-04 09:59:23</t>
  </si>
  <si>
    <t>2016-06-04 10:45:41</t>
  </si>
  <si>
    <t>2016-06-04 11:07:17</t>
  </si>
  <si>
    <t>2016-06-04 18:10:33</t>
  </si>
  <si>
    <t>2016-06-05 07:33:37</t>
  </si>
  <si>
    <t>05:23:30</t>
  </si>
  <si>
    <t>06:33:20</t>
  </si>
  <si>
    <t>03:30:26</t>
  </si>
  <si>
    <t>00:27:35</t>
  </si>
  <si>
    <t>00:00:12</t>
  </si>
  <si>
    <t>04:17:52</t>
  </si>
  <si>
    <t>00:56:00</t>
  </si>
  <si>
    <t>00:10:51</t>
  </si>
  <si>
    <t>00:10:58</t>
  </si>
  <si>
    <t>00:55:59</t>
  </si>
  <si>
    <t>00:26:15</t>
  </si>
  <si>
    <t>10:29:08</t>
  </si>
  <si>
    <t>02:27:07</t>
  </si>
  <si>
    <t>07:01:13</t>
  </si>
  <si>
    <t>01:19:33</t>
  </si>
  <si>
    <t>12:08:53</t>
  </si>
  <si>
    <t>03:14:55</t>
  </si>
  <si>
    <t>00:43:56</t>
  </si>
  <si>
    <t>00:29:40</t>
  </si>
  <si>
    <t>08:41:19</t>
  </si>
  <si>
    <t>06:57:36</t>
  </si>
  <si>
    <t>04:53:37</t>
  </si>
  <si>
    <t>06:04:31</t>
  </si>
  <si>
    <t>01:55:07</t>
  </si>
  <si>
    <t>03:37:58</t>
  </si>
  <si>
    <t>01:02:17</t>
  </si>
  <si>
    <t>02:03:03</t>
  </si>
  <si>
    <t>00:56:14</t>
  </si>
  <si>
    <t>04:36:44</t>
  </si>
  <si>
    <t>02:36:18</t>
  </si>
  <si>
    <t>08:37:36</t>
  </si>
  <si>
    <t>01:05:57</t>
  </si>
  <si>
    <t>07:54:50</t>
  </si>
  <si>
    <t>08:05:47</t>
  </si>
  <si>
    <t>00:37:28</t>
  </si>
  <si>
    <t>10:00:32</t>
  </si>
  <si>
    <t>03:20:18</t>
  </si>
  <si>
    <t>10:59:18</t>
  </si>
  <si>
    <t>03:24:50</t>
  </si>
  <si>
    <t>07:40:24</t>
  </si>
  <si>
    <t>08:07:56</t>
  </si>
  <si>
    <t>02:29:08</t>
  </si>
  <si>
    <t>00:21:58</t>
  </si>
  <si>
    <t>05:37:03</t>
  </si>
  <si>
    <t>09:33:44</t>
  </si>
  <si>
    <t>02:25:13</t>
  </si>
  <si>
    <t>05:06:05</t>
  </si>
  <si>
    <t>04:15:02</t>
  </si>
  <si>
    <t>10:31:07</t>
  </si>
  <si>
    <t>01:21:25</t>
  </si>
  <si>
    <t>00:18:08</t>
  </si>
  <si>
    <t>11:20:15</t>
  </si>
  <si>
    <t>00:41:33</t>
  </si>
  <si>
    <t>06:50:08</t>
  </si>
  <si>
    <t>01:00:09</t>
  </si>
  <si>
    <t>08:20:23</t>
  </si>
  <si>
    <t>00:33:26</t>
  </si>
  <si>
    <t>06:38:55</t>
  </si>
  <si>
    <t>01:32:54</t>
  </si>
  <si>
    <t>08:31:06</t>
  </si>
  <si>
    <t>06:24:02</t>
  </si>
  <si>
    <t>00:59:38</t>
  </si>
  <si>
    <t>03:36:19</t>
  </si>
  <si>
    <t>00:13:41</t>
  </si>
  <si>
    <t>00:53:51</t>
  </si>
  <si>
    <t>00:54:04</t>
  </si>
  <si>
    <t>09:35:51</t>
  </si>
  <si>
    <t>02:24:17</t>
  </si>
  <si>
    <t>05:16:24</t>
  </si>
  <si>
    <t>01:03:42</t>
  </si>
  <si>
    <t>09:15:01</t>
  </si>
  <si>
    <t>00:44:12</t>
  </si>
  <si>
    <t>10:25:44</t>
  </si>
  <si>
    <t>01:01:13</t>
  </si>
  <si>
    <t>07:49:22</t>
  </si>
  <si>
    <t>00:11:44</t>
  </si>
  <si>
    <t>12:06:31</t>
  </si>
  <si>
    <t>01:54:35</t>
  </si>
  <si>
    <t>12:19:03</t>
  </si>
  <si>
    <t>03:52:17</t>
  </si>
  <si>
    <t>05:21:41</t>
  </si>
  <si>
    <t>06:45:46</t>
  </si>
  <si>
    <t>04:08:04</t>
  </si>
  <si>
    <t>01:34:06</t>
  </si>
  <si>
    <t>16:47:28</t>
  </si>
  <si>
    <t>01:55:35</t>
  </si>
  <si>
    <t>02:29:19</t>
  </si>
  <si>
    <t>00:29:43</t>
  </si>
  <si>
    <t>06:38:40</t>
  </si>
  <si>
    <t>01:51:59</t>
  </si>
  <si>
    <t>11:17:20</t>
  </si>
  <si>
    <t>02:34:34</t>
  </si>
  <si>
    <t>05:02:53</t>
  </si>
  <si>
    <t>00:15:30</t>
  </si>
  <si>
    <t>11:35:17</t>
  </si>
  <si>
    <t>01:33:50</t>
  </si>
  <si>
    <t>11:54:29</t>
  </si>
  <si>
    <t>01:18:47</t>
  </si>
  <si>
    <t>04:11:13</t>
  </si>
  <si>
    <t>02:25:42</t>
  </si>
  <si>
    <t>06:36:13</t>
  </si>
  <si>
    <t>10:33:03</t>
  </si>
  <si>
    <t>09:19:48</t>
  </si>
  <si>
    <t>02:00:37</t>
  </si>
  <si>
    <t>00:16:16</t>
  </si>
  <si>
    <t>04:42:36</t>
  </si>
  <si>
    <t>00:14:03</t>
  </si>
  <si>
    <t>07:47:40</t>
  </si>
  <si>
    <t>00:32:36</t>
  </si>
  <si>
    <t>08:18:33</t>
  </si>
  <si>
    <t>02:22:28</t>
  </si>
  <si>
    <t>06:29:53</t>
  </si>
  <si>
    <t>01:10:23</t>
  </si>
  <si>
    <t>08:13:27</t>
  </si>
  <si>
    <t>00:43:46</t>
  </si>
  <si>
    <t>05:36:11</t>
  </si>
  <si>
    <t>09:00:13</t>
  </si>
  <si>
    <t>01:27:21</t>
  </si>
  <si>
    <t>11:17:59</t>
  </si>
  <si>
    <t>04:33:15</t>
  </si>
  <si>
    <t>10:52:28</t>
  </si>
  <si>
    <t>03:26:10</t>
  </si>
  <si>
    <t>06:38:22</t>
  </si>
  <si>
    <t>06:39:24</t>
  </si>
  <si>
    <t>00:50:36</t>
  </si>
  <si>
    <t>00:31:31</t>
  </si>
  <si>
    <t>00:14:20</t>
  </si>
  <si>
    <t>07:18:24</t>
  </si>
  <si>
    <t>00:53:13</t>
  </si>
  <si>
    <t>04:22:43</t>
  </si>
  <si>
    <t>02:00:58</t>
  </si>
  <si>
    <t>03:31:47</t>
  </si>
  <si>
    <t>02:02:58</t>
  </si>
  <si>
    <t>10:30:27</t>
  </si>
  <si>
    <t>01:37:21</t>
  </si>
  <si>
    <t>09:17:57</t>
  </si>
  <si>
    <t>01:06:09</t>
  </si>
  <si>
    <t>09:53:38</t>
  </si>
  <si>
    <t>00:32:06</t>
  </si>
  <si>
    <t>12:12:08</t>
  </si>
  <si>
    <t>02:05:17</t>
  </si>
  <si>
    <t>03:45:46</t>
  </si>
  <si>
    <t>02:03:30</t>
  </si>
  <si>
    <t>09:45:50</t>
  </si>
  <si>
    <t>03:18:33</t>
  </si>
  <si>
    <t>11:44:17</t>
  </si>
  <si>
    <t>08:20:21</t>
  </si>
  <si>
    <t>05:29:28</t>
  </si>
  <si>
    <t>02:14:49</t>
  </si>
  <si>
    <t>01:06:00</t>
  </si>
  <si>
    <t>12:57:32</t>
  </si>
  <si>
    <t>10:10:57</t>
  </si>
  <si>
    <t>03:47:01</t>
  </si>
  <si>
    <t>00:15:45</t>
  </si>
  <si>
    <t>01:30:41</t>
  </si>
  <si>
    <t>00:31:00</t>
  </si>
  <si>
    <t>11:18:59</t>
  </si>
  <si>
    <t>00:44:33</t>
  </si>
  <si>
    <t>10:16:25</t>
  </si>
  <si>
    <t>11:01:14</t>
  </si>
  <si>
    <t>00:10:16</t>
  </si>
  <si>
    <t>10:05:53</t>
  </si>
  <si>
    <t>01:16:27</t>
  </si>
  <si>
    <t>11:24:24</t>
  </si>
  <si>
    <t>02:55:01</t>
  </si>
  <si>
    <t>07:48:11</t>
  </si>
  <si>
    <t>10:30:37</t>
  </si>
  <si>
    <t>01:51:51</t>
  </si>
  <si>
    <t>03:02:09</t>
  </si>
  <si>
    <t>00:22:11</t>
  </si>
  <si>
    <t>08:04:18</t>
  </si>
  <si>
    <t>08:13:52</t>
  </si>
  <si>
    <t>08:28:45</t>
  </si>
  <si>
    <t>04:31:27</t>
  </si>
  <si>
    <t>11:10:28</t>
  </si>
  <si>
    <t>00:57:38</t>
  </si>
  <si>
    <t>10:43:16</t>
  </si>
  <si>
    <t>00:29:24</t>
  </si>
  <si>
    <t>06:02:06</t>
  </si>
  <si>
    <t>02:07:19</t>
  </si>
  <si>
    <t>07:17:44</t>
  </si>
  <si>
    <t>01:15:40</t>
  </si>
  <si>
    <t>08:38:46</t>
  </si>
  <si>
    <t>02:42:23</t>
  </si>
  <si>
    <t>05:53:28</t>
  </si>
  <si>
    <t>05:33:12</t>
  </si>
  <si>
    <t>04:04:10</t>
  </si>
  <si>
    <t>00:47:15</t>
  </si>
  <si>
    <t>13:05:07</t>
  </si>
  <si>
    <t>01:15:53</t>
  </si>
  <si>
    <t>10:27:02</t>
  </si>
  <si>
    <t>05:00:44</t>
  </si>
  <si>
    <t>08:45:00</t>
  </si>
  <si>
    <t>00:11:06</t>
  </si>
  <si>
    <t>12:20:06</t>
  </si>
  <si>
    <t>02:35:09</t>
  </si>
  <si>
    <t>06:16:26</t>
  </si>
  <si>
    <t>00:36:25</t>
  </si>
  <si>
    <t>11:21:29</t>
  </si>
  <si>
    <t>00:45:47</t>
  </si>
  <si>
    <t>00:07:21</t>
  </si>
  <si>
    <t>05:01:23</t>
  </si>
  <si>
    <t>04:59:56</t>
  </si>
  <si>
    <t>12:42:59</t>
  </si>
  <si>
    <t>00:10:26</t>
  </si>
  <si>
    <t>01:43:56</t>
  </si>
  <si>
    <t>00:19:19</t>
  </si>
  <si>
    <t>07:32:24</t>
  </si>
  <si>
    <t>00:39:43</t>
  </si>
  <si>
    <t>00:36:24</t>
  </si>
  <si>
    <t>05:42:12</t>
  </si>
  <si>
    <t>00:41:06</t>
  </si>
  <si>
    <t>06:11:47</t>
  </si>
  <si>
    <t>00:31:20</t>
  </si>
  <si>
    <t>00:08:29</t>
  </si>
  <si>
    <t>00:55:16</t>
  </si>
  <si>
    <t>00:11:16</t>
  </si>
  <si>
    <t>09:13:07</t>
  </si>
  <si>
    <t>05:50:27</t>
  </si>
  <si>
    <t>01:15:44</t>
  </si>
  <si>
    <t>00:12:06</t>
  </si>
  <si>
    <t>00:16:07</t>
  </si>
  <si>
    <t>05:13:17</t>
  </si>
  <si>
    <t>02:57:12</t>
  </si>
  <si>
    <t>03:49:17</t>
  </si>
  <si>
    <t>01:25:00</t>
  </si>
  <si>
    <t>04:26:20</t>
  </si>
  <si>
    <t>05:23:38</t>
  </si>
  <si>
    <t>01:22:07</t>
  </si>
  <si>
    <t>10:40:47</t>
  </si>
  <si>
    <t>00:47:30</t>
  </si>
  <si>
    <t>07:03:50</t>
  </si>
  <si>
    <t>00:16:40</t>
  </si>
  <si>
    <t>00:00:06</t>
  </si>
  <si>
    <t>01:48:39</t>
  </si>
  <si>
    <t>00:45:52</t>
  </si>
  <si>
    <t>11:06:27</t>
  </si>
  <si>
    <t>11:07:51</t>
  </si>
  <si>
    <t>10:47:19</t>
  </si>
  <si>
    <t>8:23:38</t>
  </si>
  <si>
    <t>11:48:55</t>
  </si>
  <si>
    <t>11:07:13</t>
  </si>
  <si>
    <t>10:23:57</t>
  </si>
  <si>
    <t>9:28:03</t>
  </si>
  <si>
    <t>10:24:51</t>
  </si>
  <si>
    <t>10:07:05</t>
  </si>
  <si>
    <t>10:28:50</t>
  </si>
  <si>
    <t>9:48:02</t>
  </si>
  <si>
    <t>8:51:23</t>
  </si>
  <si>
    <t>11:06:21</t>
  </si>
  <si>
    <t>12:25:08</t>
  </si>
  <si>
    <t>8:56:36</t>
  </si>
  <si>
    <t>8:52:58</t>
  </si>
  <si>
    <t>10:49:35</t>
  </si>
  <si>
    <t>11:12:37</t>
  </si>
  <si>
    <t>9:59:53</t>
  </si>
  <si>
    <t>9:42:36</t>
  </si>
  <si>
    <t>7:52:03</t>
  </si>
  <si>
    <t>11:47:06</t>
  </si>
  <si>
    <t>11:41:25</t>
  </si>
  <si>
    <t>10:31:42</t>
  </si>
  <si>
    <t>10:27:21</t>
  </si>
  <si>
    <t>9:38:40</t>
  </si>
  <si>
    <t>11:17:27</t>
  </si>
  <si>
    <t>11:20:42</t>
  </si>
  <si>
    <t>11:24:58</t>
  </si>
  <si>
    <t>0:13:00</t>
  </si>
  <si>
    <t>10:07:21</t>
  </si>
  <si>
    <t>10:05:04</t>
  </si>
  <si>
    <t>10:50:29</t>
  </si>
  <si>
    <t>10:01:40</t>
  </si>
  <si>
    <t>9:57:06</t>
  </si>
  <si>
    <t>7:35:26</t>
  </si>
  <si>
    <t>11:22:40</t>
  </si>
  <si>
    <t>11:23:48</t>
  </si>
  <si>
    <t>11:06:46</t>
  </si>
  <si>
    <t>8:42:01</t>
  </si>
  <si>
    <t>10:51:53</t>
  </si>
  <si>
    <t>12:26:25</t>
  </si>
  <si>
    <t>11:45:29</t>
  </si>
  <si>
    <t>11:10:18</t>
  </si>
  <si>
    <t>8:06:34</t>
  </si>
  <si>
    <t>10:14:08</t>
  </si>
  <si>
    <t>10:04:46</t>
  </si>
  <si>
    <t>11:03:58</t>
  </si>
  <si>
    <t>5:00:28</t>
  </si>
  <si>
    <t>5:23:58</t>
  </si>
  <si>
    <t>5:43:10</t>
  </si>
  <si>
    <t>1:56:48</t>
  </si>
  <si>
    <t>11:41:00</t>
  </si>
  <si>
    <t>6:55:13</t>
  </si>
  <si>
    <t>11:33:27</t>
  </si>
  <si>
    <t>7:10:07</t>
  </si>
  <si>
    <t>11:36:41</t>
  </si>
  <si>
    <t>6:43:54</t>
  </si>
  <si>
    <t>6:41:07</t>
  </si>
  <si>
    <t>6:38:40</t>
  </si>
  <si>
    <t>(Tous)</t>
  </si>
  <si>
    <t>BASE RAZEL BAGANGTE - BASE RAZEL BAGANGTE</t>
  </si>
  <si>
    <t>06:48:50 à 17:49:49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</si>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</sst>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hh:mm:ss;@"/>
    <numFmt numFmtId="165" formatCode="[hh]&quot;h&quot;mm"/>
    <numFmt numFmtId="166" formatCode="dd\ hh:mm:ss"/>
    <numFmt numFmtId="167" formatCode="d\ hh:mm:ss"/>
  </numFmts>
  <fonts count="13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b/>
      <sz val="9"/>
      <color theme="0"/>
      <name val="Calibri"/>
      <family val="2"/>
    </font>
    <font>
      <sz val="8"/>
      <color theme="1"/>
      <name val="Calibri"/>
      <family val="2"/>
    </font>
    <font>
      <b/>
      <sz val="10"/>
      <color indexed="8"/>
      <name val="SansSerif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4"/>
      <color theme="3"/>
      <name val="Calibri"/>
      <family val="2"/>
    </font>
    <font>
      <b/>
      <sz val="12"/>
      <color theme="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A9A9A9"/>
      </patternFill>
    </fill>
    <fill>
      <patternFill patternType="solid">
        <fgColor theme="0"/>
        <bgColor indexed="64"/>
      </patternFill>
    </fill>
    <fill>
      <patternFill patternType="solid">
        <fgColor rgb="FFFFD34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1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1" fontId="1" fillId="0" borderId="0" xfId="0" applyNumberFormat="1" applyFont="1" applyFill="1" applyBorder="1"/>
    <xf numFmtId="0" fontId="1" fillId="0" borderId="0" xfId="0" pivotButton="1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/>
    <xf numFmtId="0" fontId="4" fillId="2" borderId="0" xfId="0" applyFont="1" applyFill="1" applyBorder="1" applyAlignment="1">
      <alignment vertical="center"/>
    </xf>
    <xf numFmtId="0" fontId="5" fillId="3" borderId="3" xfId="0" applyNumberFormat="1" applyFont="1" applyFill="1" applyBorder="1" applyAlignment="1">
      <alignment vertical="center" wrapText="1" readingOrder="1"/>
    </xf>
    <xf numFmtId="0" fontId="5" fillId="3" borderId="3" xfId="0" applyNumberFormat="1" applyFont="1" applyFill="1" applyBorder="1" applyAlignment="1">
      <alignment horizontal="center" vertical="center" wrapText="1" readingOrder="1"/>
    </xf>
    <xf numFmtId="164" fontId="6" fillId="0" borderId="4" xfId="1" applyNumberFormat="1" applyFont="1" applyFill="1" applyBorder="1" applyAlignment="1">
      <alignment horizontal="center" vertical="top" wrapText="1" readingOrder="1"/>
    </xf>
    <xf numFmtId="2" fontId="2" fillId="0" borderId="0" xfId="0" applyNumberFormat="1" applyFont="1" applyFill="1" applyBorder="1"/>
    <xf numFmtId="165" fontId="2" fillId="0" borderId="0" xfId="0" applyNumberFormat="1" applyFont="1" applyFill="1" applyBorder="1"/>
    <xf numFmtId="165" fontId="1" fillId="0" borderId="0" xfId="0" applyNumberFormat="1" applyFont="1" applyFill="1" applyBorder="1"/>
    <xf numFmtId="165" fontId="5" fillId="3" borderId="3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left" indent="1"/>
    </xf>
    <xf numFmtId="0" fontId="8" fillId="4" borderId="0" xfId="0" applyFont="1" applyFill="1" applyBorder="1" applyAlignment="1" applyProtection="1">
      <alignment horizontal="left" vertical="top" wrapText="1"/>
    </xf>
    <xf numFmtId="0" fontId="8" fillId="4" borderId="6" xfId="0" applyFont="1" applyFill="1" applyBorder="1" applyAlignment="1" applyProtection="1">
      <alignment vertical="top" wrapText="1"/>
    </xf>
    <xf numFmtId="0" fontId="9" fillId="0" borderId="0" xfId="0" applyFont="1" applyFill="1" applyBorder="1"/>
    <xf numFmtId="0" fontId="7" fillId="4" borderId="5" xfId="0" applyFont="1" applyFill="1" applyBorder="1" applyAlignment="1" applyProtection="1">
      <alignment horizontal="left" vertical="center" wrapText="1"/>
    </xf>
    <xf numFmtId="166" fontId="7" fillId="4" borderId="5" xfId="0" applyNumberFormat="1" applyFont="1" applyFill="1" applyBorder="1" applyAlignment="1" applyProtection="1">
      <alignment horizontal="left" vertical="center" wrapText="1"/>
    </xf>
    <xf numFmtId="166" fontId="10" fillId="4" borderId="5" xfId="0" applyNumberFormat="1" applyFont="1" applyFill="1" applyBorder="1" applyAlignment="1" applyProtection="1">
      <alignment horizontal="left" vertical="center" wrapText="1"/>
    </xf>
    <xf numFmtId="0" fontId="8" fillId="4" borderId="6" xfId="0" applyFont="1" applyFill="1" applyBorder="1" applyAlignment="1" applyProtection="1">
      <alignment horizontal="left" vertical="top" wrapText="1"/>
    </xf>
    <xf numFmtId="167" fontId="9" fillId="0" borderId="0" xfId="0" applyNumberFormat="1" applyFont="1" applyFill="1" applyBorder="1"/>
    <xf numFmtId="164" fontId="4" fillId="2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/>
    <xf numFmtId="46" fontId="1" fillId="0" borderId="0" xfId="0" applyNumberFormat="1" applyFont="1" applyFill="1" applyBorder="1"/>
    <xf numFmtId="46" fontId="8" fillId="4" borderId="6" xfId="0" applyNumberFormat="1" applyFont="1" applyFill="1" applyBorder="1" applyAlignment="1" applyProtection="1">
      <alignment horizontal="left" vertical="top" wrapText="1"/>
    </xf>
    <xf numFmtId="46" fontId="7" fillId="4" borderId="5" xfId="0" applyNumberFormat="1" applyFont="1" applyFill="1" applyBorder="1" applyAlignment="1" applyProtection="1">
      <alignment horizontal="left" vertical="center" wrapText="1"/>
    </xf>
    <xf numFmtId="46" fontId="10" fillId="4" borderId="5" xfId="0" applyNumberFormat="1" applyFont="1" applyFill="1" applyBorder="1" applyAlignment="1" applyProtection="1">
      <alignment horizontal="left" vertical="center" wrapText="1"/>
    </xf>
    <xf numFmtId="46" fontId="0" fillId="0" borderId="0" xfId="0" applyNumberFormat="1" applyFont="1"/>
    <xf numFmtId="46" fontId="9" fillId="0" borderId="0" xfId="0" applyNumberFormat="1" applyFont="1" applyFill="1" applyBorder="1"/>
    <xf numFmtId="20" fontId="10" fillId="4" borderId="5" xfId="0" applyNumberFormat="1" applyFont="1" applyFill="1" applyBorder="1" applyAlignment="1" applyProtection="1">
      <alignment horizontal="left" vertical="center" wrapText="1"/>
    </xf>
    <xf numFmtId="20" fontId="0" fillId="0" borderId="0" xfId="0" applyNumberFormat="1" applyFont="1"/>
    <xf numFmtId="20" fontId="9" fillId="0" borderId="0" xfId="0" applyNumberFormat="1" applyFont="1" applyFill="1" applyBorder="1"/>
    <xf numFmtId="0" fontId="1" fillId="0" borderId="0" xfId="0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1" fillId="0" borderId="7" xfId="0" applyFont="1" applyFill="1" applyBorder="1"/>
    <xf numFmtId="0" fontId="1" fillId="0" borderId="0" xfId="0" applyFont="1" applyFill="1" applyBorder="1" applyAlignment="1">
      <alignment horizontal="left" indent="2"/>
    </xf>
    <xf numFmtId="22" fontId="1" fillId="0" borderId="0" xfId="0" applyNumberFormat="1" applyFont="1" applyFill="1" applyBorder="1"/>
    <xf numFmtId="0" fontId="1" fillId="0" borderId="0" xfId="0" applyFont="1" applyFill="1" applyBorder="1"/>
    <xf numFmtId="0" fontId="6" fillId="0" borderId="4" xfId="0" applyFont="1" applyFill="1" applyBorder="1"/>
    <xf numFmtId="0" fontId="6" fillId="0" borderId="4" xfId="0" applyNumberFormat="1" applyFont="1" applyFill="1" applyBorder="1" applyAlignment="1">
      <alignment vertical="center" wrapText="1" readingOrder="1"/>
    </xf>
    <xf numFmtId="21" fontId="6" fillId="0" borderId="4" xfId="0" applyNumberFormat="1" applyFont="1" applyFill="1" applyBorder="1" applyAlignment="1">
      <alignment horizontal="center" vertical="center" wrapText="1" readingOrder="1"/>
    </xf>
    <xf numFmtId="0" fontId="6" fillId="0" borderId="4" xfId="0" applyNumberFormat="1" applyFont="1" applyFill="1" applyBorder="1" applyAlignment="1">
      <alignment horizontal="center" vertical="center" wrapText="1" readingOrder="1"/>
    </xf>
    <xf numFmtId="165" fontId="6" fillId="0" borderId="4" xfId="0" applyNumberFormat="1" applyFont="1" applyFill="1" applyBorder="1" applyAlignment="1">
      <alignment horizontal="center" vertical="center" wrapText="1" readingOrder="1"/>
    </xf>
    <xf numFmtId="0" fontId="0" fillId="0" borderId="0" xfId="0"/>
    <xf numFmtId="0" fontId="11" fillId="5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6">
    <dxf>
      <numFmt numFmtId="31" formatCode="[h]:mm:ss"/>
    </dxf>
    <dxf>
      <numFmt numFmtId="165" formatCode="[hh]&quot;h&quot;mm"/>
    </dxf>
    <dxf>
      <numFmt numFmtId="165" formatCode="[hh]&quot;h&quot;mm"/>
    </dxf>
    <dxf>
      <numFmt numFmtId="165" formatCode="[hh]&quot;h&quot;mm"/>
    </dxf>
    <dxf>
      <numFmt numFmtId="165" formatCode="[hh]&quot;h&quot;mm"/>
    </dxf>
    <dxf>
      <font>
        <b/>
        <i val="0"/>
        <sz val="8"/>
        <color theme="3"/>
        <name val="Calibri"/>
        <scheme val="none"/>
      </font>
      <fill>
        <gradientFill degree="90">
          <stop position="0">
            <color theme="0"/>
          </stop>
          <stop position="1">
            <color theme="0" tint="-0.1490218817712943"/>
          </stop>
        </gradientFill>
      </fill>
      <border diagonalUp="0" diagonalDown="0">
        <left/>
        <right/>
        <top/>
        <bottom/>
        <vertical/>
        <horizontal/>
      </border>
    </dxf>
  </dxfs>
  <tableStyles count="1" defaultTableStyle="TableStyleMedium9" defaultPivotStyle="PivotStyleLight16">
    <tableStyle name="Style de segment 1" pivot="0" table="0" count="1">
      <tableStyleElement type="wholeTabl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5B69"/>
      <rgbColor rgb="00DFDFDF"/>
      <rgbColor rgb="00615D6C"/>
      <rgbColor rgb="00456899"/>
      <rgbColor rgb="00808080"/>
      <rgbColor rgb="00FFFFFF"/>
      <rgbColor rgb="00A9A9A9"/>
      <rgbColor rgb="00F1EEEE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D347"/>
      <color rgb="FFFFE181"/>
      <color rgb="FFFFFF89"/>
    </mruColors>
  </colors>
  <extLst>
    <ext xmlns:x14="http://schemas.microsoft.com/office/spreadsheetml/2009/9/main" uri="{EB79DEF2-80B8-43e5-95BD-54CBDDF9020C}">
      <x14:slicerStyles defaultSlicerStyle="SlicerStyleLight1">
        <x14:slicerStyle name="Style de segment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Rapport Hebdo 30-05 au 05-06-2016 razel.xlsx]Graphe Hebdo!Tableau croisé dynamique3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FFC000"/>
                </a:solidFill>
              </a:rPr>
              <a:t>NOMBRE</a:t>
            </a:r>
            <a:r>
              <a:rPr lang="en-US" sz="1200" baseline="0">
                <a:solidFill>
                  <a:srgbClr val="FFC000"/>
                </a:solidFill>
              </a:rPr>
              <a:t> DE</a:t>
            </a:r>
            <a:r>
              <a:rPr lang="en-US" sz="1200">
                <a:solidFill>
                  <a:srgbClr val="FFC000"/>
                </a:solidFill>
              </a:rPr>
              <a:t> SURVITESSES</a:t>
            </a:r>
          </a:p>
        </c:rich>
      </c:tx>
      <c:layout>
        <c:manualLayout>
          <c:xMode val="edge"/>
          <c:yMode val="edge"/>
          <c:x val="0.36453935736664261"/>
          <c:y val="3.4621171742709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9.2068397916779674E-17"/>
              <c:y val="8.72786633378144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9.2068397916779674E-17"/>
              <c:y val="8.72786633378144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9.2068397916779674E-17"/>
              <c:y val="8.72786633378144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9.2068397916779674E-17"/>
              <c:y val="8.72786633378144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8.0106825921559648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FF00"/>
                    </a:solidFill>
                    <a:latin typeface="Calibri Light" panose="020F0302020204030204" pitchFamily="34" charset="0"/>
                    <a:ea typeface="+mn-ea"/>
                    <a:cs typeface="+mn-cs"/>
                  </a:defRPr>
                </a:pPr>
                <a:fld id="{1360CAC4-7C00-43BF-AD7E-17D0E8B13243}" type="VALUE">
                  <a:rPr lang="en-US" baseline="0"/>
                  <a:pPr>
                    <a:defRPr sz="800" b="1" i="0" u="none" strike="noStrike" kern="1200" baseline="0">
                      <a:solidFill>
                        <a:srgbClr val="FFFF00"/>
                      </a:solidFill>
                      <a:latin typeface="Calibri Light" panose="020F0302020204030204" pitchFamily="34" charset="0"/>
                      <a:ea typeface="+mn-ea"/>
                      <a:cs typeface="+mn-cs"/>
                    </a:defRPr>
                  </a:pPr>
                  <a:t>[VALEUR]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FF00"/>
                  </a:solidFill>
                  <a:latin typeface="Calibri Light" panose="020F0302020204030204" pitchFamily="34" charset="0"/>
                  <a:ea typeface="+mn-ea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6249218361999651E-2"/>
          <c:y val="3.6427125691535972E-2"/>
          <c:w val="0.9299683420347008"/>
          <c:h val="0.458520628841228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'Graphe Hebdo'!$H$3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19"/>
            <c:invertIfNegative val="0"/>
            <c:bubble3D val="0"/>
          </c:dPt>
          <c:dPt>
            <c:idx val="23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'Graphe Hebdo'!$G$4:$G$6</c:f>
              <c:multiLvlStrCache>
                <c:ptCount val="1"/>
                <c:lvl>
                  <c:pt idx="0">
                    <c:v>Samedi</c:v>
                  </c:pt>
                </c:lvl>
                <c:lvl>
                  <c:pt idx="0">
                    <c:v>MV701</c:v>
                  </c:pt>
                </c:lvl>
              </c:multiLvlStrCache>
            </c:multiLvlStrRef>
          </c:cat>
          <c:val>
            <c:numRef>
              <c:f>'Graphe Hebdo'!$H$4:$H$6</c:f>
              <c:numCache>
                <c:formatCode>General</c:formatCode>
                <c:ptCount val="1"/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497422368"/>
        <c:axId val="-497416928"/>
      </c:barChart>
      <c:catAx>
        <c:axId val="-4974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7416928"/>
        <c:crosses val="autoZero"/>
        <c:auto val="1"/>
        <c:lblAlgn val="ctr"/>
        <c:lblOffset val="100"/>
        <c:noMultiLvlLbl val="0"/>
      </c:catAx>
      <c:valAx>
        <c:axId val="-4974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7422368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/>
    </a:solidFill>
    <a:ln>
      <a:solidFill>
        <a:schemeClr val="accent6"/>
      </a:solidFill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Rapport Hebdo 30-05 au 05-06-2016 razel.xlsx]Graphe Hebdo!Tableau croisé dynamique2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00" normalizeH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FFFF00"/>
                </a:solidFill>
              </a:rPr>
              <a:t>KM Journaliers</a:t>
            </a:r>
          </a:p>
        </c:rich>
      </c:tx>
      <c:layout>
        <c:manualLayout>
          <c:xMode val="edge"/>
          <c:yMode val="edge"/>
          <c:x val="0.38292373182539746"/>
          <c:y val="4.0869509494684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722995758930334E-2"/>
          <c:y val="0.29195117493906358"/>
          <c:w val="0.80832639651237181"/>
          <c:h val="0.37068312839244227"/>
        </c:manualLayout>
      </c:layout>
      <c:lineChart>
        <c:grouping val="standard"/>
        <c:varyColors val="0"/>
        <c:ser>
          <c:idx val="0"/>
          <c:order val="0"/>
          <c:tx>
            <c:strRef>
              <c:f>'Graphe Hebdo'!$B$3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'Graphe Hebdo'!$A$4:$A$6</c:f>
              <c:multiLvlStrCache>
                <c:ptCount val="1"/>
                <c:lvl>
                  <c:pt idx="0">
                    <c:v>Samedi</c:v>
                  </c:pt>
                </c:lvl>
                <c:lvl>
                  <c:pt idx="0">
                    <c:v>MV701</c:v>
                  </c:pt>
                </c:lvl>
              </c:multiLvlStrCache>
            </c:multiLvlStrRef>
          </c:cat>
          <c:val>
            <c:numRef>
              <c:f>'Graphe Hebdo'!$B$4:$B$6</c:f>
              <c:numCache>
                <c:formatCode>0</c:formatCode>
                <c:ptCount val="1"/>
                <c:pt idx="0">
                  <c:v>15.642967000000001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-497425632"/>
        <c:axId val="-497421824"/>
      </c:lineChart>
      <c:catAx>
        <c:axId val="-4974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7421824"/>
        <c:crosses val="autoZero"/>
        <c:auto val="1"/>
        <c:lblAlgn val="ctr"/>
        <c:lblOffset val="100"/>
        <c:noMultiLvlLbl val="0"/>
      </c:catAx>
      <c:valAx>
        <c:axId val="-49742182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742563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Rapport Hebdo 30-05 au 05-06-2016 razel.xlsx]Graphe Hebdo!Tableau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002060"/>
                </a:solidFill>
              </a:rPr>
              <a:t>TEMPS UTILISATION</a:t>
            </a:r>
          </a:p>
        </c:rich>
      </c:tx>
      <c:layout>
        <c:manualLayout>
          <c:xMode val="edge"/>
          <c:yMode val="edge"/>
          <c:x val="0.3995678693511317"/>
          <c:y val="5.1360183104223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9543152208030339E-2"/>
          <c:y val="0.29500239757454305"/>
          <c:w val="0.88029006779869812"/>
          <c:h val="0.43015436396866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'Graphe Hebdo'!$E$3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'Graphe Hebdo'!$D$4:$D$6</c:f>
              <c:multiLvlStrCache>
                <c:ptCount val="1"/>
                <c:lvl>
                  <c:pt idx="0">
                    <c:v>Samedi</c:v>
                  </c:pt>
                </c:lvl>
                <c:lvl>
                  <c:pt idx="0">
                    <c:v>MV701</c:v>
                  </c:pt>
                </c:lvl>
              </c:multiLvlStrCache>
            </c:multiLvlStrRef>
          </c:cat>
          <c:val>
            <c:numRef>
              <c:f>'Graphe Hebdo'!$E$4:$E$6</c:f>
              <c:numCache>
                <c:formatCode>[hh]"h"mm</c:formatCode>
                <c:ptCount val="1"/>
                <c:pt idx="0">
                  <c:v>0.27855324074074073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97413120"/>
        <c:axId val="-497413664"/>
      </c:barChart>
      <c:catAx>
        <c:axId val="-49741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7413664"/>
        <c:crosses val="autoZero"/>
        <c:auto val="1"/>
        <c:lblAlgn val="ctr"/>
        <c:lblOffset val="100"/>
        <c:noMultiLvlLbl val="0"/>
      </c:catAx>
      <c:valAx>
        <c:axId val="-4974136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hh]&quot;h&quot;mm" sourceLinked="1"/>
        <c:majorTickMark val="none"/>
        <c:minorTickMark val="none"/>
        <c:tickLblPos val="nextTo"/>
        <c:crossAx val="-4974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Rapport Hebdo 30-05 au 05-06-2016 razel.xlsx]Graphe Hebdo!Tableau croisé dynamique7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2"/>
                </a:solidFill>
              </a:rPr>
              <a:t>Durée/Bases</a:t>
            </a:r>
          </a:p>
        </c:rich>
      </c:tx>
      <c:layout>
        <c:manualLayout>
          <c:xMode val="edge"/>
          <c:yMode val="edge"/>
          <c:x val="0.41341672290963627"/>
          <c:y val="2.2168133457123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9525" cap="flat" cmpd="sng" algn="ctr">
            <a:solidFill>
              <a:schemeClr val="accent6">
                <a:shade val="95000"/>
                <a:satMod val="105000"/>
              </a:schemeClr>
            </a:solidFill>
            <a:prstDash val="solid"/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8494024256668316"/>
          <c:y val="0.25662527760952963"/>
          <c:w val="0.65725444319460069"/>
          <c:h val="0.678076923076923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'Graphe Hebdo'!$Q$3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'Graphe Hebdo'!$P$4:$P$6</c:f>
              <c:multiLvlStrCache>
                <c:ptCount val="1"/>
                <c:lvl>
                  <c:pt idx="0">
                    <c:v>BV706</c:v>
                  </c:pt>
                </c:lvl>
                <c:lvl>
                  <c:pt idx="0">
                    <c:v>BASE RAZEL BAGANGTE</c:v>
                  </c:pt>
                </c:lvl>
              </c:multiLvlStrCache>
            </c:multiLvlStrRef>
          </c:cat>
          <c:val>
            <c:numRef>
              <c:f>'Graphe Hebdo'!$Q$4:$Q$6</c:f>
              <c:numCache>
                <c:formatCode>[h]:mm:ss</c:formatCode>
                <c:ptCount val="1"/>
                <c:pt idx="0">
                  <c:v>4.5280902777777783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97424000"/>
        <c:axId val="-497420736"/>
      </c:barChart>
      <c:catAx>
        <c:axId val="-49742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7420736"/>
        <c:crosses val="autoZero"/>
        <c:auto val="1"/>
        <c:lblAlgn val="ctr"/>
        <c:lblOffset val="100"/>
        <c:noMultiLvlLbl val="0"/>
      </c:catAx>
      <c:valAx>
        <c:axId val="-497420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h]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742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Rapport Hebdo 30-05 au 05-06-2016 razel.xlsx]Graphe Hebdo!Tableau croisé dynamique6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2"/>
                </a:solidFill>
              </a:rPr>
              <a:t>Nbre de tours/Bases</a:t>
            </a:r>
          </a:p>
        </c:rich>
      </c:tx>
      <c:layout>
        <c:manualLayout>
          <c:xMode val="edge"/>
          <c:yMode val="edge"/>
          <c:x val="0.37577265883914784"/>
          <c:y val="5.6068667092289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softEdge rad="1905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softEdge rad="1905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687843616371411E-2"/>
          <c:y val="0.20489749592111797"/>
          <c:w val="0.84384436673577079"/>
          <c:h val="0.482899974409464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'Graphe Hebdo'!$N$3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'Graphe Hebdo'!$M$4:$M$6</c:f>
              <c:multiLvlStrCache>
                <c:ptCount val="1"/>
                <c:lvl>
                  <c:pt idx="0">
                    <c:v>BV706</c:v>
                  </c:pt>
                </c:lvl>
                <c:lvl>
                  <c:pt idx="0">
                    <c:v>BASE RAZEL BAGANGTE</c:v>
                  </c:pt>
                </c:lvl>
              </c:multiLvlStrCache>
            </c:multiLvlStrRef>
          </c:cat>
          <c:val>
            <c:numRef>
              <c:f>'Graphe Hebdo'!$N$4:$N$6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497418016"/>
        <c:axId val="-497415296"/>
      </c:barChart>
      <c:catAx>
        <c:axId val="-4974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7415296"/>
        <c:crosses val="autoZero"/>
        <c:auto val="1"/>
        <c:lblAlgn val="ctr"/>
        <c:lblOffset val="100"/>
        <c:noMultiLvlLbl val="0"/>
      </c:catAx>
      <c:valAx>
        <c:axId val="-497415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49741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accent6">
          <a:lumMod val="75000"/>
        </a:schemeClr>
      </a:solidFill>
      <a:round/>
    </a:ln>
    <a:effectLst>
      <a:softEdge rad="12700"/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Rapport Hebdo 30-05 au 05-06-2016 razel.xlsx]Graphe Hebdo!Tableau croisé dynamique5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2">
                    <a:lumMod val="75000"/>
                  </a:schemeClr>
                </a:solidFill>
              </a:rPr>
              <a:t>Durée Transit</a:t>
            </a:r>
          </a:p>
        </c:rich>
      </c:tx>
      <c:layout>
        <c:manualLayout>
          <c:xMode val="edge"/>
          <c:yMode val="edge"/>
          <c:x val="0.40551320157827953"/>
          <c:y val="3.8321697598994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3750847369244411E-2"/>
          <c:y val="0.19805269390048053"/>
          <c:w val="0.78945733604491497"/>
          <c:h val="0.489697012687551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'Graphe Hebdo'!$T$3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'Graphe Hebdo'!$S$4:$S$8</c:f>
              <c:multiLvlStrCache>
                <c:ptCount val="2"/>
                <c:lvl>
                  <c:pt idx="0">
                    <c:v>BV706</c:v>
                  </c:pt>
                  <c:pt idx="1">
                    <c:v>BV706</c:v>
                  </c:pt>
                </c:lvl>
                <c:lvl>
                  <c:pt idx="1">
                    <c:v>BASE RAZEL BAGANGTE - BASE RAZEL BAGANGTE</c:v>
                  </c:pt>
                </c:lvl>
              </c:multiLvlStrCache>
            </c:multiLvlStrRef>
          </c:cat>
          <c:val>
            <c:numRef>
              <c:f>'Graphe Hebdo'!$T$4:$T$8</c:f>
              <c:numCache>
                <c:formatCode>[h]:mm:ss</c:formatCode>
                <c:ptCount val="2"/>
                <c:pt idx="0">
                  <c:v>0</c:v>
                </c:pt>
                <c:pt idx="1">
                  <c:v>0.45901620370370372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492220576"/>
        <c:axId val="-492214048"/>
      </c:barChart>
      <c:catAx>
        <c:axId val="-49222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2214048"/>
        <c:crosses val="autoZero"/>
        <c:auto val="1"/>
        <c:lblAlgn val="ctr"/>
        <c:lblOffset val="100"/>
        <c:noMultiLvlLbl val="0"/>
      </c:catAx>
      <c:valAx>
        <c:axId val="-492214048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2220576"/>
        <c:crosses val="autoZero"/>
        <c:crossBetween val="between"/>
        <c:majorUnit val="6.0000000000000012E-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tx2">
            <a:tint val="66000"/>
            <a:satMod val="160000"/>
          </a:schemeClr>
        </a:gs>
        <a:gs pos="50000">
          <a:schemeClr val="tx2">
            <a:tint val="44500"/>
            <a:satMod val="160000"/>
          </a:schemeClr>
        </a:gs>
        <a:gs pos="100000">
          <a:schemeClr val="tx2">
            <a:tint val="23500"/>
            <a:satMod val="160000"/>
          </a:schemeClr>
        </a:gs>
      </a:gsLst>
      <a:path path="circle">
        <a:fillToRect l="100000" b="100000"/>
      </a:path>
      <a:tileRect t="-100000" r="-100000"/>
    </a:gra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Rapport Hebdo 30-05 au 05-06-2016 razel.xlsx]Graphe Hebdo!Tableau croisé dynamique8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 sz="1400">
                <a:solidFill>
                  <a:srgbClr val="FFC000"/>
                </a:solidFill>
              </a:rPr>
              <a:t>Historique transit</a:t>
            </a:r>
          </a:p>
        </c:rich>
      </c:tx>
      <c:layout>
        <c:manualLayout>
          <c:xMode val="edge"/>
          <c:yMode val="edge"/>
          <c:x val="0.39318890155834285"/>
          <c:y val="3.962525517643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>
                    <a:glow rad="63500">
                      <a:schemeClr val="accent6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tx2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>
                    <a:glow rad="63500">
                      <a:schemeClr val="accent6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8874693643427016E-2"/>
          <c:y val="0.20874562554680665"/>
          <c:w val="0.79707462063930745"/>
          <c:h val="0.4341972878390201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'Graphe Hebdo'!$AD$3</c:f>
              <c:strCache>
                <c:ptCount val="1"/>
                <c:pt idx="0">
                  <c:v>Durée Base de Départ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'Graphe Hebdo'!$AC$4:$AC$10</c:f>
              <c:multiLvlStrCache>
                <c:ptCount val="2"/>
                <c:lvl>
                  <c:pt idx="1">
                    <c:v>06:48:50 à 17:49:49</c:v>
                  </c:pt>
                </c:lvl>
                <c:lvl>
                  <c:pt idx="0">
                    <c:v>BV706</c:v>
                  </c:pt>
                  <c:pt idx="1">
                    <c:v>BV706</c:v>
                  </c:pt>
                </c:lvl>
                <c:lvl>
                  <c:pt idx="1">
                    <c:v>BASE RAZEL BAGANGTE - BASE RAZEL BAGANGTE</c:v>
                  </c:pt>
                </c:lvl>
              </c:multiLvlStrCache>
            </c:multiLvlStrRef>
          </c:cat>
          <c:val>
            <c:numRef>
              <c:f>'Graphe Hebdo'!$AD$4:$AD$10</c:f>
              <c:numCache>
                <c:formatCode>[h]:mm:ss</c:formatCode>
                <c:ptCount val="2"/>
                <c:pt idx="0">
                  <c:v>0</c:v>
                </c:pt>
                <c:pt idx="1">
                  <c:v>0.25437500000000002</c:v>
                </c:pt>
              </c:numCache>
            </c:numRef>
          </c:val>
        </c:ser>
        <c:ser>
          <c:idx val="1"/>
          <c:order val="1"/>
          <c:tx>
            <c:strRef>
              <c:f>'Graphe Hebdo'!$AE$3</c:f>
              <c:strCache>
                <c:ptCount val="1"/>
                <c:pt idx="0">
                  <c:v>Durée de transit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effectLst>
                      <a:glow rad="63500">
                        <a:schemeClr val="accent6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'Graphe Hebdo'!$AC$4:$AC$10</c:f>
              <c:multiLvlStrCache>
                <c:ptCount val="2"/>
                <c:lvl>
                  <c:pt idx="1">
                    <c:v>06:48:50 à 17:49:49</c:v>
                  </c:pt>
                </c:lvl>
                <c:lvl>
                  <c:pt idx="0">
                    <c:v>BV706</c:v>
                  </c:pt>
                  <c:pt idx="1">
                    <c:v>BV706</c:v>
                  </c:pt>
                </c:lvl>
                <c:lvl>
                  <c:pt idx="1">
                    <c:v>BASE RAZEL BAGANGTE - BASE RAZEL BAGANGTE</c:v>
                  </c:pt>
                </c:lvl>
              </c:multiLvlStrCache>
            </c:multiLvlStrRef>
          </c:cat>
          <c:val>
            <c:numRef>
              <c:f>'Graphe Hebdo'!$AE$4:$AE$10</c:f>
              <c:numCache>
                <c:formatCode>[h]:mm:ss</c:formatCode>
                <c:ptCount val="2"/>
                <c:pt idx="0">
                  <c:v>0</c:v>
                </c:pt>
                <c:pt idx="1">
                  <c:v>0.45901620370370372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492220032"/>
        <c:axId val="-492208608"/>
      </c:barChart>
      <c:catAx>
        <c:axId val="-4922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492208608"/>
        <c:crosses val="autoZero"/>
        <c:auto val="1"/>
        <c:lblAlgn val="ctr"/>
        <c:lblOffset val="100"/>
        <c:noMultiLvlLbl val="0"/>
      </c:catAx>
      <c:valAx>
        <c:axId val="-4922086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4922200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161279751882136"/>
          <c:y val="0.35224622784851267"/>
          <c:w val="0.12509816361876225"/>
          <c:h val="0.403420391919729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>
      <a:solidFill>
        <a:schemeClr val="accent6"/>
      </a:solidFill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7.xml"/><Relationship Id="rId4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91353" y="1219263"/>
    <xdr:ext cx="6264089" cy="201923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9</xdr:col>
      <xdr:colOff>471021</xdr:colOff>
      <xdr:row>6</xdr:row>
      <xdr:rowOff>100854</xdr:rowOff>
    </xdr:from>
    <xdr:to>
      <xdr:col>17</xdr:col>
      <xdr:colOff>437029</xdr:colOff>
      <xdr:row>16</xdr:row>
      <xdr:rowOff>67235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16</xdr:row>
      <xdr:rowOff>123264</xdr:rowOff>
    </xdr:from>
    <xdr:to>
      <xdr:col>14</xdr:col>
      <xdr:colOff>369795</xdr:colOff>
      <xdr:row>28</xdr:row>
      <xdr:rowOff>168089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692927</xdr:colOff>
      <xdr:row>0</xdr:row>
      <xdr:rowOff>28015</xdr:rowOff>
    </xdr:from>
    <xdr:to>
      <xdr:col>8</xdr:col>
      <xdr:colOff>66115</xdr:colOff>
      <xdr:row>3</xdr:row>
      <xdr:rowOff>56029</xdr:rowOff>
    </xdr:to>
    <xdr:pic>
      <xdr:nvPicPr>
        <xdr:cNvPr id="9" name="Image 8" descr="http://www.ckomentpublishing.com/wp-content/uploads/2015/08/logo_razel.gif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21" t="24836" r="1334" b="25490"/>
        <a:stretch/>
      </xdr:blipFill>
      <xdr:spPr bwMode="auto">
        <a:xfrm>
          <a:off x="4502927" y="28015"/>
          <a:ext cx="1593073" cy="453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302559</xdr:colOff>
      <xdr:row>3</xdr:row>
      <xdr:rowOff>44823</xdr:rowOff>
    </xdr:from>
    <xdr:to>
      <xdr:col>9</xdr:col>
      <xdr:colOff>304419</xdr:colOff>
      <xdr:row>5</xdr:row>
      <xdr:rowOff>257734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JOU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U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559" y="509293"/>
              <a:ext cx="6131478" cy="555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363068</xdr:colOff>
      <xdr:row>3</xdr:row>
      <xdr:rowOff>43144</xdr:rowOff>
    </xdr:from>
    <xdr:to>
      <xdr:col>18</xdr:col>
      <xdr:colOff>582706</xdr:colOff>
      <xdr:row>5</xdr:row>
      <xdr:rowOff>224117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VEHICUL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HICU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2686" y="468968"/>
              <a:ext cx="6831108" cy="561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6</xdr:row>
      <xdr:rowOff>28575</xdr:rowOff>
    </xdr:from>
    <xdr:to>
      <xdr:col>7</xdr:col>
      <xdr:colOff>581025</xdr:colOff>
      <xdr:row>15</xdr:row>
      <xdr:rowOff>9525</xdr:rowOff>
    </xdr:to>
    <xdr:graphicFrame macro="">
      <xdr:nvGraphicFramePr>
        <xdr:cNvPr id="1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622300</xdr:colOff>
      <xdr:row>6</xdr:row>
      <xdr:rowOff>38099</xdr:rowOff>
    </xdr:from>
    <xdr:to>
      <xdr:col>14</xdr:col>
      <xdr:colOff>104776</xdr:colOff>
      <xdr:row>15</xdr:row>
      <xdr:rowOff>0</xdr:rowOff>
    </xdr:to>
    <xdr:graphicFrame macro="">
      <xdr:nvGraphicFramePr>
        <xdr:cNvPr id="14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647699</xdr:colOff>
      <xdr:row>15</xdr:row>
      <xdr:rowOff>28575</xdr:rowOff>
    </xdr:from>
    <xdr:to>
      <xdr:col>15</xdr:col>
      <xdr:colOff>161924</xdr:colOff>
      <xdr:row>25</xdr:row>
      <xdr:rowOff>142875</xdr:rowOff>
    </xdr:to>
    <xdr:graphicFrame macro="">
      <xdr:nvGraphicFramePr>
        <xdr:cNvPr id="15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190500</xdr:colOff>
      <xdr:row>0</xdr:row>
      <xdr:rowOff>0</xdr:rowOff>
    </xdr:from>
    <xdr:to>
      <xdr:col>5</xdr:col>
      <xdr:colOff>0</xdr:colOff>
      <xdr:row>4</xdr:row>
      <xdr:rowOff>19050</xdr:rowOff>
    </xdr:to>
    <xdr:pic>
      <xdr:nvPicPr>
        <xdr:cNvPr id="17" name="Image 16" descr="http://www.ckomentpublishing.com/wp-content/uploads/2015/08/logo_razel.gif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21" t="24836" r="1334" b="25490"/>
        <a:stretch/>
      </xdr:blipFill>
      <xdr:spPr bwMode="auto">
        <a:xfrm>
          <a:off x="2476500" y="0"/>
          <a:ext cx="13335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416695</xdr:colOff>
      <xdr:row>4</xdr:row>
      <xdr:rowOff>28574</xdr:rowOff>
    </xdr:from>
    <xdr:to>
      <xdr:col>7</xdr:col>
      <xdr:colOff>638175</xdr:colOff>
      <xdr:row>5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JOU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U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695" y="361949"/>
              <a:ext cx="5555480" cy="542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694875</xdr:colOff>
      <xdr:row>4</xdr:row>
      <xdr:rowOff>28575</xdr:rowOff>
    </xdr:from>
    <xdr:to>
      <xdr:col>15</xdr:col>
      <xdr:colOff>75903</xdr:colOff>
      <xdr:row>5</xdr:row>
      <xdr:rowOff>371474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Véhicule"/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éhicu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28875" y="361950"/>
              <a:ext cx="5477028" cy="533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57150</xdr:colOff>
      <xdr:row>15</xdr:row>
      <xdr:rowOff>38101</xdr:rowOff>
    </xdr:from>
    <xdr:to>
      <xdr:col>7</xdr:col>
      <xdr:colOff>600075</xdr:colOff>
      <xdr:row>25</xdr:row>
      <xdr:rowOff>171451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OSTER" refreshedDate="42527.838276504626" createdVersion="5" refreshedVersion="5" minRefreshableVersion="3" recordCount="61">
  <cacheSource type="worksheet">
    <worksheetSource ref="A1:E62" sheet="Feuil1"/>
  </cacheSource>
  <cacheFields count="5">
    <cacheField name="Véhicule" numFmtId="0">
      <sharedItems count="35">
        <s v="BV706"/>
        <s v="BV707"/>
        <s v="BV711"/>
        <s v="BVC74"/>
        <s v="BVT39"/>
        <s v="BVT81"/>
        <s v="BVT82"/>
        <s v="MV700"/>
        <s v="MV701"/>
        <s v="MV702"/>
        <s v="BVT25" u="1"/>
        <s v="BV535" u="1"/>
        <s v="BVT78" u="1"/>
        <s v="BVT62" u="1"/>
        <s v="BVT59" u="1"/>
        <s v="BVT24" u="1"/>
        <s v="BVT80" u="1"/>
        <s v="BVT77" u="1"/>
        <s v="BVT61" u="1"/>
        <s v="BVT58" u="1"/>
        <s v="BVT51" u="1"/>
        <s v="BVT60" u="1"/>
        <s v="BVT38" u="1"/>
        <s v="BVT19" u="1"/>
        <s v="BVT50" u="1"/>
        <s v="BVT31" u="1"/>
        <s v="BVT37" u="1"/>
        <s v="BVT65" u="1"/>
        <s v="BVT20" u="1"/>
        <s v="BVT17" u="1"/>
        <s v="BVB23" u="1"/>
        <s v="BV289" u="1"/>
        <s v="BVT26" u="1"/>
        <s v="BVT79" u="1"/>
        <s v="BVB22" u="1"/>
      </sharedItems>
    </cacheField>
    <cacheField name="Base" numFmtId="0">
      <sharedItems/>
    </cacheField>
    <cacheField name="Date Entrée" numFmtId="0">
      <sharedItems/>
    </cacheField>
    <cacheField name="Date Sortie" numFmtId="0">
      <sharedItems/>
    </cacheField>
    <cacheField name="Durée" numFmtId="46">
      <sharedItems containsSemiMixedTypes="0" containsNonDate="0" containsDate="1" containsString="0" minDate="1899-12-30T00:01:00" maxDate="1899-12-30T18:08: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OSTER" refreshedDate="42527.83827685185" createdVersion="5" refreshedVersion="5" minRefreshableVersion="3" recordCount="231">
  <cacheSource type="worksheet">
    <worksheetSource ref="A1:I232" sheet="Feuil1"/>
  </cacheSource>
  <cacheFields count="9">
    <cacheField name="Véhicule" numFmtId="0">
      <sharedItems count="35">
        <s v="BV706"/>
        <s v="BV707"/>
        <s v="BV711"/>
        <s v="BVC74"/>
        <s v="BVT39"/>
        <s v="BVT81"/>
        <s v="BVT82"/>
        <s v="MV700"/>
        <s v="MV701"/>
        <s v="MV702"/>
        <s v="BVT37"/>
        <s v="BVT80"/>
        <s v="BVT24"/>
        <s v="BVT26"/>
        <s v="BVT38"/>
        <s v="BVT50"/>
        <s v="BVT60"/>
        <s v="BVT77"/>
        <s v="BVT25" u="1"/>
        <s v="BV535" u="1"/>
        <s v="BVT78" u="1"/>
        <s v="BVT62" u="1"/>
        <s v="BVT59" u="1"/>
        <s v="BV778" u="1"/>
        <s v="BVT61" u="1"/>
        <s v="BVT58" u="1"/>
        <s v="BVT51" u="1"/>
        <s v="BVT19" u="1"/>
        <s v="BVT31" u="1"/>
        <s v="BV666" u="1"/>
        <s v="BVT65" u="1"/>
        <s v="BVT20" u="1"/>
        <s v="BVT17" u="1"/>
        <s v="BV289" u="1"/>
        <s v="BVT79" u="1"/>
      </sharedItems>
    </cacheField>
    <cacheField name="Base" numFmtId="0">
      <sharedItems count="15">
        <s v="BASE RAZEL BAGANGTE"/>
        <s v="CARRIERE RAZEL BAGANGTE"/>
        <s v="BASE RAZEL PREFECTURE"/>
        <s v="CARRIERE RAZEL NKOMETOU"/>
        <s v="CARRIERE RAZEL LOGBADJECK"/>
        <s v="DEPOT RAZEL YASSA"/>
        <s v="BASE RAZEL PADY 2"/>
        <s v="BASE RAZEL OLEMBE"/>
        <s v="BASE RAZEL WOURI"/>
        <s v="BASE RAZEL PENETRANTE EST"/>
        <s v="CARRIERE LOGBADJECK"/>
        <s v="AEROPORT DE DOUALA"/>
        <s v="BASE RAZEL AEROPORT"/>
        <s v="BASE RAZEL EKOUDOU" u="1"/>
        <s v="BASE RAZEL KRIBI" u="1"/>
      </sharedItems>
    </cacheField>
    <cacheField name="Date Entrée" numFmtId="0">
      <sharedItems/>
    </cacheField>
    <cacheField name="Date Sortie" numFmtId="0">
      <sharedItems/>
    </cacheField>
    <cacheField name="Durée" numFmtId="46">
      <sharedItems containsSemiMixedTypes="0" containsNonDate="0" containsDate="1" containsString="0" minDate="1899-12-30T00:00:06" maxDate="1900-01-01T18:36:12"/>
    </cacheField>
    <cacheField name="Jour" numFmtId="0">
      <sharedItems/>
    </cacheField>
    <cacheField name="Durée Transit" numFmtId="46">
      <sharedItems containsDate="1" containsMixedTypes="1" minDate="1899-12-30T00:00:30" maxDate="1899-12-30T16:36:38"/>
    </cacheField>
    <cacheField name="Transit" numFmtId="167">
      <sharedItems/>
    </cacheField>
    <cacheField name="Arrêt C. On" numFmtId="20">
      <sharedItems containsDate="1" containsMixedTypes="1" minDate="1899-12-30T00:00:00" maxDate="1899-12-31T00:00:00"/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FOSTER" refreshedDate="42527.838277314811" createdVersion="5" refreshedVersion="5" minRefreshableVersion="3" recordCount="595">
  <cacheSource type="worksheet">
    <worksheetSource ref="A1:N1048576" sheet="Feuil1"/>
  </cacheSource>
  <cacheFields count="14">
    <cacheField name="Véhicule" numFmtId="0">
      <sharedItems containsBlank="1" count="37">
        <s v="BV706"/>
        <s v="BV707"/>
        <s v="BV711"/>
        <s v="BVC74"/>
        <s v="BVT39"/>
        <s v="BVT81"/>
        <s v="BVT82"/>
        <s v="MV700"/>
        <s v="MV701"/>
        <s v="MV702"/>
        <s v="BVT37"/>
        <s v="BVT80"/>
        <s v="BVT24"/>
        <s v="BVT26"/>
        <s v="BVT38"/>
        <s v="BVT50"/>
        <s v="BVT60"/>
        <s v="BVT77"/>
        <s v="BVT78"/>
        <s v="BVT79"/>
        <s v="BVT17"/>
        <s v="BVT51"/>
        <s v="BVT58"/>
        <s v="BVT62"/>
        <s v="BVT25"/>
        <s v="BVT20"/>
        <s v="BVT65"/>
        <s v="BVT59"/>
        <m/>
        <s v="BV778" u="1"/>
        <s v="BVT61" u="1"/>
        <s v="BVC82" u="1"/>
        <s v="BVT19" u="1"/>
        <s v="BVT31" u="1"/>
        <s v="BV666" u="1"/>
        <s v="BV794" u="1"/>
        <s v="BV793" u="1"/>
      </sharedItems>
    </cacheField>
    <cacheField name="Base" numFmtId="0">
      <sharedItems containsBlank="1" count="17">
        <s v="BASE RAZEL BAGANGTE"/>
        <s v="CARRIERE RAZEL BAGANGTE"/>
        <s v="BASE RAZEL PREFECTURE"/>
        <s v="CARRIERE RAZEL NKOMETOU"/>
        <s v="CARRIERE RAZEL LOGBADJECK"/>
        <s v="DEPOT RAZEL YASSA"/>
        <s v="BASE RAZEL PADY 2"/>
        <s v="BASE RAZEL OLEMBE"/>
        <s v="BASE RAZEL WOURI"/>
        <s v="BASE RAZEL PENETRANTE EST"/>
        <s v="CARRIERE LOGBADJECK"/>
        <s v="AEROPORT DE DOUALA"/>
        <s v="BASE RAZEL AEROPORT"/>
        <s v="BASE RAZEL KRIBI"/>
        <m/>
        <s v="BASE RAZEL EKOUDOU" u="1"/>
        <s v="BASE RAZEL BANGANGTE" u="1"/>
      </sharedItems>
    </cacheField>
    <cacheField name="Date Entrée" numFmtId="0">
      <sharedItems containsBlank="1"/>
    </cacheField>
    <cacheField name="Date Sortie" numFmtId="0">
      <sharedItems containsBlank="1"/>
    </cacheField>
    <cacheField name="Durée" numFmtId="46">
      <sharedItems containsNonDate="0" containsDate="1" containsString="0" containsBlank="1" minDate="1899-12-30T00:00:05" maxDate="1900-01-02T18:21:33"/>
    </cacheField>
    <cacheField name="Jour" numFmtId="0">
      <sharedItems containsBlank="1" count="10">
        <s v="Lundi"/>
        <s v="Mardi"/>
        <s v="Vendredi"/>
        <s v="Mercredi"/>
        <s v="Jeudi"/>
        <s v="Dimanche"/>
        <m/>
        <s v="Mercredi " u="1"/>
        <s v="Dminanche" u="1"/>
        <s v="Samedi" u="1"/>
      </sharedItems>
    </cacheField>
    <cacheField name="Durée Transit" numFmtId="46">
      <sharedItems containsDate="1" containsBlank="1" containsMixedTypes="1" minDate="1899-12-30T00:00:00" maxDate="1900-01-02T19:11:38"/>
    </cacheField>
    <cacheField name="Transit" numFmtId="0">
      <sharedItems containsBlank="1" count="91">
        <s v=""/>
        <s v="BASE RAZEL BAGANGTE - BASE RAZEL BAGANGTE"/>
        <s v="BASE RAZEL BAGANGTE - CARRIERE RAZEL BAGANGTE"/>
        <s v="CARRIERE RAZEL BAGANGTE - CARRIERE RAZEL BAGANGTE"/>
        <s v="CARRIERE RAZEL BAGANGTE - BASE RAZEL BAGANGTE"/>
        <s v="BASE RAZEL PREFECTURE - BASE RAZEL PREFECTURE"/>
        <s v="BASE RAZEL PREFECTURE - CARRIERE RAZEL NKOMETOU"/>
        <s v="CARRIERE RAZEL NKOMETOU - BASE RAZEL PREFECTURE"/>
        <s v="CARRIERE RAZEL LOGBADJECK - DEPOT RAZEL YASSA"/>
        <s v="DEPOT RAZEL YASSA - CARRIERE RAZEL LOGBADJECK"/>
        <s v="CARRIERE RAZEL NKOMETOU - BASE RAZEL PADY 2"/>
        <s v="BASE RAZEL PADY 2 - CARRIERE RAZEL NKOMETOU"/>
        <s v="CARRIERE RAZEL NKOMETOU - CARRIERE RAZEL NKOMETOU"/>
        <s v="CARRIERE RAZEL LOGBADJECK - CARRIERE RAZEL LOGBADJECK"/>
        <s v="BASE RAZEL OLEMBE - BASE RAZEL PADY 2"/>
        <s v="BASE RAZEL PADY 2 - BASE RAZEL PREFECTURE"/>
        <s v="BASE RAZEL PREFECTURE - BASE RAZEL OLEMBE"/>
        <s v="BASE RAZEL OLEMBE - BASE RAZEL PREFECTURE"/>
        <s v="BASE RAZEL OLEMBE - BASE RAZEL OLEMBE"/>
        <s v="BASE RAZEL PREFECTURE - BASE RAZEL PADY 2"/>
        <s v="BASE RAZEL PADY 2 - BASE RAZEL PADY 2"/>
        <s v="BASE RAZEL BAGANGTE - BASE RAZEL WOURI"/>
        <s v="BASE RAZEL WOURI - BASE RAZEL PENETRANTE EST"/>
        <s v="CARRIERE LOGBADJECK - DEPOT RAZEL YASSA"/>
        <s v="DEPOT RAZEL YASSA - CARRIERE LOGBADJECK"/>
        <s v="BASE RAZEL WOURI - AEROPORT DE DOUALA"/>
        <s v="AEROPORT DE DOUALA - BASE RAZEL AEROPORT"/>
        <s v="BASE RAZEL AEROPORT - CARRIERE LOGBADJECK"/>
        <s v="CARRIERE LOGBADJECK - BASE RAZEL AEROPORT"/>
        <s v="BASE RAZEL AEROPORT - AEROPORT DE DOUALA"/>
        <s v="AEROPORT DE DOUALA - AEROPORT DE DOUALA"/>
        <s v="BASE RAZEL OLEMBE - CARRIERE RAZEL NKOMETOU"/>
        <s v="BASE RAZEL PREFECTURE - CARRIERE LOGBADJECK"/>
        <s v="BASE RAZEL WOURI - BASE RAZEL WOURI"/>
        <s v="BASE RAZEL AEROPORT - BASE RAZEL WOURI"/>
        <s v="BASE RAZEL WOURI - BASE RAZEL AEROPORT"/>
        <s v="DEPOT RAZEL YASSA - BASE RAZEL AEROPORT"/>
        <s v="AEROPORT DE DOUALA - BASE RAZEL WOURI"/>
        <s v="CARRIERE LOGBADJECK - AEROPORT DE DOUALA"/>
        <s v="AEROPORT DE DOUALA - CARRIERE LOGBADJECK"/>
        <s v="BASE RAZEL AEROPORT - BASE RAZEL AEROPORT"/>
        <s v="BASE RAZEL WOURI - BASE RAZEL KRIBI"/>
        <m/>
        <s v="BASE RAZEL KRIBI - CARRIERE LOGBADJECK" u="1"/>
        <s v="BASE RAZEL WOURI - CARRIERE LOGBADJECK" u="1"/>
        <s v="AEROPORT DE DOUALA - DEPOT RAZEL YASSA" u="1"/>
        <s v="BASE RAZEL BANGANGTE - BASE RAZEL WOURI" u="1"/>
        <s v="BASE RAZEL KRIBI - BASE RAZEL PREFECTURE" u="1"/>
        <s v="BASE RAZEL WOURI - BASE RAZEL PREFECTURE" u="1"/>
        <s v="CARRIERE RAZEL NKOMETOU - BASE RAZEL WOURI" u="1"/>
        <s v="BASE RAZEL OLEMBE - BASE RAZEL WOURI" u="1"/>
        <s v="BASE RAZEL AEROPORT - BASE RAZEL EKOUDOU" u="1"/>
        <s v="CARRIERE LOGBADJECK - BASE RAZEL WOURI" u="1"/>
        <s v="BASE RAZEL KRIBI - DEPOT RAZEL YASSA" u="1"/>
        <s v="BASE RAZEL WOURI - DEPOT RAZEL YASSA" u="1"/>
        <s v="CARRIERE LOGBADJECK - CARRIERE LOGBADJECK" u="1"/>
        <s v="BASE RAZEL PREFECTURE - AEROPORT DE DOUALA" u="1"/>
        <s v="BASE RAZEL PREFECTURE - BASE RAZEL AEROPORT" u="1"/>
        <s v="BASE RAZEL EKOUDOU - BASE RAZEL WOURI" u="1"/>
        <s v="CARRIERE LOGBADJECK - BASE RAZEL EKOUDOU" u="1"/>
        <s v="CARRIERE RAZEL NKOMETOU - BASE RAZEL EKOUDOU" u="1"/>
        <s v="AEROPORT DE DOUALA - BASE RAZEL PREFECTURE" u="1"/>
        <s v="BASE RAZEL WOURI - BASE RAZEL EKOUDOU" u="1"/>
        <e v="#REF!" u="1"/>
        <s v="DEPOT RAZEL YASSA - AEROPORT DE DOUALA" u="1"/>
        <s v="BASE RAZEL EKOUDOU - BASE RAZEL EKOUDOU" u="1"/>
        <s v="BASE RAZEL EKOUDOU - BASE RAZEL OLEMBE" u="1"/>
        <s v="BASE RAZEL AEROPORT - BASE RAZEL PREFECTURE" u="1"/>
        <s v="CARRIERE RAZEL NKOMETOU - BASE RAZEL OLEMBE" u="1"/>
        <s v="DEPOT RAZEL YASSA - DEPOT RAZEL YASSA" u="1"/>
        <s v="BASE RAZEL BANGANGTE - BASE RAZEL BANGANGTE" u="1"/>
        <s v="BASE RAZEL KRIBI - AEROPORT DE DOUALA" u="1"/>
        <s v="BASE RAZEL OLEMBE - BASE RAZEL EKOUDOU" u="1"/>
        <s v="CARRIERE LOGBADJECK - BASE RAZEL PREFECTURE" u="1"/>
        <s v="BASE RAZEL WOURI - BASE RAZEL OLEMBE" u="1"/>
        <s v="BASE RAZEL AEROPORT - BASE RAZEL KRIBI" u="1"/>
        <s v="BASE RAZEL PREFECTURE - BASE RAZEL KRIBI" u="1"/>
        <s v="BASE RAZEL EKOUDOU - CARRIERE RAZEL NKOMETOU" u="1"/>
        <s v="BASE RAZEL KRIBI - BASE RAZEL WOURI" u="1"/>
        <s v="BASE RAZEL KRIBI - BASE RAZEL AEROPORT" u="1"/>
        <s v="CARRIERE LOGBADJECK - BASE RAZEL KRIBI" u="1"/>
        <s v="BASE RAZEL WOURI - BASE RAZEL BANGANGTE" u="1"/>
        <s v="DEPOT RAZEL YASSA - BASE RAZEL PREFECTURE" u="1"/>
        <s v="BASE RAZEL AEROPORT - CARRIERE RAZEL NKOMETOU" u="1"/>
        <s v="CARRIERE RAZEL NKOMETOU - CARRIERE LOGBADJECK" u="1"/>
        <s v="BASE RAZEL PREFECTURE - BASE RAZEL WOURI" u="1"/>
        <s v="BASE RAZEL KRIBI - BASE RAZEL KRIBI" u="1"/>
        <s v="BASE RAZEL AEROPORT - DEPOT RAZEL YASSA" u="1"/>
        <s v="CARRIERE RAZEL NKOMETOU - BASE RAZEL AEROPORT" u="1"/>
        <s v="DEPOT RAZEL YASSA - BASE RAZEL WOURI" u="1"/>
        <s v="CARRIERE LOGBADJECK - CARRIERE RAZEL NKOMETOU" u="1"/>
      </sharedItems>
    </cacheField>
    <cacheField name="Arrêt C. On" numFmtId="20">
      <sharedItems containsDate="1" containsBlank="1" containsMixedTypes="1" minDate="1899-12-30T00:00:00" maxDate="1899-12-31T00:00:00"/>
    </cacheField>
    <cacheField name="Heures de Transit" numFmtId="0">
      <sharedItems containsBlank="1" count="7034">
        <s v="06:48:50 à 17:49:49"/>
        <s v=""/>
        <s v="06:48:51 à 17:47:42"/>
        <s v="08:21:54 à 08:40:54"/>
        <s v="08:50:30 à 08:53:30"/>
        <s v="08:26:58 à 11:40:58"/>
        <s v="11:54:59 à 13:25:59"/>
        <s v="08:35:30 à 08:36:30"/>
        <s v="05:54:59 à 06:32:59"/>
        <s v="07:42:52 à 08:33:52"/>
        <s v="08:38:52 à 09:15:52"/>
        <s v="09:36:54 à 11:09:26"/>
        <s v="11:13:54 à 11:56:54"/>
        <s v="13:10:54 à 14:15:54"/>
        <s v="14:25:54 à 15:02:54"/>
        <s v="15:34:54 à 16:46:54"/>
        <s v="16:51:42 à 17:31:54"/>
        <s v="07:42:47 à 08:35:47"/>
        <s v="08:44:47 à 10:19:47"/>
        <s v="11:34:49 à 12:27:49"/>
        <s v="12:46:49 à 14:39:49"/>
        <s v="15:31:49 à 16:24:49"/>
        <s v="16:30:49 à 17:32:49"/>
        <s v="08:45:25 à 10:10:25"/>
        <s v="10:31:08 à 11:42:56"/>
        <s v="12:38:13 à 13:49:13"/>
        <s v="13:50:13 à 14:56:13"/>
        <s v="15:32:13 à 08:08:51"/>
        <s v="09:52:27 à 11:32:27"/>
        <s v="11:42:39 à 12:50:41"/>
        <s v="13:38:41 à 15:41:41"/>
        <s v="07:20:56 à 08:14:56"/>
        <s v="08:45:00 à 10:04:00"/>
        <s v="08:53:59 à 12:13:58"/>
        <s v="12:28:58 à 13:23:58"/>
        <s v="16:25:08 à 17:10:58"/>
        <s v="07:21:30 à 08:32:30"/>
        <s v="09:36:30 à 10:57:31"/>
        <s v="08:49:24 à 09:35:24"/>
        <s v="10:04:24 à 11:06:24"/>
        <s v="11:13:24 à 11:51:24"/>
        <s v="13:45:33 à 18:31:33"/>
        <s v="08:26:30 à 09:29:30"/>
        <s v="10:23:30 à 16:34:30"/>
        <s v="17:14:30 à 18:12:30"/>
        <s v="08:30:01 à 09:32:01"/>
        <s v="12:28:58 à 15:19:58"/>
        <s v="09:13:56 à 11:18:58"/>
        <s v="13:48:24 à 14:29:59"/>
        <s v="16:26:42 à 17:01:05"/>
        <s v="08:07:41 à 08:58:41"/>
        <s v="09:06:29 à 09:42:41"/>
        <s v="10:14:41 à 11:05:41"/>
        <s v="11:11:41 à 11:48:41"/>
        <s v="13:17:17 à 18:15:23"/>
        <s v="10:07:09 à 14:03:12"/>
        <s v="14:05:50 à 15:38:48"/>
        <s v="13:40:11 à 15:42:07"/>
        <s v="10:48:57 à 13:10:08"/>
        <s v="13:32:58 à 14:14:58"/>
        <s v="07:20:09 à 09:01:50"/>
        <s v="09:02:40 à 09:43:32"/>
        <s v="09:56:32 à 10:23:46"/>
        <s v="10:24:46 à 11:20:16"/>
        <s v="07:57:47 à 08:50:27"/>
        <s v="08:50:33 à 08:51:33"/>
        <s v="08:56:02 à 09:31:24"/>
        <s v="10:34:50 à 16:01:17"/>
        <s v="08:09:11 à 09:14:22"/>
        <s v="10:14:39 à 11:08:50"/>
        <s v="11:17:50 à 12:14:51"/>
        <s v="12:49:22 à 13:44:31"/>
        <s v="13:50:31 à 14:43:27"/>
        <s v="15:33:46 à 16:28:23"/>
        <s v="08:30:46 à 09:22:56"/>
        <s v="11:06:56 à 14:49:57"/>
        <s v="15:30:57 à 16:05:57"/>
        <s v="16:10:07 à 16:20:57"/>
        <s v="16:30:07 à 17:30:57"/>
        <s v="09:16:54 à 10:23:54"/>
        <s v="10:36:54 à 11:51:54"/>
        <s v="12:40:19 à 13:48:58"/>
        <s v="14:08:58 à 15:17:58"/>
        <s v="15:59:58 à 17:02:58"/>
        <s v="17:12:58 à 17:53:37"/>
        <s v="09:16:19 à 10:51:31"/>
        <s v="11:29:29 à 19:11:07"/>
        <s v="07:10:37 à 08:02:37"/>
        <s v="08:11:37 à 09:50:37"/>
        <s v="10:44:37 à 11:35:37"/>
        <s v="11:42:37 à 12:28:37"/>
        <s v="12:57:37 à 13:49:37"/>
        <s v="13:57:37 à 14:49:37"/>
        <s v="15:30:37 à 16:28:37"/>
        <s v="13:56:57 à 18:11:04"/>
        <s v="11:00:25 à 11:57:25"/>
        <s v="12:10:25 à 13:18:25"/>
        <s v="14:25:12 à 16:09:22"/>
        <s v="07:19:43 à 07:22:05"/>
        <s v="07:32:29 à 08:13:24"/>
        <s v="09:03:33 à 09:08:41"/>
        <s v="09:14:13 à 09:18:22"/>
        <s v="09:25:13 à 09:28:04"/>
        <s v="09:34:01 à 09:36:52"/>
        <s v="09:40:51 à 09:43:51"/>
        <s v="09:48:21 à 09:52:15"/>
        <s v="09:56:17 à 09:59:27"/>
        <s v="10:15:44 à 10:27:35"/>
        <s v="10:28:35 à 10:35:00"/>
        <s v="10:36:03 à 10:38:00"/>
        <s v="10:38:10 à 10:43:57"/>
        <s v="10:45:44 à 10:51:22"/>
        <s v="10:54:18 à 10:58:52"/>
        <s v="11:00:43 à 11:05:35"/>
        <s v="11:07:24 à 11:11:37"/>
        <s v="11:16:04 à 11:20:13"/>
        <s v="11:22:41 à 11:29:31"/>
        <s v="11:33:32 à 11:43:42"/>
        <s v="11:48:48 à 12:20:49"/>
        <s v="08:25:47 à 08:28:47"/>
        <s v="08:56:57 à 09:30:57"/>
        <s v="09:34:57 à 10:42:56"/>
        <s v="10:53:07 à 10:57:07"/>
        <s v="08:36:54 à 09:40:54"/>
        <s v="10:13:54 à 11:12:54"/>
        <s v="11:22:56 à 12:22:56"/>
        <s v="12:59:56 à 13:55:56"/>
        <s v="14:07:56 à 15:12:56"/>
        <s v="15:41:56 à 16:45:56"/>
        <s v="16:59:56 à 17:45:56"/>
        <s v="09:57:50 à 10:47:10"/>
        <s v="06:55:22 à 07:52:22"/>
        <s v="08:02:22 à 09:36:22"/>
        <s v="10:06:22 à 11:01:22"/>
        <s v="11:08:22 à 11:56:22"/>
        <s v="12:22:24 à 13:19:24"/>
        <s v="13:28:24 à 14:29:24"/>
        <s v="15:01:24 à 15:55:24"/>
        <s v="08:26:47 à 09:30:58"/>
        <s v="09:43:47 à 10:23:12"/>
        <s v="10:50:58 à 11:37:56"/>
        <s v="11:52:56 à 12:41:04"/>
        <s v="13:07:21 à 13:53:36"/>
        <s v="08:04:27 à 09:18:27"/>
        <s v="10:07:27 à 11:06:27"/>
        <s v="11:17:27 à 12:24:28"/>
        <s v="13:07:28 à 14:10:28"/>
        <s v="14:23:28 à 15:58:29"/>
        <s v="07:44:15 à 08:16:08"/>
        <s v="08:48:43 à 09:39:15"/>
        <s v="09:45:57 à 10:19:06"/>
        <s v="10:42:44 à 12:09:38"/>
        <s v="12:14:06 à 12:14:36"/>
        <s v="12:15:08 à 13:18:37"/>
        <s v="14:09:24 à 14:59:24"/>
        <s v="15:04:17 à 15:58:47"/>
        <s v="16:38:34 à 17:22:01"/>
        <s v="17:27:57 à 18:08:08"/>
        <s v="12:53:32 à 13:59:09"/>
        <s v="14:36:02 à 15:35:05"/>
        <s v="16:34:53 à 17:36:12"/>
        <s v="17:45:35 à 18:38:56"/>
        <s v="08:28:08 à 08:50:18"/>
        <s v="08:50:47 à 19:02:16"/>
        <s v="05:23:59 à 06:42:02"/>
        <s v="08:56:18 à 10:52:21"/>
        <s v="10:54:42 à 10:56:13"/>
        <s v="10:59:51 à 11:08:04"/>
        <s v="11:31:31 à 11:40:03"/>
        <s v="11:40:36 à 11:42:13"/>
        <s v="11:45:23 à 13:15:18"/>
        <s v="14:18:18 à 15:30:05"/>
        <s v="15:41:45 à 15:42:58"/>
        <s v="15:46:45 à 15:56:33"/>
        <s v="16:01:28 à 16:09:20"/>
        <s v="16:09:55 à 16:11:37"/>
        <s v="16:12:11 à 11:23:49"/>
        <s v="05:26:31 à 06:45:07"/>
        <s v="08:55:43 à 10:52:13"/>
        <s v="10:53:58 à 10:54:56"/>
        <s v="10:58:52 à 11:11:39"/>
        <s v="11:12:45 à 11:15:15"/>
        <s v="11:15:25 à 11:20:53"/>
        <s v="11:21:03 à 11:23:10"/>
        <s v="12:00:03 à 13:15:35"/>
        <s v="14:17:47 à 15:29:45"/>
        <s v="15:38:56 à 15:40:14"/>
        <s v="15:45:09 à 15:49:34"/>
        <s v="16:01:01 à 16:01:56"/>
        <s v="16:03:11 à 16:03:11"/>
        <s v="16:04:24 à 16:08:40"/>
        <s v="16:08:45 à 16:10:36"/>
        <s v="05:37:47 à 06:35:51"/>
        <s v="09:05:45 à 09:58:51"/>
        <s v="10:13:52 à 11:35:52"/>
        <s v="12:37:57 à 13:38:52"/>
        <s v="13:48:52 à 15:34:14"/>
        <s v="16:17:31 à 17:13:52"/>
        <s v="08:42:59 à 09:38:03"/>
        <s v="09:53:03 à 11:19:39"/>
        <s v="12:34:21 à 13:38:03"/>
        <s v="13:53:03 à 15:39:54"/>
        <s v="16:31:43 à 17:30:33"/>
        <s v="17:32:45 à 18:35:11"/>
        <s v="11:54:33 à 12:16:48"/>
        <s v="08:38:55 à 09:32:41"/>
        <s v="09:40:03 à 10:25:31"/>
        <s v="12:17:33 à 13:06:18"/>
        <s v="13:27:30 à 14:03:04"/>
        <s v="08:28:33 à 09:31:24"/>
        <s v="09:44:36 à 10:43:00"/>
        <s v="11:22:34 à 12:25:16"/>
        <s v="12:41:23 à 13:36:33"/>
        <s v="14:26:18 à 15:24:42"/>
        <s v="15:34:39 à 16:27:40"/>
        <s v="16:54:24 à 17:45:40"/>
        <s v="17:49:54 à 18:39:40"/>
        <s v="12:14:58 à 18:20:35"/>
        <s v="08:31:02 à 13:45:48"/>
        <s v="09:27:47 à 11:06:02"/>
        <s v="13:04:04 à 13:23:12"/>
        <s v="17:26:47 à 18:11:52"/>
        <s v="08:54:30 à 08:56:34"/>
        <s v="08:57:03 à 09:20:53"/>
        <s v="10:10:49 à 11:22:38"/>
        <s v="11:23:18 à 11:25:59"/>
        <s v="12:03:39 à 12:05:52"/>
        <s v="12:06:31 à 12:31:48"/>
        <s v="16:21:24 à 16:46:07"/>
        <s v="16:46:46 à 16:49:02"/>
        <s v="09:55:01 à 10:13:28"/>
        <s v="10:14:20 à 10:15:56"/>
        <s v="10:55:03 à 10:56:31"/>
        <s v="10:59:55 à 11:47:50"/>
        <s v="11:48:29 à 11:50:13"/>
        <s v="11:50:31 à 11:51:51"/>
        <s v="11:52:08 à 13:17:42"/>
        <s v="13:18:11 à 13:18:32"/>
        <s v="13:21:21 à 13:47:37"/>
        <s v="13:49:50 à 13:51:02"/>
        <s v="13:51:10 à 14:52:26"/>
        <s v="14:53:04 à 14:53:48"/>
        <s v="14:54:38 à 15:00:40"/>
        <s v="15:02:21 à 15:31:12"/>
        <s v="15:32:37 à 15:37:01"/>
        <s v="15:37:09 à 16:33:00"/>
        <s v="16:33:28 à 17:21:12"/>
        <s v="17:21:44 à 18:41:00"/>
        <s v="18:47:31 à 18:49:00"/>
        <s v="07:17:26 à 08:32:38"/>
        <s v="09:05:15 à 10:58:13"/>
        <s v="11:01:51 à 11:03:04"/>
        <s v="11:06:53 à 11:15:07"/>
        <s v="11:18:33 à 11:25:56"/>
        <s v="11:26:24 à 11:28:06"/>
        <s v="11:31:41 à 12:44:15"/>
        <s v="14:16:14 à 15:41:56"/>
        <s v="15:58:35 à 15:59:46"/>
        <s v="16:03:04 à 16:08:04"/>
        <s v="16:14:54 à 16:41:06"/>
        <s v="18:18:45 à 18:48:07"/>
        <s v="18:49:52 à 18:52:24"/>
        <s v="07:17:52 à 08:34:05"/>
        <s v="09:07:03 à 10:57:58"/>
        <s v="11:00:33 à 11:01:29"/>
        <s v="11:05:31 à 11:10:35"/>
        <s v="11:15:43 à 11:18:06"/>
        <s v="11:18:38 à 11:23:48"/>
        <s v="11:23:57 à 11:26:09"/>
        <s v="11:30:18 à 12:43:06"/>
        <s v="14:17:03 à 15:42:12"/>
        <s v="15:57:42 à 15:58:39"/>
        <s v="16:02:33 à 16:09:38"/>
        <s v="16:15:27 à 16:16:16"/>
        <s v="16:16:29 à 16:17:44"/>
        <s v="16:19:02 à 16:23:25"/>
        <s v="16:23:34 à 16:25:37"/>
        <s v="05:34:36 à 06:37:46"/>
        <s v="08:24:15 à 09:24:15"/>
        <s v="09:44:15 à 10:59:16"/>
        <s v="11:31:27 à 12:28:09"/>
        <s v="12:38:38 à 13:29:16"/>
        <s v="14:27:15 à 15:24:16"/>
        <s v="15:34:16 à 16:29:16"/>
        <s v="16:55:31 à 17:54:16"/>
        <s v="08:24:21 à 09:16:32"/>
        <s v="09:27:19 à 10:30:12"/>
        <s v="11:23:21 à 14:12:29"/>
        <s v="14:13:25 à 17:36:23"/>
        <s v="18:14:13 à 19:16:07"/>
        <s v="08:36:30 à 17:09:51"/>
        <s v="07:22:14 à 07:57:31"/>
        <s v="09:09:35 à 10:00:28"/>
        <s v="10:01:58 à 10:38:05"/>
        <s v="11:34:38 à 16:34:49"/>
        <s v="16:35:45 à 16:36:41"/>
        <s v="16:40:02 à 17:21:26"/>
        <s v="08:00:13 à 08:46:28"/>
        <s v="08:50:52 à 09:24:48"/>
        <s v="09:39:28 à 10:28:43"/>
        <s v="10:36:34 à 11:08:55"/>
        <s v="11:27:51 à 12:10:36"/>
        <s v="12:15:20 à 12:51:53"/>
        <s v="14:18:49 à 15:35:17"/>
        <s v="15:43:08 à 16:30:33"/>
        <s v="15:17:41 à 15:38:16"/>
        <s v="19:02:03 à 19:26:30"/>
        <s v="19:27:25 à 19:29:30"/>
        <s v="09:19:39 à 09:38:03"/>
        <s v="10:49:51 à 11:07:03"/>
        <s v="11:07:49 à 11:09:20"/>
        <s v="12:10:58 à 12:13:42"/>
        <s v="12:15:05 à 12:15:05"/>
        <s v="12:18:06 à 17:51:00"/>
        <s v="17:52:31 à 17:53:31"/>
        <s v="17:54:30 à 17:56:06"/>
        <s v="17:57:12 à 18:14:24"/>
        <s v="18:24:20 à 18:40:02"/>
        <s v="18:40:30 à 18:41:56"/>
        <s v="07:22:45 à 08:36:30"/>
        <s v="09:12:55 à 11:10:48"/>
        <s v="11:17:10 à 12:39:54"/>
        <s v="13:14:25 à 14:31:13"/>
        <s v="14:33:58 à 16:01:27"/>
        <s v="16:30:38 à 18:02:41"/>
        <s v="18:06:29 à 18:22:29"/>
        <s v="07:22:55 à 08:36:26"/>
        <s v="09:13:35 à 11:10:57"/>
        <s v="11:17:40 à 12:40:17"/>
        <s v="13:15:01 à 14:31:33"/>
        <s v="14:35:52 à 16:01:39"/>
        <s v="16:30:50 à 18:03:02"/>
        <s v="18:06:49 à 18:25:44"/>
        <s v="09:10:10 à 09:32:12"/>
        <s v="10:00:04 à 10:00:50"/>
        <s v="10:04:39 à 11:04:32"/>
        <s v="11:11:42 à 11:13:25"/>
        <s v="11:13:34 à 13:07:08"/>
        <s v="13:10:51 à 13:36:25"/>
        <s v="13:38:22 à 16:26:36"/>
        <s v="16:29:32 à 16:32:44"/>
        <s v="16:32:52 à 19:30:40"/>
        <s v="08:41:02 à 14:17:30"/>
        <s v="15:03:26 à 19:07:52"/>
        <s v="08:09:48 à 09:02:51"/>
        <s v="09:17:21 à 09:56:01"/>
        <s v="10:11:47 à 10:59:17"/>
        <s v="11:04:18 à 11:40:46"/>
        <s v="13:16:57 à 18:41:36"/>
        <s v="07:03:06 à 22:21:34"/>
        <s v="09:08:12 à 16:43:53"/>
        <s v="05:22:26 à 06:54:58"/>
        <s v="08:32:44 à 10:29:50"/>
        <s v="10:34:42 à 12:10:21"/>
        <s v="12:59:07 à 14:30:12"/>
        <s v="14:43:29 à 16:27:39"/>
        <s v="16:49:16 à 18:10:25"/>
        <s v="05:36:03 à 06:58:20"/>
        <s v="08:33:27 à 10:30:00"/>
        <s v="10:36:29 à 12:10:01"/>
        <s v="13:00:17 à 14:56:58"/>
        <s v="15:07:31 à 16:22:00"/>
        <s v="16:49:16 à 18:07:38"/>
        <s v="10:13:24 à 10:14:31"/>
        <s v="10:29:04 à 10:30:14"/>
        <s v="10:33:54 à 10:35:10"/>
        <s v="10:54:22 à 10:54:54"/>
        <s v="10:59:35 à 11:00:20"/>
        <s v="11:07:02 à 11:07:48"/>
        <s v="11:21:53 à 11:22:42"/>
        <s v="11:25:49 à 11:26:45"/>
        <s v="11:32:01 à 11:33:22"/>
        <s v="12:39:35 à 12:41:18"/>
        <s v="12:54:12 à 12:55:09"/>
        <s v="13:00:12 à 13:00:57"/>
        <s v="13:08:17 à 13:10:23"/>
        <s v="13:32:33 à 13:34:15"/>
        <s v="13:37:12 à 13:38:10"/>
        <s v="13:44:29 à 13:46:52"/>
        <s v="13:48:06 à 13:49:53"/>
        <s v="13:52:08 à 13:53:47"/>
        <s v="14:01:47 à 14:03:18"/>
        <s v="14:21:14 à 14:23:27"/>
        <s v="15:20:50 à 15:22:17"/>
        <s v="15:28:20 à 15:29:36"/>
        <s v="15:31:06 à 15:32:08"/>
        <s v="15:32:50 à 15:34:50"/>
        <s v="15:35:49 à 15:36:38"/>
        <s v="15:38:17 à 15:39:34"/>
        <s v="15:46:03 à 15:46:59"/>
        <s v="16:19:38 à 16:20:17"/>
        <s v="16:20:50 à 16:21:20"/>
        <s v="16:24:29 à 16:26:33"/>
        <s v="16:54:03 à 16:54:55"/>
        <s v="17:05:29 à 17:06:49"/>
        <s v="17:08:20 à 17:09:58"/>
        <s v="17:11:25 à 17:13:28"/>
        <s v="17:13:55 à 17:15:49"/>
        <s v="17:23:11 à 17:23:55"/>
        <s v="17:25:01 à 17:25:29"/>
        <s v="17:26:21 à 17:28:12"/>
        <s v="17:29:19 à 17:30:14"/>
        <s v="17:31:25 à 17:32:40"/>
        <s v="17:33:28 à 17:37:11"/>
        <s v="17:38:35 à 17:40:46"/>
        <s v="17:47:12 à 17:47:58"/>
        <s v="18:00:48 à 18:03:15"/>
        <s v="18:05:32 à 18:07:36"/>
        <s v="18:09:34 à 18:10:48"/>
        <s v="18:16:29 à 18:17:31"/>
        <s v="18:18:01 à 18:18:31"/>
        <s v="18:19:48 à 18:20:53"/>
        <s v="18:22:58 à 18:25:10"/>
        <s v="18:27:42 à 18:28:31"/>
        <s v="18:45:45 à 18:50:01"/>
        <s v="18:55:29 à 18:56:05"/>
        <s v="18:58:03 à 19:02:20"/>
        <s v="19:08:23 à 19:11:51"/>
        <s v="19:15:50 à 19:16:39"/>
        <s v="19:19:16 à 19:20:41"/>
        <s v="19:23:22 à 19:24:07"/>
        <s v="19:26:58 à 19:29:53"/>
        <s v="19:32:59 à 19:34:32"/>
        <s v="19:35:28 à 19:38:26"/>
        <s v="19:40:40 à 19:43:23"/>
        <s v="19:45:58 à 19:46:50"/>
        <s v="19:52:12 à 19:53:30"/>
        <s v="19:57:47 à 19:58:45"/>
        <s v="19:59:39 à 20:01:24"/>
        <s v="20:04:26 à 20:06:12"/>
        <s v="20:06:39 à 20:07:32"/>
        <s v="20:17:21 à 20:20:33"/>
        <s v="20:27:20 à 20:30:47"/>
        <s v="20:35:59 à 20:39:00"/>
        <s v="20:47:19 à 20:48:27"/>
        <s v="20:58:08 à 20:59:08"/>
        <s v="21:01:11 à 21:03:09"/>
        <s v="21:05:25 à 21:05:53"/>
        <s v="21:10:56 à 21:13:55"/>
        <s v="21:17:03 à 21:17:54"/>
        <s v="21:28:07 à 21:29:08"/>
        <s v="21:35:41 à 21:36:24"/>
        <s v="21:37:04 à 21:37:53"/>
        <s v="21:41:40 à 21:42:47"/>
        <s v="22:01:59 à 22:03:11"/>
        <s v="22:10:40 à 22:11:31"/>
        <s v="22:32:13 à 22:32:50"/>
        <s v="22:47:18 à 22:48:02"/>
        <s v="22:52:43 à 22:55:57"/>
        <s v="23:08:39 à 23:10:16"/>
        <s v="23:14:05 à 23:14:40"/>
        <s v="23:22:59 à 23:23:49"/>
        <s v="23:24:20 à 23:24:57"/>
        <s v="23:25:50 à 23:27:02"/>
        <s v="23:30:38 à 23:31:08"/>
        <s v="23:31:36 à 23:32:08"/>
        <s v="00:34:31 à 00:35:42"/>
        <s v="00:37:51 à 00:40:18"/>
        <s v="00:41:57 à 00:43:28"/>
        <s v="00:49:59 à 00:50:27"/>
        <s v="07:54:55 à 09:05:33"/>
        <s v="09:06:08 à 09:58:32"/>
        <s v="09:59:23 à 10:45:41"/>
        <s v="11:07:17 à 18:10:33"/>
        <m/>
        <s v="09:12:16 à 10:08:35" u="1"/>
        <s v="09:47:34 à 10:20:10" u="1"/>
        <s v="10:18:09 à 10:53:01" u="1"/>
        <s v="13:14:44 à 18:46:22" u="1"/>
        <s v="14:01:03 à 14:46:24" u="1"/>
        <s v="20:37:52 à 20:38:24" u="1"/>
        <s v="08:39:42 à 10:15:31" u="1"/>
        <s v="09:18:04 à 10:04:36" u="1"/>
        <s v="09:32:35 à 10:08:41" u="1"/>
        <s v="08:24:57 à 10:15:43" u="1"/>
        <s v="13:04:31 à 13:57:07" u="1"/>
        <s v="13:06:19 à 14:13:36" u="1"/>
        <s v="13:24:48 à 14:13:32" u="1"/>
        <s v="07:59:14 à 08:44:54" u="1"/>
        <s v="13:00:45 à 13:53:08" u="1"/>
        <s v="12:10:33 à 13:48:25" u="1"/>
        <s v="15:53:31 à 17:24:20" u="1"/>
        <s v="17:45:14 à 17:46:31" u="1"/>
        <s v="13:02:28 à 13:37:48" u="1"/>
        <s v="15:52:55 à 16:04:05" u="1"/>
        <s v="10:49:28 à 16:55:03" u="1"/>
        <s v="06:34:51 à 06:36:20" u="1"/>
        <s v="06:02:52 à 06:56:35" u="1"/>
        <s v="09:43:35 à 09:56:02" u="1"/>
        <s v="10:28:52 à 16:59:36" u="1"/>
        <s v="16:09:34 à 16:10:20" u="1"/>
        <s v="11:31:21 à 12:19:46" u="1"/>
        <s v="12:24:04 à 12:24:39" u="1"/>
        <s v="09:15:50 à 09:56:28" u="1"/>
        <s v="14:17:08 à 19:41:00" u="1"/>
        <s v="11:02:48 à 11:52:00" u="1"/>
        <s v="11:40:01 à 12:15:55" u="1"/>
        <s v="11:40:37 à 12:51:44" u="1"/>
        <s v="11:47:35 à 12:51:44" u="1"/>
        <s v="14:57:45 à 15:19:37" u="1"/>
        <s v="15:37:01 à 16:20:59" u="1"/>
        <s v="15:59:21 à 16:40:54" u="1"/>
        <s v="21:11:23 à 21:13:17" u="1"/>
        <s v="21:12:24 à 21:13:17" u="1"/>
        <s v="08:39:54 à 09:43:35" u="1"/>
        <s v="15:16:02 à 15:25:30" u="1"/>
        <s v="18:28:36 à 18:29:12" u="1"/>
        <s v="09:49:02 à 09:52:43" u="1"/>
        <s v="17:24:28 à 18:12:04" u="1"/>
        <s v="04:53:19 à 04:54:03" u="1"/>
        <s v="18:12:36 à 18:41:15" u="1"/>
        <s v="04:54:07 à 04:58:22" u="1"/>
        <s v="10:01:44 à 10:03:06" u="1"/>
        <s v="10:50:57 à 11:42:46" u="1"/>
        <s v="00:44:35 à 00:45:14" u="1"/>
        <s v="10:03:16 à 10:03:16" u="1"/>
        <s v="10:49:25 à 11:42:58" u="1"/>
        <s v="07:58:53 à 08:34:45" u="1"/>
        <s v="09:10:23 à 10:10:37" u="1"/>
        <s v="16:39:26 à 18:27:50" u="1"/>
        <s v="16:42:56 à 17:07:13" u="1"/>
        <s v="09:27:33 à 10:34:53" u="1"/>
        <s v="13:18:28 à 14:27:53" u="1"/>
        <s v="11:45:50 à 13:09:21" u="1"/>
        <s v="16:59:37 à 17:07:31" u="1"/>
        <s v="07:04:50 à 07:51:23" u="1"/>
        <s v="17:51:24 à 17:52:30" u="1"/>
        <s v="11:48:45 à 13:01:23" u="1"/>
        <s v="12:33:39 à 13:30:24" u="1"/>
        <s v="16:31:48 à 17:03:46" u="1"/>
        <s v="17:32:04 à 17:32:45" u="1"/>
        <s v="05:18:08 à 06:13:06" u="1"/>
        <s v="11:52:20 à 12:49:11" u="1"/>
        <s v="16:42:28 à 16:43:16" u="1"/>
        <s v="16:44:32 à 17:43:52" u="1"/>
        <s v="17:32:28 à 17:32:55" u="1"/>
        <e v="#REF!" u="1"/>
        <s v="12:56:34 à 12:58:21" u="1"/>
        <s v="15:52:30 à 16:50:14" u="1"/>
        <s v="11:57:06 à 12:41:13" u="1"/>
        <s v="12:00:26 à 13:50:59" u="1"/>
        <s v="19:00:07 à 19:04:05" u="1"/>
        <s v="05:31:32 à 06:53:30" u="1"/>
        <s v="08:52:14 à 09:37:11" u="1"/>
        <s v="11:23:38 à 12:09:49" u="1"/>
        <s v="15:38:20 à 16:30:39" u="1"/>
        <s v="09:05:08 à 22:03:59" u="1"/>
        <s v="09:05:30 à 19:22:15" u="1"/>
        <s v="14:04:54 à 15:22:03" u="1"/>
        <s v="16:03:32 à 16:04:50" u="1"/>
        <s v="07:52:03 à 09:00:14" u="1"/>
        <s v="11:01:13 à 11:06:12" u="1"/>
        <s v="11:01:37 à 11:02:03" u="1"/>
        <s v="14:52:09 à 15:49:36" u="1"/>
        <s v="09:34:30 à 10:48:00" u="1"/>
        <s v="15:59:29 à 15:18:48" u="1"/>
        <s v="17:06:42 à 19:26:43" u="1"/>
        <s v="09:11:57 à 09:46:59" u="1"/>
        <s v="15:02:14 à 18:44:06" u="1"/>
        <s v="19:55:27 à 20:49:33" u="1"/>
        <s v="07:59:12 à 08:20:17" u="1"/>
        <s v="08:35:49 à 10:55:20" u="1"/>
        <s v="09:39:39 à 10:24:22" u="1"/>
        <s v="20:29:13 à 20:30:09" u="1"/>
        <s v="10:50:02 à 11:32:57" u="1"/>
        <s v="14:06:28 à 14:46:35" u="1"/>
        <s v="14:21:51 à 14:22:23" u="1"/>
        <s v="09:18:34 à 10:20:37" u="1"/>
        <s v="09:31:11 à 10:04:43" u="1"/>
        <s v="12:20:24 à 14:08:42" u="1"/>
        <s v="09:43:59 à 10:04:51" u="1"/>
        <s v="11:18:03 à 14:11:35" u="1"/>
        <s v="12:19:09 à 14:40:34" u="1"/>
        <s v="13:39:33 à 14:33:40" u="1"/>
        <s v="20:49:04 à 20:50:34" u="1"/>
        <s v="08:26:52 à 10:11:55" u="1"/>
        <s v="10:24:18 à 14:42:41" u="1"/>
        <s v="12:15:51 à 13:08:28" u="1"/>
        <s v="12:30:37 à 13:20:05" u="1"/>
        <s v="12:33:27 à 13:24:24" u="1"/>
        <s v="16:43:52 à 17:33:33" u="1"/>
        <s v="08:28:45 à 13:04:49" u="1"/>
        <s v="11:31:19 à 12:39:06" u="1"/>
        <s v="14:42:28 à 16:15:07" u="1"/>
        <s v="15:26:10 à 16:48:19" u="1"/>
        <s v="16:22:49 à 17:13:48" u="1"/>
        <s v="11:43:59 à 12:19:15" u="1"/>
        <s v="12:46:05 à 13:00:34" u="1"/>
        <s v="13:10:52 à 13:17:58" u="1"/>
        <s v="15:57:28 à 16:00:07" u="1"/>
        <s v="16:44:01 à 17:33:53" u="1"/>
        <s v="06:01:13 à 06:56:26" u="1"/>
        <s v="06:24:40 à 06:52:13" u="1"/>
        <s v="11:34:42 à 12:19:27" u="1"/>
        <s v="12:36:48 à 17:53:53" u="1"/>
        <s v="15:33:53 à 16:28:38" u="1"/>
        <s v="11:45:33 à 12:35:25" u="1"/>
        <s v="14:45:29 à 16:15:37" u="1"/>
        <s v="14:49:27 à 16:11:28" u="1"/>
        <s v="16:46:45 à 16:53:36" u="1"/>
        <s v="15:42:05 à 16:28:56" u="1"/>
        <s v="18:16:46 à 19:45:11" u="1"/>
        <s v="08:37:34 à 09:27:26" u="1"/>
        <s v="11:58:41 à 11:59:15" u="1"/>
        <s v="15:02:41 à 15:49:21" u="1"/>
        <s v="08:23:29 à 09:23:29" u="1"/>
        <s v="10:10:49 à 15:12:01" u="1"/>
        <s v="14:49:34 à 16:11:58" u="1"/>
        <s v="11:14:44 à 11:16:20" u="1"/>
        <s v="11:52:11 à 12:11:55" u="1"/>
        <s v="08:24:42 à 09:23:49" u="1"/>
        <s v="11:53:08 à 11:55:36" u="1"/>
        <s v="14:49:50 à 15:39:59" u="1"/>
        <s v="08:34:29 à 09:23:57" u="1"/>
        <s v="10:49:33 à 11:42:39" u="1"/>
        <s v="15:20:09 à 15:21:40" u="1"/>
        <s v="11:03:43 à 11:52:41" u="1"/>
        <s v="11:08:53 à 11:52:51" u="1"/>
        <s v="16:21:33 à 17:07:08" u="1"/>
        <s v="07:40:47 à 08:30:39" u="1"/>
        <s v="12:35:18 à 13:38:03" u="1"/>
        <s v="13:28:10 à 14:43:32" u="1"/>
        <s v="17:15:48 à 18:56:54" u="1"/>
        <s v="17:39:17 à 18:16:52" u="1"/>
        <s v="11:20:32 à 14:41:32" u="1"/>
        <s v="14:10:08 à 14:56:53" u="1"/>
        <s v="14:31:58 à 14:52:40" u="1"/>
        <s v="16:33:56 à 17:23:16" u="1"/>
        <s v="16:35:42 à 17:07:26" u="1"/>
        <s v="17:54:55 à 17:56:20" u="1"/>
        <s v="12:41:32 à 13:50:02" u="1"/>
        <s v="16:51:27 à 17:43:21" u="1"/>
        <s v="06:12:55 à 07:22:23" u="1"/>
        <s v="12:43:02 à 13:50:12" u="1"/>
        <s v="11:38:44 à 12:49:16" u="1"/>
        <s v="16:36:01 à 17:43:55" u="1"/>
        <s v="16:57:17 à 17:23:52" u="1"/>
        <s v="15:07:24 à 16:31:10" u="1"/>
        <s v="15:54:02 à 16:54:24" u="1"/>
        <s v="05:30:20 à 06:53:21" u="1"/>
        <s v="11:43:29 à 12:29:35" u="1"/>
        <s v="12:25:55 à 13:10:58" u="1"/>
        <s v="07:24:42 à 09:24:09" u="1"/>
        <s v="08:29:51 à 09:37:18" u="1"/>
        <s v="08:43:10 à 09:57:23" u="1"/>
        <s v="09:45:51 à 09:46:24" u="1"/>
        <s v="12:32:48 à 12:34:48" u="1"/>
        <s v="15:19:56 à 15:55:10" u="1"/>
        <s v="07:39:15 à 09:28:46" u="1"/>
        <s v="08:43:41 à 09:57:43" u="1"/>
        <s v="09:28:15 à 10:48:03" u="1"/>
        <s v="08:49:43 à 09:13:46" u="1"/>
        <s v="08:56:14 à 08:57:15" u="1"/>
        <s v="09:08:59 à 11:08:55" u="1"/>
        <s v="13:35:59 à 14:17:01" u="1"/>
        <s v="14:08:11 à 14:46:06" u="1"/>
        <s v="15:08:57 à 15:51:33" u="1"/>
        <s v="17:58:56 à 18:02:00" u="1"/>
        <s v="20:56:49 à 20:58:01" u="1"/>
        <s v="08:49:36 à 09:53:54" u="1"/>
        <s v="09:13:39 à 11:04:54" u="1"/>
        <s v="14:11:14 à 15:06:52" u="1"/>
        <s v="20:33:35 à 20:34:07" u="1"/>
        <s v="09:31:54 à 10:20:14" u="1"/>
        <s v="09:15:24 à 10:04:38" u="1"/>
        <s v="17:24:02 à 17:26:08" u="1"/>
        <s v="05:26:50 à 07:27:00" u="1"/>
        <s v="17:38:44 à 18:02:44" u="1"/>
        <s v="09:13:48 à 10:04:58" u="1"/>
        <s v="08:06:18 à 08:30:52" u="1"/>
        <s v="11:12:49 à 18:44:54" u="1"/>
        <s v="16:50:37 à 16:57:04" u="1"/>
        <s v="07:18:27 à 07:21:34" u="1"/>
        <s v="12:34:50 à 13:48:43" u="1"/>
        <s v="16:34:10 à 17:17:56" u="1"/>
        <s v="11:35:32 à 13:15:45" u="1"/>
        <s v="15:17:27 à 16:01:00" u="1"/>
        <s v="11:46:54 à 12:19:26" u="1"/>
        <s v="08:42:44 à 09:27:05" u="1"/>
        <s v="05:31:05 à 06:47:41" u="1"/>
        <s v="05:59:12 à 12:53:35" u="1"/>
        <s v="09:55:40 à 09:56:12" u="1"/>
        <s v="08:39:48 à 09:43:17" u="1"/>
        <s v="15:53:15 à 16:40:46" u="1"/>
        <s v="07:57:46 à 09:58:31" u="1"/>
        <s v="10:30:47 à 12:22:49" u="1"/>
        <s v="15:52:04 à 16:40:56" u="1"/>
        <s v="19:12:03 à 19:14:34" u="1"/>
        <s v="09:38:02 à 10:38:02" u="1"/>
        <s v="18:03:16 à 18:49:17" u="1"/>
        <s v="09:30:17 à 10:18:13" u="1"/>
        <s v="18:16:48 à 19:21:44" u="1"/>
        <s v="08:16:19 à 10:09:27" u="1"/>
        <s v="08:35:12 à 09:23:58" u="1"/>
        <s v="10:15:38 à 10:47:03" u="1"/>
        <s v="20:25:12 à 20:28:19" u="1"/>
        <s v="07:49:41 à 08:34:29" u="1"/>
        <s v="07:53:08 à 08:30:18" u="1"/>
        <s v="08:03:16 à 14:18:39" u="1"/>
        <s v="08:27:29 à 10:41:15" u="1"/>
        <s v="09:11:53 à 11:10:55" u="1"/>
        <s v="10:13:24 à 10:47:13" u="1"/>
        <s v="10:17:13 à 10:47:13" u="1"/>
        <s v="11:03:37 à 11:52:42" u="1"/>
        <s v="18:14:02 à 18:41:27" u="1"/>
        <s v="00:05:34 à 00:06:10" u="1"/>
        <s v="09:30:05 à 10:58:41" u="1"/>
        <s v="09:30:23 à 10:30:24" u="1"/>
        <s v="09:31:04 à 10:34:33" u="1"/>
        <s v="09:31:11 à 10:18:53" u="1"/>
        <s v="16:41:31 à 17:27:14" u="1"/>
        <s v="16:52:52 à 17:47:11" u="1"/>
        <s v="17:45:18 à 18:16:51" u="1"/>
        <s v="11:23:10 à 13:09:17" u="1"/>
        <s v="12:44:10 à 13:58:11" u="1"/>
        <s v="12:53:36 à 13:54:00" u="1"/>
        <s v="15:05:56 à 18:54:57" u="1"/>
        <s v="16:38:19 à 17:23:17" u="1"/>
        <s v="16:47:44 à 18:43:50" u="1"/>
        <s v="16:59:49 à 17:47:21" u="1"/>
        <s v="23:46:19 à 23:48:29" u="1"/>
        <s v="11:58:48 à 13:29:20" u="1"/>
        <s v="13:13:40 à 14:23:56" u="1"/>
        <s v="15:57:59 à 17:30:13" u="1"/>
        <s v="11:40:43 à 20:51:56" u="1"/>
        <s v="12:22:10 à 13:18:37" u="1"/>
        <s v="16:06:32 à 16:08:01" u="1"/>
        <s v="12:55:28 à 16:27:05" u="1"/>
        <s v="06:24:29 à 07:42:41" u="1"/>
        <s v="11:43:13 à 13:01:35" u="1"/>
        <s v="14:49:49 à 17:25:54" u="1"/>
        <s v="05:32:49 à 06:37:22" u="1"/>
        <s v="12:52:55 à 13:50:51" u="1"/>
        <s v="15:50:39 à 16:34:36" u="1"/>
        <s v="15:55:50 à 15:58:08" u="1"/>
        <s v="15:57:43 à 16:30:27" u="1"/>
        <s v="05:27:59 à 06:33:35" u="1"/>
        <s v="05:44:20 à 06:53:30" u="1"/>
        <s v="14:53:35 à 15:45:09" u="1"/>
        <s v="19:26:42 à 19:28:21" u="1"/>
        <s v="07:54:21 à 09:44:13" u="1"/>
        <s v="11:43:45 à 12:01:39" u="1"/>
        <s v="07:57:00 à 09:28:33" u="1"/>
        <s v="19:22:53 à 19:24:32" u="1"/>
        <s v="11:44:35 à 12:41:57" u="1"/>
        <s v="14:12:09 à 15:02:24" u="1"/>
        <s v="14:26:35 à 15:02:22" u="1"/>
        <s v="15:20:48 à 15:31:21" u="1"/>
        <s v="13:45:47 à 14:17:00" u="1"/>
        <s v="14:39:44 à 14:46:01" u="1"/>
        <s v="15:18:09 à 15:19:52" u="1"/>
        <s v="17:26:50 à 18:22:06" u="1"/>
        <s v="17:45:29 à 18:22:02" u="1"/>
        <s v="08:36:45 à 10:15:14" u="1"/>
        <s v="11:05:06 à 11:06:44" u="1"/>
        <s v="12:23:33 à 14:08:14" u="1"/>
        <s v="13:25:49 à 14:13:05" u="1"/>
        <s v="07:54:34 à 08:44:27" u="1"/>
        <s v="09:36:52 à 10:00:16" u="1"/>
        <s v="18:14:49 à 18:35:37" u="1"/>
        <s v="08:14:09 à 10:11:29" u="1"/>
        <s v="10:10:40 à 18:11:17" u="1"/>
        <s v="13:29:37 à 14:37:33" u="1"/>
        <s v="14:29:10 à 14:46:33" u="1"/>
        <s v="12:41:52 à 13:28:03" u="1"/>
        <s v="16:23:17 à 18:37:54" u="1"/>
        <s v="17:12:26 à 18:06:58" u="1"/>
        <s v="18:06:49 à 18:51:49" u="1"/>
        <s v="09:36:49 à 10:24:54" u="1"/>
        <s v="12:45:40 à 14:04:41" u="1"/>
        <s v="13:44:31 à 14:33:40" u="1"/>
        <s v="18:10:20 à 18:51:57" u="1"/>
        <s v="05:31:57 à 07:07:20" u="1"/>
        <s v="23:19:01 à 23:19:31" u="1"/>
        <s v="06:19:34 à 07:12:25" u="1"/>
        <s v="10:33:12 à 10:33:51" u="1"/>
        <s v="23:50:21 à 23:58:47" u="1"/>
        <s v="07:17:34 à 07:21:35" u="1"/>
        <s v="09:20:37 à 13:53:49" u="1"/>
        <s v="11:55:21 à 12:19:05" u="1"/>
        <s v="12:34:07 à 13:24:36" u="1"/>
        <s v="15:31:53 à 17:24:47" u="1"/>
        <s v="05:33:03 à 06:43:03" u="1"/>
        <s v="09:08:49 à 12:30:03" u="1"/>
        <s v="12:50:33 à 13:20:33" u="1"/>
        <s v="12:59:03 à 13:48:50" u="1"/>
        <s v="05:46:54 à 06:47:20" u="1"/>
        <s v="11:33:44 à 12:19:29" u="1"/>
        <s v="12:23:29 à 13:24:58" u="1"/>
        <s v="18:07:05 à 19:05:07" u="1"/>
        <s v="08:47:25 à 09:47:15" u="1"/>
        <s v="08:48:44 à 09:43:06" u="1"/>
        <s v="11:43:08 à 12:19:47" u="1"/>
        <s v="12:47:40 à 12:48:46" u="1"/>
        <s v="11:54:54 à 12:39:54" u="1"/>
        <s v="07:57:56 à 09:58:32" u="1"/>
        <s v="08:31:34 à 09:27:38" u="1"/>
        <s v="08:38:59 à 09:27:38" u="1"/>
        <s v="08:58:09 à 09:43:24" u="1"/>
        <s v="10:16:24 à 11:27:11" u="1"/>
        <s v="11:54:41 à 12:35:55" u="1"/>
        <s v="12:43:37 à 12:44:57" u="1"/>
        <s v="14:16:36 à 15:36:22" u="1"/>
        <s v="15:11:33 à 16:21:50" u="1"/>
        <s v="15:28:25 à 21:15:29" u="1"/>
        <s v="09:20:15 à 09:56:49" u="1"/>
        <s v="11:59:12 à 12:51:55" u="1"/>
        <s v="15:19:59 à 18:38:06" u="1"/>
        <s v="08:20:28 à 10:05:07" u="1"/>
        <s v="10:17:27 à 11:43:21" u="1"/>
        <s v="21:36:04 à 21:37:44" u="1"/>
        <s v="09:03:10 à 10:54:19" u="1"/>
        <s v="09:49:32 à 10:34:12" u="1"/>
        <s v="12:33:18 à 14:14:03" u="1"/>
        <s v="14:02:08 à 14:52:08" u="1"/>
        <s v="17:39:38 à 18:36:23" u="1"/>
        <s v="18:49:30 à 18:49:30" u="1"/>
        <s v="08:17:27 à 08:20:12" u="1"/>
        <s v="09:22:01 à 10:50:16" u="1"/>
        <s v="11:04:35 à 14:45:17" u="1"/>
        <s v="09:49:53 à 10:50:22" u="1"/>
        <s v="20:44:04 à 20:48:35" u="1"/>
        <s v="06:07:56 à 07:06:07" u="1"/>
        <s v="08:12:49 à 10:05:49" u="1"/>
        <s v="17:51:04 à 17:52:03" u="1"/>
        <s v="12:28:03 à 13:18:18" u="1"/>
        <s v="12:34:41 à 14:54:51" u="1"/>
        <s v="13:11:44 à 18:52:56" u="1"/>
        <s v="16:44:06 à 17:23:26" u="1"/>
        <s v="12:41:47 à 13:18:34" u="1"/>
        <s v="12:51:40 à 13:50:12" u="1"/>
        <s v="15:45:21 à 16:34:09" u="1"/>
        <s v="05:25:13 à 06:57:14" u="1"/>
        <s v="05:35:12 à 06:53:03" u="1"/>
        <s v="11:51:53 à 13:09:52" u="1"/>
        <s v="12:28:21 à 13:18:58" u="1"/>
        <s v="11:52:57 à 12:29:25" u="1"/>
        <s v="11:54:29 à 12:41:06" u="1"/>
        <s v="11:55:23 à 12:45:15" u="1"/>
        <s v="19:27:07 à 19:28:02" u="1"/>
        <s v="05:21:28 à 06:33:26" u="1"/>
        <s v="06:41:17 à 06:42:22" u="1"/>
        <s v="11:34:30 à 12:49:38" u="1"/>
        <s v="15:11:50 à 15:15:04" u="1"/>
        <s v="05:30:37 à 06:37:53" u="1"/>
        <s v="09:21:46 à 11:20:04" u="1"/>
        <s v="09:40:57 à 09:42:17" u="1"/>
        <s v="11:46:43 à 12:09:58" u="1"/>
        <s v="11:51:44 à 12:41:36" u="1"/>
        <s v="14:22:15 à 15:02:03" u="1"/>
        <s v="14:59:51 à 15:49:29" u="1"/>
        <s v="19:07:49 à 19:08:37" u="1"/>
        <s v="11:13:48 à 11:42:02" u="1"/>
        <s v="15:16:05 à 16:31:50" u="1"/>
        <s v="09:40:37 à 09:42:37" u="1"/>
        <s v="11:07:15 à 12:42:50" u="1"/>
        <s v="18:26:35 à 18:55:05" u="1"/>
        <s v="21:21:32 à 21:23:28" u="1"/>
        <s v="21:38:43 à 21:43:25" u="1"/>
        <s v="07:42:04 à 09:28:56" u="1"/>
        <s v="08:39:01 à 09:37:58" u="1"/>
        <s v="09:46:32 à 18:42:03" u="1"/>
        <s v="11:07:04 à 11:22:25" u="1"/>
        <s v="11:21:14 à 11:26:30" u="1"/>
        <s v="15:07:52 à 15:55:44" u="1"/>
        <s v="08:02:09 à 08:54:12" u="1"/>
        <s v="09:30:54 à 10:08:25" u="1"/>
        <s v="09:39:07 à 10:48:23" u="1"/>
        <s v="11:00:16 à 11:46:43" u="1"/>
        <s v="15:13:59 à 15:31:54" u="1"/>
        <s v="17:59:35 à 18:22:21" u="1"/>
        <s v="08:25:45 à 10:11:28" u="1"/>
        <s v="13:03:53 à 14:33:39" u="1"/>
        <s v="17:24:14 à 18:06:57" u="1"/>
        <s v="17:37:02 à 18:26:54" u="1"/>
        <s v="08:04:25 à 08:54:52" u="1"/>
        <s v="09:36:52 à 10:20:46" u="1"/>
        <s v="11:39:48 à 14:31:33" u="1"/>
        <s v="13:27:51 à 14:13:46" u="1"/>
        <s v="17:31:59 à 18:22:55" u="1"/>
        <s v="07:21:27 à 07:25:33" u="1"/>
        <s v="12:51:17 à 13:04:24" u="1"/>
        <s v="16:36:16 à 17:57:46" u="1"/>
        <s v="16:40:09 à 17:33:36" u="1"/>
        <s v="23:14:49 à 23:15:33" u="1"/>
        <s v="05:27:36 à 06:47:05" u="1"/>
        <s v="06:26:32 à 07:12:34" u="1"/>
        <s v="16:48:37 à 17:17:56" u="1"/>
        <s v="16:59:59 à 17:37:53" u="1"/>
        <s v="11:52:53 à 13:35:42" u="1"/>
        <s v="12:46:53 à 13:20:36" u="1"/>
        <s v="12:56:32 à 13:44:42" u="1"/>
        <s v="08:06:19 à 09:08:00" u="1"/>
        <s v="09:01:41 à 12:10:25" u="1"/>
        <s v="02:46:57 à 02:47:30" u="1"/>
        <s v="05:35:58 à 06:47:43" u="1"/>
        <s v="18:48:25 à 19:21:00" u="1"/>
        <s v="19:26:31 à 19:30:04" u="1"/>
        <s v="10:51:57 à 12:06:57" u="1"/>
        <s v="11:54:20 à 16:20:48" u="1"/>
        <s v="15:15:09 à 15:49:32" u="1"/>
        <s v="16:09:16 à 16:10:54" u="1"/>
        <s v="05:42:17 à 05:43:26" u="1"/>
        <s v="08:43:30 à 09:43:37" u="1"/>
        <s v="12:08:34 à 15:30:16" u="1"/>
        <s v="15:07:00 à 15:25:36" u="1"/>
        <s v="18:22:19 à 19:01:35" u="1"/>
        <s v="08:33:33 à 09:27:59" u="1"/>
        <s v="09:34:29 à 09:56:58" u="1"/>
        <s v="17:18:43 à 18:56:17" u="1"/>
        <s v="07:53:07 à 09:54:54" u="1"/>
        <s v="10:24:22 à 11:07:41" u="1"/>
        <s v="09:51:32 à 10:14:22" u="1"/>
        <s v="10:05:47 à 10:07:19" u="1"/>
        <s v="16:49:20 à 18:23:23" u="1"/>
        <s v="09:31:59 à 10:38:44" u="1"/>
        <s v="11:02:54 à 11:52:54" u="1"/>
        <s v="06:51:09 à 10:43:30" u="1"/>
        <s v="07:57:29 à 08:50:39" u="1"/>
        <s v="10:35:35 à 10:43:22" u="1"/>
        <s v="13:14:08 à 14:03:39" u="1"/>
        <s v="16:34:22 à 18:07:55" u="1"/>
        <s v="08:04:41 à 08:44:53" u="1"/>
        <s v="10:00:39 à 10:47:47" u="1"/>
        <s v="10:05:15 à 10:43:38" u="1"/>
        <s v="17:42:23 à 18:32:53" u="1"/>
        <s v="11:50:06 à 13:05:24" u="1"/>
        <s v="12:45:23 à 13:30:16" u="1"/>
        <s v="23:29:07 à 23:29:50" u="1"/>
        <s v="05:18:39 à 06:33:09" u="1"/>
        <s v="09:05:16 à 12:28:23" u="1"/>
        <s v="12:57:33 à 13:58:51" u="1"/>
        <s v="15:05:59 à 16:15:13" u="1"/>
        <s v="05:24:15 à 06:37:26" u="1"/>
        <s v="12:05:46 à 12:11:03" u="1"/>
        <s v="12:40:46 à 13:30:46" u="1"/>
        <s v="16:01:14 à 16:08:33" u="1"/>
        <s v="16:03:30 à 16:48:31" u="1"/>
        <s v="09:44:07 à 09:46:07" u="1"/>
        <s v="16:19:07 à 16:20:22" u="1"/>
        <s v="08:38:29 à 06:44:45" u="1"/>
        <s v="16:14:34 à 19:53:04" u="1"/>
        <s v="07:42:10 à 09:28:27" u="1"/>
        <s v="14:03:55 à 15:02:08" u="1"/>
        <s v="18:40:03 à 19:31:10" u="1"/>
        <s v="05:42:00 à 06:53:52" u="1"/>
        <s v="11:17:56 à 11:26:13" u="1"/>
        <s v="15:25:38 à 15:31:13" u="1"/>
        <s v="04:59:45 à 05:00:17" u="1"/>
        <s v="14:47:32 à 18:19:02" u="1"/>
        <s v="07:54:43 à 08:44:09" u="1"/>
        <s v="07:57:27 à 08:48:18" u="1"/>
        <s v="14:31:39 à 15:42:30" u="1"/>
        <s v="11:13:06 à 15:51:33" u="1"/>
        <s v="18:19:06 à 18:19:39" u="1"/>
        <s v="08:08:40 à 08:58:32" u="1"/>
        <s v="14:02:33 à 15:02:58" u="1"/>
        <s v="14:20:17 à 15:02:54" u="1"/>
        <s v="10:14:18 à 10:17:27" u="1"/>
        <s v="20:37:17 à 20:38:39" u="1"/>
        <s v="09:36:27 à 10:28:55" u="1"/>
        <s v="13:27:47 à 14:17:46" u="1"/>
        <s v="16:41:11 à 17:53:06" u="1"/>
        <s v="17:45:45 à 17:46:16" u="1"/>
        <s v="07:08:02 à 08:25:54" u="1"/>
        <s v="10:12:58 à 10:13:48" u="1"/>
        <s v="11:02:42 à 14:51:49" u="1"/>
        <s v="12:47:35 à 13:40:06" u="1"/>
        <s v="14:06:50 à 17:12:10" u="1"/>
        <s v="15:44:10 à 18:00:55" u="1"/>
        <s v="10:31:50 à 10:33:53" u="1"/>
        <s v="11:56:50 à 13:35:23" u="1"/>
        <s v="16:08:54 à 16:58:01" u="1"/>
        <s v="16:58:21 à 17:53:34" u="1"/>
        <s v="23:18:49 à 23:19:43" u="1"/>
        <s v="15:53:56 à 17:20:36" u="1"/>
        <s v="16:57:10 à 17:37:54" u="1"/>
        <s v="11:54:11 à 12:35:07" u="1"/>
        <s v="15:09:38 à 16:29:22" u="1"/>
        <s v="15:18:50 à 16:09:21" u="1"/>
        <s v="15:58:47 à 16:40:09" u="1"/>
        <s v="07:40:35 à 07:41:50" u="1"/>
        <s v="15:21:20 à 16:01:21" u="1"/>
        <s v="16:07:18 à 16:54:32" u="1"/>
        <s v="16:23:17 à 16:30:20" u="1"/>
        <s v="09:34:52 à 12:10:30" u="1"/>
        <s v="12:04:53 à 12:05:33" u="1"/>
        <s v="19:04:50 à 19:18:28" u="1"/>
        <s v="16:13:57 à 16:14:52" u="1"/>
        <s v="16:14:15 à 16:54:50" u="1"/>
        <s v="15:20:29 à 16:01:51" u="1"/>
        <s v="22:42:07 à 22:42:51" u="1"/>
        <s v="15:22:09 à 15:25:33" u="1"/>
        <s v="17:56:09 à 18:36:01" u="1"/>
        <s v="08:58:18 à 14:38:11" u="1"/>
        <s v="11:03:31 à 11:56:34" u="1"/>
        <s v="08:02:21 à 09:04:52" u="1"/>
        <s v="09:22:23 à 10:18:28" u="1"/>
        <s v="13:33:13 à 14:23:05" u="1"/>
        <s v="13:41:21 à 14:07:13" u="1"/>
        <s v="00:43:17 à 00:45:09" u="1"/>
        <s v="08:15:14 à 08:40:13" u="1"/>
        <s v="08:50:51 à 10:25:32" u="1"/>
        <s v="09:26:21 à 10:14:39" u="1"/>
        <s v="13:17:24 à 14:23:29" u="1"/>
        <s v="14:22:40 à 14:56:35" u="1"/>
        <s v="16:29:48 à 18:07:48" u="1"/>
        <s v="08:50:38 à 14:14:43" u="1"/>
        <s v="16:32:38 à 17:43:09" u="1"/>
        <s v="17:04:43 à 17:17:10" u="1"/>
        <s v="17:41:23 à 18:36:53" u="1"/>
        <s v="17:54:38 à 18:56:50" u="1"/>
        <s v="12:48:45 à 14:10:34" u="1"/>
        <s v="14:26:33 à 14:32:47" u="1"/>
        <s v="23:26:47 à 23:29:31" u="1"/>
        <s v="11:48:29 à 13:05:27" u="1"/>
        <s v="12:25:45 à 13:54:29" u="1"/>
        <s v="12:55:56 à 14:10:52" u="1"/>
        <s v="16:53:46 à 17:43:35" u="1"/>
        <s v="07:14:18 à 07:15:47" u="1"/>
        <s v="06:03:28 à 07:22:49" u="1"/>
        <s v="12:14:01 à 12:15:01" u="1"/>
        <s v="14:13:42 à 16:02:03" u="1"/>
        <s v="11:42:14 à 13:01:48" u="1"/>
        <s v="16:09:07 à 17:20:51" u="1"/>
        <s v="19:26:48 à 19:28:04" u="1"/>
        <s v="05:53:32 à 06:53:21" u="1"/>
        <s v="09:57:09 à 11:04:00" u="1"/>
        <s v="08:17:35 à 09:10:01" u="1"/>
        <s v="09:43:26 à 11:00:03" u="1"/>
        <s v="21:46:18 à 21:47:14" u="1"/>
        <s v="01:35:17 à 01:40:09" u="1"/>
        <s v="08:41:11 à 09:37:48" u="1"/>
        <s v="12:13:37 à 12:51:50" u="1"/>
        <s v="13:28:47 à 19:26:33" u="1"/>
        <s v="14:06:14 à 15:02:29" u="1"/>
        <s v="17:33:24 à 18:26:06" u="1"/>
        <s v="18:11:50 à 19:31:37" u="1"/>
        <s v="19:58:42 à 21:01:38" u="1"/>
        <s v="09:04:56 à 09:23:42" u="1"/>
        <s v="09:35:09 à 10:28:16" u="1"/>
        <s v="14:31:20 à 15:22:32" u="1"/>
        <s v="15:09:36 à 15:55:46" u="1"/>
        <s v="16:09:35 à 00:36:03" u="1"/>
        <s v="17:59:55 à 18:42:02" u="1"/>
        <s v="18:12:54 à 18:39:29" u="1"/>
        <s v="08:01:32 à 08:10:07" u="1"/>
        <s v="10:07:45 à 11:17:46" u="1"/>
        <s v="13:25:30 à 15:53:42" u="1"/>
        <s v="18:44:08 à 19:31:51" u="1"/>
        <s v="07:57:35 à 08:48:39" u="1"/>
        <s v="09:39:27 à 10:20:18" u="1"/>
        <s v="11:02:26 à 18:48:29" u="1"/>
        <s v="12:55:14 à 14:00:03" u="1"/>
        <s v="12:59:48 à 14:04:12" u="1"/>
        <s v="14:31:59 à 15:22:52" u="1"/>
        <s v="14:41:23 à 19:31:50" u="1"/>
        <s v="16:58:15 à 18:17:32" u="1"/>
        <s v="00:15:16 à 00:16:21" u="1"/>
        <s v="09:56:41 à 10:04:54" u="1"/>
        <s v="12:43:06 à 14:08:53" u="1"/>
        <s v="13:34:06 à 14:13:46" u="1"/>
        <s v="13:55:39 à 14:37:50" u="1"/>
        <s v="14:50:35 à 17:15:16" u="1"/>
        <s v="16:52:54 à 17:17:26" u="1"/>
        <s v="00:11:03 à 00:12:32" u="1"/>
        <s v="10:05:37 à 10:53:49" u="1"/>
        <s v="16:45:14 à 17:37:37" u="1"/>
        <s v="15:12:27 à 16:29:01" u="1"/>
        <s v="16:47:08 à 17:37:47" u="1"/>
        <s v="17:02:56 à 17:03:32" u="1"/>
        <s v="11:35:17 à 13:19:48" u="1"/>
        <s v="12:06:52 à 12:49:01" u="1"/>
        <s v="23:14:13 à 23:15:45" u="1"/>
        <s v="23:14:25 à 23:19:54" u="1"/>
        <s v="16:17:27 à 16:18:22" u="1"/>
        <s v="12:07:51 à 12:09:23" u="1"/>
        <s v="12:08:36 à 13:01:41" u="1"/>
        <s v="12:55:02 à 13:44:54" u="1"/>
        <s v="02:41:56 à 02:43:13" u="1"/>
        <s v="05:48:59 à 06:43:24" u="1"/>
        <s v="11:57:26 à 12:19:38" u="1"/>
        <s v="14:50:36 à 16:51:29" u="1"/>
        <s v="16:05:01 à 16:54:33" u="1"/>
        <s v="14:38:41 à 15:36:01" u="1"/>
        <s v="16:52:57 à 16:53:49" u="1"/>
        <s v="05:48:50 à 06:23:45" u="1"/>
        <s v="09:02:43 à 09:13:13" u="1"/>
        <s v="11:22:27 à 12:12:30" u="1"/>
        <s v="08:17:30 à 09:08:30" u="1"/>
        <s v="11:22:15 à 12:12:40" u="1"/>
        <s v="13:29:27 à 15:23:14" u="1"/>
        <s v="15:09:58 à 19:58:36" u="1"/>
        <s v="18:34:26 à 19:29:42" u="1"/>
        <s v="08:18:16 à 09:00:22" u="1"/>
        <s v="10:13:23 à 11:03:16" u="1"/>
        <s v="10:28:54 à 11:07:23" u="1"/>
        <s v="11:32:12 à 11:36:20" u="1"/>
        <s v="14:01:32 à 15:16:38" u="1"/>
        <s v="05:40:31 à 05:43:38" u="1"/>
        <s v="08:33:56 à 10:29:16" u="1"/>
        <s v="08:58:18 à 10:05:04" u="1"/>
        <s v="09:21:14 à 11:18:55" u="1"/>
        <s v="11:03:21 à 15:05:38" u="1"/>
        <s v="14:13:15 à 15:12:37" u="1"/>
        <s v="14:20:22 à 15:52:33" u="1"/>
        <s v="14:26:52 à 15:16:44" u="1"/>
        <s v="16:54:17 à 18:27:12" u="1"/>
        <s v="18:54:15 à 19:05:50" u="1"/>
        <s v="19:10:04 à 19:10:49" u="1"/>
        <s v="19:19:13 à 20:36:12" u="1"/>
        <s v="14:13:09 à 14:56:18" u="1"/>
        <s v="18:36:22 à 18:41:17" u="1"/>
        <s v="01:31:24 à 01:34:49" u="1"/>
        <s v="08:47:08 à 10:05:26" u="1"/>
        <s v="11:10:47 à 11:52:44" u="1"/>
        <s v="09:30:26 à 10:34:37" u="1"/>
        <s v="13:56:21 à 14:47:30" u="1"/>
        <s v="08:20:11 à 08:40:32" u="1"/>
        <s v="08:24:01 à 08:48:50" u="1"/>
        <s v="09:39:26 à 10:14:48" u="1"/>
        <s v="17:29:35 à 18:36:58" u="1"/>
        <s v="04:14:28 à 04:15:43" u="1"/>
        <s v="12:55:01 à 13:34:05" u="1"/>
        <s v="20:18:18 à 20:21:31" u="1"/>
        <s v="08:58:38 à 10:01:55" u="1"/>
        <s v="10:23:11 à 10:23:57" u="1"/>
        <s v="05:39:36 à 06:57:05" u="1"/>
        <s v="11:55:16 à 13:05:36" u="1"/>
        <s v="13:09:42 à 16:17:04" u="1"/>
        <s v="17:08:55 à 17:13:42" u="1"/>
        <s v="05:43:12 à 06:13:06" u="1"/>
        <s v="08:00:59 à 12:59:23" u="1"/>
        <s v="12:41:41 à 13:50:47" u="1"/>
        <s v="09:22:57 à 11:08:06" u="1"/>
        <s v="11:59:54 à 16:38:38" u="1"/>
        <s v="15:09:06 à 16:15:35" u="1"/>
        <s v="22:35:06 à 22:36:34" u="1"/>
        <s v="05:40:12 à 06:37:44" u="1"/>
        <s v="11:29:54 à 12:22:20" u="1"/>
        <s v="18:10:29 à 19:35:17" u="1"/>
        <s v="18:23:51 à 19:51:05" u="1"/>
        <s v="19:17:14 à 19:40:08" u="1"/>
        <s v="05:40:26 à 06:33:45" u="1"/>
        <s v="13:30:39 à 15:37:11" u="1"/>
        <s v="15:29:34 à 16:15:51" u="1"/>
        <s v="08:04:43 à 09:54:21" u="1"/>
        <s v="10:44:47 à 11:13:00" u="1"/>
        <s v="12:11:19 à 12:35:51" u="1"/>
        <s v="12:16:08 à 16:44:51" u="1"/>
        <s v="14:11:13 à 16:02:54" u="1"/>
        <s v="15:18:54 à 15:19:36" u="1"/>
        <s v="15:13:51 à 15:55:35" u="1"/>
        <s v="19:43:29 à 19:44:41" u="1"/>
        <s v="08:06:02 à 08:54:05" u="1"/>
        <s v="08:54:50 à 09:57:56" u="1"/>
        <s v="09:53:47 à 11:04:41" u="1"/>
        <s v="11:06:38 à 11:06:38" u="1"/>
        <s v="14:24:36 à 15:22:35" u="1"/>
        <s v="19:01:02 à 20:02:07" u="1"/>
        <s v="07:05:49 à 08:25:16" u="1"/>
        <s v="08:16:46 à 09:14:51" u="1"/>
        <s v="09:31:02 à 10:08:28" u="1"/>
        <s v="09:45:20 à 10:40:06" u="1"/>
        <s v="13:28:56 à 14:57:16" u="1"/>
        <s v="13:53:36 à 14:53:01" u="1"/>
        <s v="14:06:40 à 15:06:59" u="1"/>
        <s v="14:47:57 à 15:42:40" u="1"/>
        <s v="18:23:13 à 18:51:19" u="1"/>
        <s v="08:05:15 à 11:51:59" u="1"/>
        <s v="10:38:20 à 11:13:42" u="1"/>
        <s v="13:51:06 à 14:37:21" u="1"/>
        <s v="20:09:35 à 20:11:04" u="1"/>
        <s v="00:11:27 à 00:12:03" u="1"/>
        <s v="07:12:21 à 08:05:35" u="1"/>
        <s v="09:55:59 à 10:24:34" u="1"/>
        <s v="10:27:16 à 11:13:54" u="1"/>
        <s v="11:15:44 à 11:22:56" u="1"/>
        <s v="13:33:27 à 14:33:26" u="1"/>
        <s v="07:08:13 à 07:49:18" u="1"/>
        <s v="14:45:22 à 14:46:43" u="1"/>
        <s v="12:55:38 à 14:08:52" u="1"/>
        <s v="12:39:20 à 14:44:55" u="1"/>
        <s v="14:42:28 à 14:42:54" u="1"/>
        <s v="10:35:34 à 10:53:54" u="1"/>
        <s v="13:02:01 à 13:50:10" u="1"/>
        <s v="12:07:21 à 13:01:22" u="1"/>
        <s v="16:09:48 à 17:38:50" u="1"/>
        <s v="16:53:04 à 17:37:56" u="1"/>
        <s v="16:14:44 à 17:10:41" u="1"/>
        <s v="05:54:03 à 06:43:13" u="1"/>
        <s v="11:05:37 à 12:32:04" u="1"/>
        <s v="14:28:06 à 16:16:21" u="1"/>
        <s v="15:36:17 à 16:21:10" u="1"/>
        <s v="16:06:02 à 17:50:51" u="1"/>
        <s v="11:25:24 à 12:12:11" u="1"/>
        <s v="11:25:54 à 12:16:20" u="1"/>
        <s v="15:07:54 à 15:09:09" u="1"/>
        <s v="14:34:02 à 15:56:01" u="1"/>
        <s v="15:53:32 à 16:48:59" u="1"/>
        <s v="18:29:00 à 19:01:08" u="1"/>
        <s v="19:28:42 à 19:30:07" u="1"/>
        <s v="08:14:23 à 09:08:21" u="1"/>
        <s v="08:14:38 à 09:04:12" u="1"/>
        <s v="11:55:49 à 12:59:57" u="1"/>
        <s v="18:54:17 à 19:05:21" u="1"/>
        <s v="05:50:32 à 06:43:53" u="1"/>
        <s v="09:05:54 à 09:57:31" u="1"/>
        <s v="11:05:22 à 12:32:44" u="1"/>
        <s v="15:15:01 à 15:21:18" u="1"/>
        <s v="09:29:34 à 10:38:09" u="1"/>
        <s v="15:14:40 à 20:16:03" u="1"/>
        <s v="18:59:35 à 19:05:51" u="1"/>
        <s v="10:16:25 à 11:23:36" u="1"/>
        <s v="13:21:49 à 14:07:19" u="1"/>
        <s v="15:40:24 à 15:41:41" u="1"/>
        <s v="09:38:58 à 10:18:38" u="1"/>
        <s v="10:26:48 à 10:27:17" u="1"/>
        <s v="11:01:04 à 11:32:48" u="1"/>
        <s v="21:04:30 à 21:10:41" u="1"/>
        <s v="09:38:25 à 10:18:48" u="1"/>
        <s v="11:15:50 à 11:52:55" u="1"/>
        <s v="07:17:40 à 07:59:16" u="1"/>
        <s v="00:23:02 à 00:26:30" u="1"/>
        <s v="12:38:20 à 13:38:19" u="1"/>
        <s v="17:36:51 à 18:32:58" u="1"/>
        <s v="09:36:30 à 10:30:59" u="1"/>
        <s v="13:04:41 à 13:28:20" u="1"/>
        <s v="20:01:10 à 20:01:45" u="1"/>
        <s v="05:56:29 à 07:13:21" u="1"/>
        <s v="12:58:05 à 13:54:25" u="1"/>
        <s v="16:00:48 à 16:48:04" u="1"/>
        <s v="16:22:08 à 16:48:00" u="1"/>
        <s v="11:51:42 à 13:05:37" u="1"/>
        <s v="11:55:27 à 13:29:45" u="1"/>
        <s v="12:09:30 à 12:19:04" u="1"/>
        <s v="16:15:12 à 16:28:13" u="1"/>
        <s v="16:40:00 à 17:27:59" u="1"/>
        <s v="06:02:23 à 06:03:00" u="1"/>
        <s v="07:26:32 à 12:02:04" u="1"/>
        <s v="08:37:56 à 12:11:02" u="1"/>
        <s v="11:14:44 à 13:02:30" u="1"/>
        <s v="15:18:16 à 16:35:13" u="1"/>
        <s v="17:12:54 à 17:13:51" u="1"/>
        <s v="05:47:58 à 06:57:24" u="1"/>
        <s v="12:43:42 à 13:30:49" u="1"/>
        <s v="12:58:08 à 13:54:55" u="1"/>
        <s v="15:22:31 à 16:11:13" u="1"/>
        <s v="10:17:50 à 12:13:13" u="1"/>
        <s v="15:34:02 à 16:31:20" u="1"/>
        <s v="05:54:02 à 06:33:34" u="1"/>
        <s v="12:13:54 à 12:55:31" u="1"/>
        <s v="14:40:12 à 15:26:01" u="1"/>
        <s v="15:10:51 à 15:59:15" u="1"/>
        <s v="16:04:33 à 16:08:56" u="1"/>
        <s v="11:04:58 à 11:06:09" u="1"/>
        <s v="12:05:50 à 12:55:43" u="1"/>
        <s v="12:29:47 à 12:51:30" u="1"/>
        <s v="16:16:25 à 16:20:45" u="1"/>
        <s v="16:38:35 à 16:40:40" u="1"/>
        <s v="19:16:59 à 19:24:29" u="1"/>
        <s v="19:21:41 à 19:24:37" u="1"/>
        <s v="08:13:42 à 09:18:41" u="1"/>
        <s v="11:21:25 à 11:26:24" u="1"/>
        <s v="11:24:10 à 11:26:24" u="1"/>
        <s v="15:46:10 à 15:51:21" u="1"/>
        <s v="16:01:33 à 15:44:39" u="1"/>
        <s v="10:17:34 à 11:57:34" u="1"/>
        <s v="14:16:59 à 15:02:39" u="1"/>
        <s v="15:04:40 à 15:39:58" u="1"/>
        <s v="08:10:39 à 09:54:50" u="1"/>
        <s v="11:26:17 à 11:26:44" u="1"/>
        <s v="12:37:27 à 14:48:15" u="1"/>
        <s v="13:36:53 à 15:13:44" u="1"/>
        <s v="15:36:43 à 15:51:43" u="1"/>
        <s v="19:23:21 à 20:22:13" u="1"/>
        <s v="08:12:14 à 08:38:34" u="1"/>
        <s v="10:06:17 à 11:17:58" u="1"/>
        <s v="11:34:25 à 11:42:42" u="1"/>
        <s v="09:59:03 à 13:17:09" u="1"/>
        <s v="12:51:07 à 14:00:15" u="1"/>
        <s v="12:56:55 à 14:28:32" u="1"/>
        <s v="14:24:10 à 14:46:48" u="1"/>
        <s v="05:27:19 à 07:07:17" u="1"/>
        <s v="07:36:52 à 08:25:51" u="1"/>
        <s v="09:45:10 à 10:04:58" u="1"/>
        <s v="09:48:38 à 10:40:57" u="1"/>
        <s v="12:07:04 à 13:25:11" u="1"/>
        <s v="12:14:35 à 13:05:20" u="1"/>
        <s v="12:51:28 à 13:40:17" u="1"/>
        <s v="15:18:30 à 16:09:04" u="1"/>
        <s v="17:04:57 à 17:47:41" u="1"/>
        <s v="15:18:54 à 16:45:03" u="1"/>
        <s v="15:31:17 à 16:25:10" u="1"/>
        <s v="11:22:20 à 12:12:02" u="1"/>
        <s v="11:36:06 à 12:12:00" u="1"/>
        <s v="11:56:51 à 12:55:19" u="1"/>
        <s v="12:02:30 à 12:49:23" u="1"/>
        <s v="16:08:28 à 16:54:25" u="1"/>
        <s v="16:57:23 à 22:08:34" u="1"/>
        <s v="11:15:11 à 13:12:50" u="1"/>
        <s v="16:08:29 à 16:58:44" u="1"/>
        <s v="18:44:42 à 19:09:13" u="1"/>
        <s v="19:08:40 à 19:58:19" u="1"/>
        <s v="05:40:45 à 06:47:45" u="1"/>
        <s v="09:53:06 à 09:56:18" u="1"/>
        <s v="09:55:09 à 09:56:18" u="1"/>
        <s v="08:23:01 à 09:08:20" u="1"/>
        <s v="11:11:25 à 11:16:07" u="1"/>
        <s v="15:20:24 à 15:21:07" u="1"/>
        <s v="15:26:57 à 16:01:44" u="1"/>
        <s v="15:44:19 à 15:45:11" u="1"/>
        <s v="16:27:45 à 16:34:52" u="1"/>
        <s v="19:30:12 à 19:30:16" u="1"/>
        <s v="08:10:37 à 11:09:39" u="1"/>
        <s v="08:00:26 à 09:00:26" u="1"/>
        <s v="14:30:07 à 15:52:23" u="1"/>
        <s v="20:56:24 à 21:00:18" u="1"/>
        <s v="08:58:56 à 09:43:49" u="1"/>
        <s v="09:20:23 à 11:30:38" u="1"/>
        <s v="14:32:43 à 15:32:34" u="1"/>
        <s v="18:03:45 à 20:47:15" u="1"/>
        <s v="10:33:41 à 11:23:33" u="1"/>
        <s v="13:44:30 à 14:27:15" u="1"/>
        <s v="14:31:17 à 14:32:08" u="1"/>
        <s v="05:48:10 à 10:30:07" u="1"/>
        <s v="11:53:13 à 14:01:15" u="1"/>
        <s v="16:57:08 à 18:03:36" u="1"/>
        <s v="13:01:50 à 13:48:00" u="1"/>
        <s v="07:54:46 à 10:32:45" u="1"/>
        <s v="08:04:18 à 08:04:59" u="1"/>
        <s v="08:49:16 à 10:25:57" u="1"/>
        <s v="08:57:21 à 10:05:56" u="1"/>
        <s v="09:38:04 à 10:34:59" u="1"/>
        <s v="09:58:42 à 10:10:47" u="1"/>
        <s v="10:31:39 à 14:16:47" u="1"/>
        <s v="12:49:13 à 14:18:55" u="1"/>
        <s v="12:54:12 à 13:18:17" u="1"/>
        <s v="13:04:24 à 13:48:20" u="1"/>
        <s v="13:42:14 à 14:03:57" u="1"/>
        <s v="20:03:26 à 20:05:55" u="1"/>
        <s v="20:19:17 à 20:21:43" u="1"/>
        <s v="05:58:55 à 07:13:22" u="1"/>
        <s v="05:34:51 à 06:37:08" u="1"/>
        <s v="12:00:06 à 13:39:40" u="1"/>
        <s v="17:06:14 à 17:53:42" u="1"/>
        <s v="16:31:11 à 16:40:01" u="1"/>
        <s v="08:38:58 à 11:59:03" u="1"/>
        <s v="12:58:39 à 13:50:57" u="1"/>
        <s v="15:04:55 à 16:15:37" u="1"/>
        <s v="16:35:07 à 16:40:21" u="1"/>
        <s v="11:13:18 à 12:02:25" u="1"/>
        <s v="12:19:12 à 12:55:32" u="1"/>
        <s v="16:15:51 à 16:40:35" u="1"/>
        <s v="19:47:44 à 19:48:22" u="1"/>
        <s v="07:20:31 à 09:09:20" u="1"/>
        <s v="16:00:04 à 16:00:49" u="1"/>
        <s v="16:00:04 à 16:44:56" u="1"/>
        <s v="09:13:15 à 09:47:31" u="1"/>
        <s v="10:42:54 à 11:33:01" u="1"/>
        <s v="11:22:48 à 12:02:53" u="1"/>
        <s v="07:36:21 à 08:09:12" u="1"/>
        <s v="09:01:12 à 10:05:01" u="1"/>
        <s v="11:01:05 à 11:42:29" u="1"/>
        <s v="13:32:23 à 15:57:42" u="1"/>
        <s v="18:06:48 à 18:32:00" u="1"/>
        <s v="09:58:36 à 10:00:08" u="1"/>
        <s v="17:42:53 à 18:06:28" u="1"/>
        <s v="08:22:26 à 09:30:51" u="1"/>
        <s v="10:13:47 à 11:33:47" u="1"/>
        <s v="10:35:46 à 11:53:42" u="1"/>
        <s v="10:40:36 à 11:33:41" u="1"/>
        <s v="10:56:19 à 10:57:11" u="1"/>
        <s v="11:06:12 à 11:26:59" u="1"/>
        <s v="11:19:30 à 11:22:48" u="1"/>
        <s v="13:56:57 à 15:13:51" u="1"/>
        <s v="08:02:20 à 08:50:28" u="1"/>
        <s v="08:04:45 à 08:54:37" u="1"/>
        <s v="09:50:32 à 10:24:36" u="1"/>
        <s v="09:59:45 à 10:48:44" u="1"/>
        <s v="10:51:37 à 10:57:21" u="1"/>
        <s v="11:03:45 à 11:42:59" u="1"/>
        <s v="17:59:23 à 18:46:44" u="1"/>
        <s v="09:15:56 à 10:01:30" u="1"/>
        <s v="11:57:12 à 14:31:24" u="1"/>
        <s v="17:00:31 à 17:47:12" u="1"/>
        <s v="07:49:11 à 08:41:40" u="1"/>
        <s v="09:55:39 à 10:44:55" u="1"/>
        <s v="10:23:41 à 10:33:39" u="1"/>
        <s v="13:47:19 à 14:53:55" u="1"/>
        <s v="13:50:33 à 14:33:54" u="1"/>
        <s v="05:32:46 à 06:43:09" u="1"/>
        <s v="12:10:20 à 13:01:32" u="1"/>
        <s v="15:14:27 à 17:21:42" u="1"/>
        <s v="16:28:49 à 16:30:04" u="1"/>
        <s v="05:51:07 à 07:03:53" u="1"/>
        <s v="15:21:57 à 16:05:24" u="1"/>
        <s v="15:24:36 à 16:45:22" u="1"/>
        <s v="18:33:19 à 19:29:05" u="1"/>
        <s v="18:58:34 à 19:29:01" u="1"/>
        <s v="12:07:29 à 12:41:16" u="1"/>
        <s v="15:33:06 à 16:45:30" u="1"/>
        <s v="16:18:49 à 16:58:43" u="1"/>
        <s v="09:28:35 à 11:54:07" u="1"/>
        <s v="08:29:50 à 12:21:45" u="1"/>
        <s v="09:28:58 à 11:58:26" u="1"/>
        <s v="11:28:45 à 12:12:33" u="1"/>
        <s v="11:34:07 à 11:36:03" u="1"/>
        <s v="14:38:18 à 15:56:13" u="1"/>
        <s v="16:03:25 à 16:10:49" u="1"/>
        <s v="08:31:55 à 09:20:10" u="1"/>
        <s v="15:20:48 à 15:21:18" u="1"/>
        <s v="11:01:25 à 11:56:28" u="1"/>
        <s v="11:05:23 à 12:32:56" u="1"/>
        <s v="09:42:50 à 11:30:35" u="1"/>
        <s v="09:54:13 à 10:38:15" u="1"/>
        <s v="09:57:46 à 10:38:15" u="1"/>
        <s v="17:41:22 à 18:32:08" u="1"/>
        <s v="07:22:16 à 08:31:05" u="1"/>
        <s v="08:12:54 à 09:00:45" u="1"/>
        <s v="09:01:27 à 09:53:54" u="1"/>
        <s v="14:29:29 à 15:16:57" u="1"/>
        <s v="13:31:06 à 14:47:27" u="1"/>
        <s v="16:04:44 à 18:40:10" u="1"/>
        <s v="15:57:31 à 18:18:45" u="1"/>
        <s v="04:29:48 à 04:31:24" u="1"/>
        <s v="13:00:10 à 13:48:11" u="1"/>
        <s v="16:10:43 à 17:28:21" u="1"/>
        <s v="23:37:11 à 23:41:04" u="1"/>
        <s v="12:14:22 à 13:51:00" u="1"/>
        <s v="12:17:07 à 13:35:10" u="1"/>
        <s v="14:04:08 à 17:46:22" u="1"/>
        <s v="16:07:39 à 17:00:26" u="1"/>
        <s v="05:58:39 à 07:17:42" u="1"/>
        <s v="08:09:41 à 13:59:52" u="1"/>
        <s v="12:05:06 à 13:35:32" u="1"/>
        <s v="12:14:02 à 12:19:04" u="1"/>
        <s v="16:06:53 à 16:08:18" u="1"/>
        <s v="16:17:35 à 17:20:33" u="1"/>
        <s v="16:50:00 à 17:47:58" u="1"/>
        <s v="23:28:02 à 23:29:55" u="1"/>
        <s v="12:12:09 à 12:15:05" u="1"/>
        <s v="12:05:53 à 12:11:08" u="1"/>
        <s v="12:10:20 à 12:55:13" u="1"/>
        <s v="14:22:22 à 16:06:24" u="1"/>
        <s v="16:04:34 à 16:08:38" u="1"/>
        <s v="16:14:00 à 17:40:52" u="1"/>
        <s v="11:23:39 à 12:22:13" u="1"/>
        <s v="12:24:27 à 13:11:50" u="1"/>
        <s v="12:25:14 à 13:11:50" u="1"/>
        <s v="16:02:39 à 16:08:48" u="1"/>
        <s v="08:41:41 à 16:04:42" u="1"/>
        <s v="12:03:59 à 16:28:46" u="1"/>
        <s v="16:00:42 à 16:04:49" u="1"/>
        <s v="09:59:10 à 11:08:23" u="1"/>
        <s v="10:23:05 à 11:37:05" u="1"/>
        <s v="11:29:59 à 12:06:53" u="1"/>
        <s v="11:46:44 à 21:49:28" u="1"/>
        <s v="12:51:59 à 15:04:12" u="1"/>
        <s v="13:52:07 à 15:13:12" u="1"/>
        <s v="08:06:49 à 09:54:34" u="1"/>
        <s v="08:38:22 à 09:30:20" u="1"/>
        <s v="10:56:02 à 15:22:11" u="1"/>
        <s v="07:16:24 à 08:25:07" u="1"/>
        <s v="16:41:24 à 18:37:17" u="1"/>
        <s v="18:35:41 à 18:59:28" u="1"/>
        <s v="08:06:18 à 09:14:56" u="1"/>
        <s v="08:19:25 à 09:10:45" u="1"/>
        <s v="08:32:11 à 11:11:48" u="1"/>
        <s v="12:56:17 à 14:44:04" u="1"/>
        <s v="17:06:19 à 18:03:12" u="1"/>
        <s v="08:14:56 à 08:58:35" u="1"/>
        <s v="13:43:52 à 14:57:25" u="1"/>
        <s v="13:52:31 à 14:37:24" u="1"/>
        <s v="14:01:31 à 14:03:11" u="1"/>
        <s v="14:33:04 à 15:22:56" u="1"/>
        <s v="07:41:00 à 08:29:40" u="1"/>
        <s v="12:55:26 à 14:28:34" u="1"/>
        <s v="20:14:14 à 20:15:24" u="1"/>
        <s v="16:06:22 à 17:58:12" u="1"/>
        <s v="08:00:57 à 08:50:49" u="1"/>
        <s v="08:08:12 à 08:54:58" u="1"/>
        <s v="11:00:24 à 18:05:40" u="1"/>
        <s v="05:58:31 à 07:03:14" u="1"/>
        <s v="08:29:37 à 08:30:56" u="1"/>
        <s v="16:14:08 à 17:10:14" u="1"/>
        <s v="12:57:46 à 13:28:38" u="1"/>
        <s v="16:26:29 à 17:14:31" u="1"/>
        <s v="16:13:18 à 16:14:07" u="1"/>
        <s v="16:13:20 à 16:14:07" u="1"/>
        <s v="06:54:11 à 07:12:44" u="1"/>
        <s v="11:13:32 à 12:16:05" u="1"/>
        <s v="15:23:06 à 16:29:23" u="1"/>
        <s v="11:35:34 à 12:52:00" u="1"/>
        <s v="12:06:44 à 12:45:16" u="1"/>
        <s v="16:30:00 à 16:38:31" u="1"/>
        <s v="05:42:10 à 06:43:38" u="1"/>
        <s v="08:03:22 à 09:28:15" u="1"/>
        <s v="09:24:40 à 09:53:01" u="1"/>
        <s v="15:23:01 à 16:29:53" u="1"/>
        <s v="16:05:48 à 16:54:47" u="1"/>
        <s v="08:19:29 à 09:20:05" u="1"/>
        <s v="08:37:40 à 09:20:01" u="1"/>
        <s v="08:45:37 à 12:41:41" u="1"/>
        <s v="11:16:43 à 11:56:07" u="1"/>
        <s v="13:32:09 à 15:43:05" u="1"/>
        <s v="13:50:30 à 15:07:12" u="1"/>
        <s v="14:25:14 à 15:12:09" u="1"/>
        <s v="17:31:35 à 19:16:27" u="1"/>
        <s v="18:36:35 à 19:25:27" u="1"/>
        <s v="16:47:35 à 19:07:35" u="1"/>
        <s v="08:27:53 à 09:20:23" u="1"/>
        <s v="08:38:19 à 09:00:22" u="1"/>
        <s v="09:32:56 à 09:33:30" u="1"/>
        <s v="16:37:44 à 19:27:46" u="1"/>
        <s v="18:59:22 à 19:01:35" u="1"/>
        <s v="10:44:41 à 11:27:32" u="1"/>
        <s v="18:31:39 à 19:01:49" u="1"/>
        <s v="05:23:50 à 05:24:41" u="1"/>
        <s v="06:59:06 à 08:06:10" u="1"/>
        <s v="07:32:05 à 08:19:23" u="1"/>
        <s v="08:00:55 à 10:22:02" u="1"/>
        <s v="08:58:47 à 10:41:07" u="1"/>
        <s v="09:41:45 à 10:54:18" u="1"/>
        <s v="10:41:26 à 10:47:05" u="1"/>
        <s v="12:38:22 à 15:58:53" u="1"/>
        <s v="13:58:21 à 14:47:14" u="1"/>
        <s v="10:47:43 à 11:47:51" u="1"/>
        <s v="13:03:38 à 14:00:02" u="1"/>
        <s v="12:02:23 à 20:41:17" u="1"/>
        <s v="16:52:45 à 17:47:09" u="1"/>
        <s v="17:10:48 à 17:57:01" u="1"/>
        <s v="17:54:59 à 17:56:09" u="1"/>
        <s v="08:57:09 à 10:41:37" u="1"/>
        <s v="12:45:50 à 14:30:28" u="1"/>
        <s v="13:00:08 à 14:24:30" u="1"/>
        <s v="13:54:33 à 14:43:35" u="1"/>
        <s v="00:18:51 à 00:22:26" u="1"/>
        <s v="12:00:19 à 13:19:13" u="1"/>
        <s v="13:56:51 à 14:47:54" u="1"/>
        <s v="00:23:48 à 00:26:43" u="1"/>
        <s v="12:02:00 à 13:31:04" u="1"/>
        <s v="15:32:18 à 17:11:10" u="1"/>
        <s v="16:12:12 à 17:24:23" u="1"/>
        <s v="16:39:59 à 17:04:20" u="1"/>
        <s v="15:37:32 à 16:59:00" u="1"/>
        <s v="16:33:13 à 17:04:30" u="1"/>
        <s v="15:20:06 à 16:15:05" u="1"/>
        <s v="11:37:29 à 12:26:01" u="1"/>
        <s v="15:27:27 à 16:35:14" u="1"/>
        <s v="16:21:57 à 16:24:25" u="1"/>
        <s v="19:44:45 à 19:48:04" u="1"/>
        <s v="11:21:43 à 13:22:50" u="1"/>
        <s v="05:15:51 à 05:58:01" u="1"/>
        <s v="15:16:51 à 16:55:45" u="1"/>
        <s v="16:17:22 à 16:40:37" u="1"/>
        <s v="06:01:39 à 06:03:43" u="1"/>
        <s v="09:10:38 à 09:27:24" u="1"/>
        <s v="11:18:30 à 12:46:44" u="1"/>
        <s v="13:23:57 à 15:13:09" u="1"/>
        <s v="09:57:56 à 11:44:23" u="1"/>
        <s v="14:47:08 à 15:42:14" u="1"/>
        <s v="15:15:22 à 16:11:58" u="1"/>
        <s v="15:20:52 à 16:11:56" u="1"/>
        <s v="15:24:28 à 15:59:36" u="1"/>
        <s v="19:00:32 à 19:01:20" u="1"/>
        <s v="12:01:13 à 12:31:58" u="1"/>
        <s v="09:04:23 à 10:29:11" u="1"/>
        <s v="05:10:06 à 05:10:35" u="1"/>
        <s v="08:12:42 à 09:10:46" u="1"/>
        <s v="08:18:28 à 08:18:28" u="1"/>
        <s v="08:38:48 à 09:34:50" u="1"/>
        <s v="09:58:32 à 11:20:45" u="1"/>
        <s v="10:35:37 à 11:13:36" u="1"/>
        <s v="13:56:12 à 14:33:06" u="1"/>
        <s v="05:14:21 à 05:14:54" u="1"/>
        <s v="08:19:35 à 09:10:56" u="1"/>
        <s v="09:57:36 à 10:44:27" u="1"/>
        <s v="14:42:49 à 14:46:37" u="1"/>
        <s v="18:03:20 à 18:52:31" u="1"/>
        <s v="10:32:09 à 10:33:29" u="1"/>
        <s v="16:54:37 à 18:57:55" u="1"/>
        <s v="15:19:34 à 17:29:22" u="1"/>
        <s v="23:29:04 à 23:35:17" u="1"/>
        <s v="07:52:48 à 08:41:50" u="1"/>
        <s v="09:39:35 à 13:34:20" u="1"/>
        <s v="12:19:31 à 13:05:13" u="1"/>
        <s v="13:05:11 à 13:50:04" u="1"/>
        <s v="16:25:36 à 17:14:22" u="1"/>
        <s v="12:02:28 à 13:21:15" u="1"/>
        <s v="05:33:18 à 12:58:01" u="1"/>
        <s v="07:45:51 à 07:49:54" u="1"/>
        <s v="05:57:53 à 07:03:45" u="1"/>
        <s v="13:12:07 à 13:14:43" u="1"/>
        <s v="14:01:25 à 16:36:18" u="1"/>
        <s v="15:06:34 à 16:45:18" u="1"/>
        <s v="15:23:35 à 17:21:42" u="1"/>
        <s v="15:32:38 à 16:21:04" u="1"/>
        <s v="12:07:57 à 12:09:28" u="1"/>
        <s v="16:18:09 à 16:18:37" u="1"/>
        <s v="05:14:23 à 06:24:20" u="1"/>
        <s v="11:38:08 à 12:32:12" u="1"/>
        <s v="12:06:16 à 13:21:55" u="1"/>
        <s v="12:11:07 à 16:34:36" u="1"/>
        <s v="19:30:28 à 19:50:08" u="1"/>
        <s v="07:18:33 à 09:35:14" u="1"/>
        <s v="09:01:17 à 09:57:25" u="1"/>
        <s v="13:30:35 à 15:07:17" u="1"/>
        <s v="21:56:45 à 21:57:17" u="1"/>
        <s v="08:25:23 à 09:20:14" u="1"/>
        <s v="10:37:07 à 11:23:06" u="1"/>
        <s v="14:42:23 à 15:32:15" u="1"/>
        <s v="18:51:50 à 19:49:42" u="1"/>
        <s v="08:20:24 à 09:20:24" u="1"/>
        <s v="08:27:33 à 09:20:24" u="1"/>
        <s v="14:21:48 à 15:16:39" u="1"/>
        <s v="08:25:41 à 09:48:51" u="1"/>
        <s v="11:44:59 à 11:52:33" u="1"/>
        <s v="18:27:03 à 20:03:17" u="1"/>
        <s v="19:48:41 à 19:50:56" u="1"/>
        <s v="08:23:36 à 08:24:27" u="1"/>
        <s v="07:26:18 à 07:59:08" u="1"/>
        <s v="10:58:52 à 11:23:52" u="1"/>
        <s v="09:00:59 à 10:55:41" u="1"/>
        <s v="07:54:48 à 07:55:23" u="1"/>
        <s v="16:25:19 à 17:20:13" u="1"/>
        <s v="17:32:52 à 17:33:30" u="1"/>
        <s v="12:33:28 à 12:39:01" u="1"/>
        <s v="13:02:45 à 13:04:36" u="1"/>
        <s v="16:24:11 à 17:44:41" u="1"/>
        <s v="16:26:58 à 16:28:15" u="1"/>
        <s v="16:29:01 à 16:48:14" u="1"/>
        <s v="23:22:20 à 23:25:48" u="1"/>
        <s v="05:45:19 à 06:57:28" u="1"/>
        <s v="11:01:43 à 12:26:18" u="1"/>
        <s v="13:20:55 à 13:40:41" u="1"/>
        <s v="10:31:59 à 12:17:22" u="1"/>
        <s v="15:12:23 à 15:59:09" u="1"/>
        <s v="16:39:34 à 16:40:24" u="1"/>
        <s v="05:56:48 à 06:37:57" u="1"/>
        <s v="09:01:44 à 11:05:10" u="1"/>
        <s v="09:02:42 à 09:47:26" u="1"/>
        <s v="11:12:56 à 12:02:48" u="1"/>
        <s v="12:02:48 à 12:51:48" u="1"/>
        <s v="08:09:07 à 09:10:29" u="1"/>
        <s v="10:34:23 à 16:02:54" u="1"/>
        <s v="08:40:37 à 09:30:30" u="1"/>
        <s v="09:53:08 à 11:00:37" u="1"/>
        <s v="10:28:09 à 11:13:29" u="1"/>
        <s v="10:59:31 à 11:57:30" u="1"/>
        <s v="14:48:59 à 15:22:36" u="1"/>
        <s v="16:10:14 à 20:15:08" u="1"/>
        <s v="18:15:20 à 18:16:11" u="1"/>
        <s v="08:19:59 à 09:14:56" u="1"/>
        <s v="08:46:26 à 08:50:03" u="1"/>
        <s v="09:31:20 à 09:43:51" u="1"/>
        <s v="14:34:32 à 15:42:47" u="1"/>
        <s v="15:50:31 à 15:51:43" u="1"/>
        <s v="09:29:17 à 10:05:20" u="1"/>
        <s v="10:46:50 à 11:33:44" u="1"/>
        <s v="14:02:08 à 14:03:13" u="1"/>
        <s v="15:33:00 à 15:51:57" u="1"/>
        <s v="08:01:29 à 08:58:59" u="1"/>
        <s v="11:50:43 à 14:55:35" u="1"/>
        <s v="16:05:20 à 17:18:16" u="1"/>
        <s v="20:38:12 à 20:39:40" u="1"/>
        <s v="09:29:45 à 10:21:40" u="1"/>
        <s v="07:01:34 à 07:02:11" u="1"/>
        <s v="07:42:07 à 07:45:26" u="1"/>
        <s v="05:43:14 à 06:47:09" u="1"/>
        <s v="12:23:30 à 12:29:04" u="1"/>
        <s v="06:07:19 à 06:57:11" u="1"/>
        <s v="15:14:08 à 16:05:19" u="1"/>
        <s v="15:53:50 à 16:21:01" u="1"/>
        <s v="11:13:37 à 12:12:08" u="1"/>
        <s v="12:02:25 à 12:49:27" u="1"/>
        <s v="12:16:48 à 13:01:45" u="1"/>
        <s v="12:26:34 à 13:01:43" u="1"/>
        <s v="12:36:53 à 13:01:41" u="1"/>
        <s v="16:23:02 à 17:10:54" u="1"/>
        <s v="16:34:45 à 16:38:33" u="1"/>
        <s v="08:34:54 à 09:28:01" u="1"/>
        <s v="15:22:55 à 16:29:45" u="1"/>
        <s v="16:14:07 à 16:54:37" u="1"/>
        <s v="22:06:22 à 22:07:31" u="1"/>
        <s v="11:39:37 à 12:32:23" u="1"/>
        <s v="15:31:59 à 16:05:45" u="1"/>
        <s v="15:35:45 à 16:01:36" u="1"/>
        <s v="16:14:27 à 16:58:56" u="1"/>
        <s v="09:17:23 à 09:17:26" u="1"/>
        <s v="10:37:03 à 11:27:06" u="1"/>
        <s v="10:50:38 à 11:47:01" u="1"/>
        <s v="11:30:21 à 11:56:05" u="1"/>
        <s v="11:41:21 à 12:12:32" u="1"/>
        <s v="12:52:16 à 15:38:12" u="1"/>
        <s v="14:33:19 à 15:12:09" u="1"/>
        <s v="14:34:35 à 15:56:16" u="1"/>
        <s v="14:41:05 à 16:36:51" u="1"/>
        <s v="15:27:19 à 16:41:46" u="1"/>
        <s v="08:46:02 à 11:09:37" u="1"/>
        <s v="09:02:37 à 15:04:21" u="1"/>
        <s v="05:26:55 à 06:20:50" u="1"/>
        <s v="10:39:28 à 11:27:26" u="1"/>
        <s v="11:28:48 à 11:32:19" u="1"/>
        <s v="17:45:48 à 18:56:09" u="1"/>
        <s v="18:06:43 à 18:26:03" u="1"/>
        <s v="19:31:13 à 19:50:39" u="1"/>
        <s v="07:15:34 à 09:19:55" u="1"/>
        <s v="08:05:36 à 09:08:58" u="1"/>
        <s v="08:23:20 à 08:24:08" u="1"/>
        <s v="08:24:18 à 09:28:53" u="1"/>
        <s v="10:37:36 à 15:16:37" u="1"/>
        <s v="11:51:52 à 11:52:22" u="1"/>
        <s v="13:41:20 à 14:27:09" u="1"/>
        <s v="10:20:24 à 11:07:49" u="1"/>
        <s v="10:20:57 à 11:07:49" u="1"/>
        <s v="11:24:38 à 11:32:39" u="1"/>
        <s v="08:23:46 à 10:22:10" u="1"/>
        <s v="08:43:06 à 09:40:50" u="1"/>
        <s v="07:40:33 à 08:35:33" u="1"/>
        <s v="08:14:05 à 10:02:23" u="1"/>
        <s v="09:58:21 à 10:34:59" u="1"/>
        <s v="13:54:44 à 14:43:47" u="1"/>
        <s v="04:47:03 à 04:51:42" u="1"/>
        <s v="08:19:08 à 10:42:51" u="1"/>
        <s v="12:08:42 à 13:11:07" u="1"/>
        <s v="16:23:41 à 17:20:14" u="1"/>
        <s v="16:13:52 à 17:04:36" u="1"/>
        <s v="05:38:40 à 07:33:39" u="1"/>
        <s v="15:22:31 à 16:15:07" u="1"/>
        <s v="15:31:08 à 16:19:14" u="1"/>
        <s v="03:45:01 à 03:46:45" u="1"/>
        <s v="15:45:13 à 17:11:40" u="1"/>
        <s v="10:28:39 à 12:17:15" u="1"/>
        <s v="11:27:16 à 12:22:06" u="1"/>
        <s v="12:26:25 à 13:11:43" u="1"/>
        <s v="12:38:30 à 12:39:22" u="1"/>
        <s v="12:46:20 à 12:51:01" u="1"/>
        <s v="08:45:51 à 11:19:07" u="1"/>
        <s v="15:20:50 à 16:55:35" u="1"/>
        <s v="15:25:58 à 15:59:08" u="1"/>
        <s v="15:28:24 à 16:19:46" u="1"/>
        <s v="16:04:46 à 16:48:49" u="1"/>
        <s v="09:05:13 à 09:43:08" u="1"/>
        <s v="09:26:38 à 09:27:14" u="1"/>
        <s v="12:46:36 à 16:20:23" u="1"/>
        <s v="15:57:58 à 15:59:12" u="1"/>
        <s v="12:41:06 à 19:53:05" u="1"/>
        <s v="15:20:24 à 16:31:47" u="1"/>
        <s v="16:16:38 à 16:24:59" u="1"/>
        <s v="08:46:36 à 09:10:12" u="1"/>
        <s v="10:47:21 à 11:37:14" u="1"/>
        <s v="10:51:01 à 11:33:03" u="1"/>
        <s v="11:23:03 à 12:06:56" u="1"/>
        <s v="17:28:29 à 21:20:14" u="1"/>
        <s v="14:36:14 à 15:42:28" u="1"/>
        <s v="14:44:30 à 19:39:45" u="1"/>
        <s v="07:42:34 à 08:29:13" u="1"/>
        <s v="08:23:24 à 10:16:00" u="1"/>
        <s v="10:22:31 à 11:37:38" u="1"/>
        <s v="10:44:49 à 11:13:26" u="1"/>
        <s v="11:25:13 à 11:26:39" u="1"/>
        <s v="18:56:47 à 18:59:27" u="1"/>
        <s v="10:43:56 à 11:37:44" u="1"/>
        <s v="10:46:05 à 11:37:44" u="1"/>
        <s v="14:48:00 à 15:22:57" u="1"/>
        <s v="17:13:23 à 18:07:32" u="1"/>
        <s v="07:28:36 à 08:49:46" u="1"/>
        <s v="16:35:04 à 17:18:01" u="1"/>
        <s v="23:58:24 à 23:59:01" u="1"/>
        <s v="07:50:35 à 08:41:32" u="1"/>
        <s v="10:05:53 à 10:54:20" u="1"/>
        <s v="13:00:15 à 14:18:42" u="1"/>
        <s v="13:02:44 à 13:18:06" u="1"/>
        <s v="16:11:48 à 17:34:05" u="1"/>
        <s v="16:56:31 à 18:17:59" u="1"/>
        <s v="07:58:53 à 10:26:59" u="1"/>
        <s v="13:49:15 à 20:48:50" u="1"/>
        <s v="15:47:28 à 17:21:00" u="1"/>
        <s v="17:52:58 à 18:42:59" u="1"/>
        <s v="06:00:00 à 07:13:11" u="1"/>
        <s v="15:31:37 à 16:49:03" u="1"/>
        <s v="16:13:58 à 16:38:08" u="1"/>
        <s v="11:17:01 à 12:16:08" u="1"/>
        <s v="11:26:02 à 12:56:14" u="1"/>
        <s v="12:07:26 à 13:25:56" u="1"/>
        <s v="15:26:30 à 16:09:37" u="1"/>
        <s v="15:57:10 à 16:45:20" u="1"/>
        <s v="05:22:34 à 06:24:20" u="1"/>
        <s v="09:00:07 à 09:57:07" u="1"/>
        <s v="11:57:15 à 12:32:10" u="1"/>
        <s v="12:11:50 à 13:01:56" u="1"/>
        <s v="15:16:21 à 16:09:49" u="1"/>
        <s v="16:38:43 à 16:58:43" u="1"/>
        <s v="08:23:22 à 09:08:15" u="1"/>
        <s v="08:24:24 à 09:28:14" u="1"/>
        <s v="12:12:24 à 16:34:38" u="1"/>
        <s v="14:43:16 à 15:56:05" u="1"/>
        <s v="16:12:33 à 16:58:57" u="1"/>
        <s v="09:13:17 à 09:33:17" u="1"/>
        <s v="09:14:02 à 09:57:25" u="1"/>
        <s v="13:38:45 à 19:36:18" u="1"/>
        <s v="15:51:02 à 16:41:41" u="1"/>
        <s v="11:49:45 à 12:32:52" u="1"/>
        <s v="15:40:06 à 15:41:27" u="1"/>
        <s v="15:40:07 à 15:41:27" u="1"/>
        <s v="08:37:45 à 08:48:15" u="1"/>
        <s v="08:44:04 à 08:44:04" u="1"/>
        <s v="08:47:48 à 09:40:31" u="1"/>
        <s v="08:59:01 à 09:00:31" u="1"/>
        <s v="09:06:02 à 10:35:04" u="1"/>
        <s v="10:50:06 à 11:47:32" u="1"/>
        <s v="07:41:53 à 08:51:04" u="1"/>
        <s v="12:05:03 à 19:20:30" u="1"/>
        <s v="18:17:18 à 19:02:50" u="1"/>
        <s v="07:32:52 à 08:55:25" u="1"/>
        <s v="07:43:33 à 08:31:15" u="1"/>
        <s v="09:25:29 à 10:15:21" u="1"/>
        <s v="17:08:16 à 18:57:32" u="1"/>
        <s v="01:34:47 à 01:35:50" u="1"/>
        <s v="08:57:13 à 10:29:49" u="1"/>
        <s v="10:40:17 à 11:23:56" u="1"/>
        <s v="10:41:31 à 10:43:19" u="1"/>
        <s v="13:12:52 à 14:00:13" u="1"/>
        <s v="08:33:52 à 10:02:30" u="1"/>
        <s v="17:15:53 à 17:17:16" u="1"/>
        <s v="09:28:20 à 10:15:51" u="1"/>
        <s v="09:33:20 à 13:28:22" u="1"/>
        <s v="16:01:56 à 17:08:28" u="1"/>
        <s v="16:09:13 à 17:28:27" u="1"/>
        <s v="12:24:44 à 13:11:04" u="1"/>
        <s v="13:19:58 à 14:40:41" u="1"/>
        <s v="16:25:09 à 17:24:24" u="1"/>
        <s v="17:16:21 à 17:53:25" u="1"/>
        <s v="03:38:29 à 03:42:19" u="1"/>
        <s v="09:43:37 à 13:08:41" u="1"/>
        <s v="11:25:58 à 13:06:23" u="1"/>
        <s v="13:02:10 à 14:40:53" u="1"/>
        <s v="15:20:10 à 16:59:05" u="1"/>
        <s v="16:23:12 à 17:00:26" u="1"/>
        <s v="17:01:57 à 17:37:47" u="1"/>
        <s v="12:13:29 à 13:31:25" u="1"/>
        <s v="15:24:00 à 16:19:17" u="1"/>
        <s v="16:34:50 à 17:24:42" u="1"/>
        <s v="16:35:14 à 16:48:14" u="1"/>
        <s v="17:37:08 à 17:37:51" u="1"/>
        <s v="12:15:23 à 12:59:16" u="1"/>
        <s v="16:31:34 à 16:40:16" u="1"/>
        <s v="11:50:50 à 12:02:12" u="1"/>
        <s v="15:41:26 à 16:31:24" u="1"/>
        <s v="09:52:42 à 11:24:07" u="1"/>
        <s v="11:29:57 à 12:02:28" u="1"/>
        <s v="12:29:15 à 12:51:26" u="1"/>
        <s v="15:20:29 à 15:59:19" u="1"/>
        <s v="08:11:00 à 09:58:25" u="1"/>
        <s v="12:14:41 à 12:59:56" u="1"/>
        <s v="08:26:29 à 09:30:16" u="1"/>
        <s v="08:36:24 à 09:38:32" u="1"/>
        <s v="14:45:11 à 19:15:28" u="1"/>
        <s v="16:38:51 à 16:40:56" u="1"/>
        <s v="16:39:00 à 16:40:56" u="1"/>
        <s v="08:04:48 à 09:18:49" u="1"/>
        <s v="09:58:13 à 11:24:37" u="1"/>
        <s v="14:21:04 à 21:53:22" u="1"/>
        <s v="08:58:06 à 10:39:19" u="1"/>
        <s v="15:35:22 à 15:35:49" u="1"/>
        <s v="17:08:14 à 18:03:06" u="1"/>
        <s v="08:24:45 à 09:30:46" u="1"/>
        <s v="10:15:30 à 10:18:00" u="1"/>
        <s v="10:49:46 à 11:33:36" u="1"/>
        <s v="13:25:29 à 14:14:00" u="1"/>
        <s v="13:58:04 à 14:17:19" u="1"/>
        <s v="15:54:23 à 15:55:54" u="1"/>
        <s v="18:54:04 à 18:55:29" u="1"/>
        <s v="08:08:01 à 10:12:16" u="1"/>
        <s v="07:41:51 à 08:25:35" u="1"/>
        <s v="11:02:38 à 11:03:50" u="1"/>
        <s v="13:51:53 à 14:33:29" u="1"/>
        <s v="09:15:47 à 10:09:53" u="1"/>
        <s v="13:57:59 à 14:57:47" u="1"/>
        <s v="17:00:00 à 17:43:08" u="1"/>
        <s v="00:33:10 à 00:36:34" u="1"/>
        <s v="06:55:32 à 07:36:16" u="1"/>
        <s v="10:09:14 à 14:23:33" u="1"/>
        <s v="10:16:42 à 10:18:40" u="1"/>
        <s v="12:06:43 à 13:25:07" u="1"/>
        <s v="16:25:26 à 17:10:06" u="1"/>
        <s v="17:28:25 à 17:47:23" u="1"/>
        <s v="15:18:03 à 17:25:36" u="1"/>
        <s v="15:41:42 à 16:25:04" u="1"/>
        <s v="16:23:48 à 16:38:17" u="1"/>
        <s v="17:14:34 à 17:47:55" u="1"/>
        <s v="12:37:29 à 13:29:50" u="1"/>
        <s v="12:28:37 à 13:45:52" u="1"/>
        <s v="12:39:04 à 12:41:05" u="1"/>
        <s v="16:14:25 à 16:54:29" u="1"/>
        <s v="18:55:09 à 19:09:07" u="1"/>
        <s v="05:19:19 à 06:24:23" u="1"/>
        <s v="09:44:15 à 11:18:09" u="1"/>
        <s v="11:27:41 à 12:12:18" u="1"/>
        <s v="12:30:26 à 12:45:24" u="1"/>
        <s v="15:32:52 à 16:29:45" u="1"/>
        <s v="15:40:25 à 16:25:34" u="1"/>
        <s v="19:57:05 à 19:58:15" u="1"/>
        <s v="14:42:15 à 15:36:07" u="1"/>
        <s v="05:51:48 à 06:47:59" u="1"/>
        <s v="08:40:58 à 09:04:13" u="1"/>
        <s v="09:59:55 à 11:10:09" u="1"/>
        <s v="12:19:10 à 12:41:39" u="1"/>
        <s v="08:15:42 à 09:04:29" u="1"/>
        <s v="09:59:25 à 11:10:19" u="1"/>
        <s v="19:13:21 à 19:15:30" u="1"/>
        <s v="08:16:48 à 09:08:48" u="1"/>
        <s v="12:40:57 à 12:41:53" u="1"/>
        <s v="18:04:28 à 18:26:05" u="1"/>
        <s v="19:58:15 à 19:58:55" u="1"/>
        <s v="07:51:03 à 08:35:03" u="1"/>
        <s v="08:40:32 à 09:40:32" u="1"/>
        <s v="15:06:11 à 15:06:41" u="1"/>
        <s v="17:36:35 à 18:13:00" u="1"/>
        <s v="08:04:33 à 10:06:16" u="1"/>
        <s v="08:20:04 à 09:04:57" u="1"/>
        <s v="10:33:39 à 11:43:38" u="1"/>
        <s v="10:54:41 à 11:23:35" u="1"/>
        <s v="11:51:55 à 11:52:34" u="1"/>
        <s v="13:22:11 à 14:08:10" u="1"/>
        <s v="14:07:12 à 14:57:12" u="1"/>
        <s v="14:08:06 à 14:33:04" u="1"/>
        <s v="07:35:23 à 08:31:18" u="1"/>
        <s v="10:58:45 à 11:43:44" u="1"/>
        <s v="17:20:01 à 18:17:31" u="1"/>
        <s v="13:17:19 à 14:00:14" u="1"/>
        <s v="18:03:57 à 18:46:44" u="1"/>
        <s v="07:39:26 à 08:11:39" u="1"/>
        <s v="08:09:47 à 10:06:46" u="1"/>
        <s v="08:25:32 à 10:02:33" u="1"/>
        <s v="14:13:31 à 14:53:31" u="1"/>
        <s v="17:07:15 à 18:17:55" u="1"/>
        <s v="17:27:05 à 18:13:42" u="1"/>
        <s v="17:26:11 à 18:13:52" u="1"/>
        <s v="11:42:34 à 13:22:00" u="1"/>
        <s v="12:20:00 à 13:11:05" u="1"/>
        <s v="13:13:29 à 14:04:53" u="1"/>
        <s v="16:49:28 à 17:44:20" u="1"/>
        <s v="10:00:32 à 10:44:52" u="1"/>
        <s v="16:30:25 à 17:00:25" u="1"/>
        <s v="08:19:02 à 13:39:56" u="1"/>
        <s v="17:05:02 à 17:53:48" u="1"/>
        <s v="17:36:22 à 17:57:51" u="1"/>
        <s v="15:19:14 à 16:59:28" u="1"/>
        <s v="15:52:28 à 16:39:21" u="1"/>
        <s v="16:29:51 à 17:04:56" u="1"/>
        <s v="12:30:42 à 12:35:15" u="1"/>
        <s v="14:38:01 à 16:22:17" u="1"/>
        <s v="19:06:57 à 19:09:02" u="1"/>
        <s v="11:31:53 à 12:22:16" u="1"/>
        <s v="11:37:39 à 13:22:52" u="1"/>
        <s v="11:46:56 à 12:46:22" u="1"/>
        <s v="12:42:05 à 12:51:13" u="1"/>
        <s v="15:25:01 à 16:15:49" u="1"/>
        <s v="15:36:43 à 16:51:36" u="1"/>
        <s v="07:59:47 à 09:09:20" u="1"/>
        <s v="08:22:23 à 09:18:26" u="1"/>
        <s v="08:37:52 à 09:14:15" u="1"/>
        <s v="13:20:24 à 16:53:47" u="1"/>
        <s v="14:05:45 à 15:27:10" u="1"/>
        <s v="08:33:13 à 09:30:15" u="1"/>
        <s v="09:16:52 à 11:25:20" u="1"/>
        <s v="18:44:36 à 19:19:49" u="1"/>
        <s v="09:12:31 à 09:23:39" u="1"/>
        <s v="14:55:36 à 15:42:26" u="1"/>
        <s v="08:28:09 à 09:30:37" u="1"/>
        <s v="09:35:45 à 10:05:01" u="1"/>
        <s v="18:26:11 à 18:36:11" u="1"/>
        <s v="07:38:57 à 08:21:09" u="1"/>
        <s v="07:48:43 à 08:05:17" u="1"/>
        <s v="08:17:08 à 09:14:59" u="1"/>
        <s v="08:34:51 à 09:30:45" u="1"/>
        <s v="09:22:54 à 10:25:12" u="1"/>
        <s v="09:11:16 à 10:01:16" u="1"/>
        <s v="13:12:06 à 14:10:04" u="1"/>
        <s v="18:14:40 à 18:16:34" u="1"/>
        <s v="20:14:08 à 20:15:19" u="1"/>
        <s v="10:51:54 à 10:53:18" u="1"/>
        <s v="01:20:42 à 01:21:55" u="1"/>
        <s v="10:20:58 à 10:30:10" u="1"/>
        <s v="13:27:49 à 14:18:40" u="1"/>
        <s v="15:47:50 à 17:05:02" u="1"/>
        <s v="17:15:26 à 17:23:08" u="1"/>
        <s v="18:21:23 à 18:52:41" u="1"/>
        <s v="09:22:57 à 10:05:53" u="1"/>
        <s v="16:25:55 à 17:34:15" u="1"/>
        <s v="16:41:07 à 17:34:11" u="1"/>
        <s v="17:23:24 à 18:03:53" u="1"/>
        <s v="18:02:54 à 18:52:55" u="1"/>
        <s v="12:11:09 à 13:05:17" u="1"/>
        <s v="12:31:40 à 13:29:21" u="1"/>
        <s v="13:26:17 à 14:14:51" u="1"/>
        <s v="16:33:39 à 17:18:33" u="1"/>
        <s v="16:48:48 à 17:14:22" u="1"/>
        <s v="10:59:48 à 23:26:25" u="1"/>
        <s v="12:15:14 à 13:41:16" u="1"/>
        <s v="12:41:25 à 13:25:20" u="1"/>
        <s v="13:15:14 à 14:10:54" u="1"/>
        <s v="13:26:57 à 13:30:15" u="1"/>
        <s v="16:34:04 à 17:38:42" u="1"/>
        <s v="16:38:42 à 17:30:24" u="1"/>
        <s v="16:28:33 à 17:18:55" u="1"/>
        <s v="06:07:00 à 06:13:07" u="1"/>
        <s v="11:25:06 à 12:36:07" u="1"/>
        <s v="14:51:31 à 16:36:12" u="1"/>
        <s v="11:29:28 à 12:12:09" u="1"/>
        <s v="12:16:50 à 13:05:57" u="1"/>
        <s v="15:25:05 à 17:01:57" u="1"/>
        <s v="15:34:26 à 16:25:27" u="1"/>
        <s v="08:38:35 à 09:28:04" u="1"/>
        <s v="11:22:32 à 12:16:28" u="1"/>
        <s v="15:30:47 à 16:21:28" u="1"/>
        <s v="15:35:37 à 16:25:37" u="1"/>
        <s v="16:49:13 à 16:50:25" u="1"/>
        <s v="07:41:18 à 09:19:12" u="1"/>
        <s v="11:36:16 à 12:16:36" u="1"/>
        <s v="14:47:15 à 15:36:08" u="1"/>
        <s v="05:33:56 à 06:40:30" u="1"/>
        <s v="08:29:06 à 09:48:25" u="1"/>
        <s v="09:21:54 à 09:57:25" u="1"/>
        <s v="14:48:40 à 15:32:09" u="1"/>
        <s v="05:48:12 à 05:48:20" u="1"/>
        <s v="08:40:14 à 09:44:22" u="1"/>
        <s v="06:09:04 à 15:17:32" u="1"/>
        <s v="12:05:57 à 15:31:11" u="1"/>
        <s v="09:13:39 à 10:19:14" u="1"/>
        <s v="16:01:10 à 18:04:07" u="1"/>
        <s v="08:14:22 à 10:06:15" u="1"/>
        <s v="13:59:55 à 15:03:48" u="1"/>
        <s v="19:50:27 à 19:50:58" u="1"/>
        <s v="08:39:12 à 08:48:37" u="1"/>
        <s v="09:22:47 à 14:44:22" u="1"/>
        <s v="10:34:21 à 11:43:49" u="1"/>
        <s v="10:51:17 à 11:43:45" u="1"/>
        <s v="10:06:18 à 11:00:42" u="1"/>
        <s v="20:28:18 à 20:29:36" u="1"/>
        <s v="08:15:16 à 14:19:54" u="1"/>
        <s v="12:44:07 à 13:19:00" u="1"/>
        <s v="14:09:28 à 18:26:45" u="1"/>
        <s v="16:13:59 à 18:44:43" u="1"/>
        <s v="16:29:13 à 18:40:32" u="1"/>
        <s v="17:21:38 à 20:54:48" u="1"/>
        <s v="06:05:40 à 07:07:13" u="1"/>
        <s v="07:10:33 à 07:12:12" u="1"/>
        <s v="12:27:24 à 13:19:24" u="1"/>
        <s v="12:28:30 à 13:19:24" u="1"/>
        <s v="13:09:05 à 14:44:54" u="1"/>
        <s v="15:35:28 à 16:39:06" u="1"/>
        <s v="15:44:13 à 16:39:04" u="1"/>
        <s v="16:19:41 à 17:04:39" u="1"/>
        <s v="12:23:39 à 13:11:26" u="1"/>
        <s v="15:42:53 à 17:15:42" u="1"/>
        <s v="15:46:34 à 16:35:05" u="1"/>
        <s v="15:47:50 à 17:11:33" u="1"/>
        <s v="13:43:52 à 13:44:40" u="1"/>
        <s v="15:39:44 à 17:11:45" u="1"/>
        <s v="12:12:33 à 13:15:57" u="1"/>
        <s v="12:23:29 à 13:11:46" u="1"/>
        <s v="08:56:35 à 11:19:08" u="1"/>
        <s v="12:37:40 à 12:39:35" u="1"/>
        <s v="08:25:12 à 09:18:17" u="1"/>
        <s v="14:56:14 à 15:46:06" u="1"/>
        <s v="15:40:53 à 16:35:45" u="1"/>
        <s v="06:07:29 à 06:07:57" u="1"/>
        <s v="08:29:25 à 09:14:18" u="1"/>
        <s v="08:50:50 à 09:14:12" u="1"/>
        <s v="11087963 à 17592593" u="1"/>
        <s v="14:46:42 à 16:46:54" u="1"/>
        <s v="16:18:44 à 21:19:27" u="1"/>
        <s v="08:56:34 à 09:38:30" u="1"/>
        <s v="08:58:46 à 09:50:11" u="1"/>
        <s v="11:05:23 à 11:07:11" u="1"/>
        <s v="08:31:19 à 09:30:26" u="1"/>
        <s v="14:59:49 à 15:46:36" u="1"/>
        <s v="21:28:02 à 21:28:33" u="1"/>
        <s v="14:53:02 à 15:42:37" u="1"/>
        <s v="18:01:08 à 18:12:08" u="1"/>
        <s v="05:14:09 à 05:14:49" u="1"/>
        <s v="09:31:45 à 10:09:21" u="1"/>
        <s v="16:18:35 à 18:14:15" u="1"/>
        <s v="07:55:19 à 08:49:33" u="1"/>
        <s v="09:19:07 à 10:09:35" u="1"/>
        <s v="10:56:53 à 10:57:18" u="1"/>
        <s v="17:02:35 à 18:27:36" u="1"/>
        <s v="20:23:52 à 20:35:17" u="1"/>
        <s v="09:29:09 à 10:21:24" u="1"/>
        <s v="12:26:47 à 14:45:20" u="1"/>
        <s v="13:11:39 à 15:10:51" u="1"/>
        <s v="13:15:37 à 14:10:15" u="1"/>
        <s v="13:59:31 à 14:57:39" u="1"/>
        <s v="17:43:10 à 20:00:28" u="1"/>
        <s v="08:39:40 à 10:32:31" u="1"/>
        <s v="13:12:09 à 14:50:23" u="1"/>
        <s v="16:17:07 à 18:30:35" u="1"/>
        <s v="16:25:44 à 17:18:16" u="1"/>
        <s v="16:49:15 à 17:38:11" u="1"/>
        <s v="09:15:20 à 10:05:56" u="1"/>
        <s v="09:36:03 à 14:14:52" u="1"/>
        <s v="10:05:22 à 10:50:24" u="1"/>
        <s v="16:44:12 à 17:34:12" u="1"/>
        <s v="10:06:59 à 10:54:43" u="1"/>
        <s v="12:42:24 à 13:25:11" u="1"/>
        <s v="13:37:44 à 13:38:22" u="1"/>
        <s v="16:27:38 à 17:14:27" u="1"/>
        <s v="12:12:51 à 13:05:28" u="1"/>
        <s v="12:26:45 à 13:25:25" u="1"/>
        <s v="12:44:08 à 13:25:31" u="1"/>
        <s v="13:01:19 à 13:50:29" u="1"/>
        <s v="08:58:32 à 12:09:25" u="1"/>
        <s v="09:39:39 à 17:23:56" u="1"/>
        <s v="13:14:36 à 13:30:48" u="1"/>
        <s v="16:09:31 à 16:11:10" u="1"/>
        <s v="11:35:26 à 12:16:27" u="1"/>
        <s v="11:38:51 à 12:16:27" u="1"/>
        <s v="11:51:30 à 12:36:22" u="1"/>
        <s v="07:58:34 à 09:55:00" u="1"/>
        <s v="08:40:27 à 09:24:04" u="1"/>
        <s v="15:41:58 à 15:49:18" u="1"/>
        <s v="15:58:33 à 16:45:43" u="1"/>
        <s v="05:25:41 à 06:00:35" u="1"/>
        <s v="11:46:48 à 16:41:35" u="1"/>
        <s v="02:02:21 à 02:04:47" u="1"/>
        <s v="05:36:50 à 06:44:50" u="1"/>
        <s v="11:34:16 à 11:56:19" u="1"/>
        <s v="12:21:23 à 21:01:07" u="1"/>
        <s v="14:31:54 à 16:12:59" u="1"/>
        <s v="08:27:57 à 09:28:47" u="1"/>
        <s v="08:30:30 à 09:00:28" u="1"/>
        <s v="14:47:22 à 15:36:39" u="1"/>
        <s v="18:06:12 à 18:46:06" u="1"/>
        <s v="15:48:40 à 15:49:58" u="1"/>
        <s v="21:47:34 à 21:50:20" u="1"/>
        <s v="08:14:17 à 10:22:06" u="1"/>
        <s v="09:16:35 à 10:11:07" u="1"/>
        <s v="10:09:35 à 10:28:04" u="1"/>
        <s v="15:06:30 à 15:42:42" u="1"/>
        <s v="17:36:16 à 18:13:12" u="1"/>
        <s v="05:44:21 à 05:44:52" u="1"/>
        <s v="09:15:26 à 10:15:26" u="1"/>
        <s v="10:59:25 à 11:47:55" u="1"/>
        <s v="11:08:11 à 11:13:42" u="1"/>
        <s v="09:41:21 à 10:11:21" u="1"/>
        <s v="10:23:29 à 10:28:20" u="1"/>
        <s v="09:27:21 à 10:59:51" u="1"/>
        <s v="12:33:22 à 13:19:03" u="1"/>
        <s v="15:49:02 à 17:39:11" u="1"/>
        <s v="09:36:51 à 10:31:42" u="1"/>
        <s v="13:22:02 à 14:08:52" u="1"/>
        <s v="16:40:38 à 17:48:21" u="1"/>
        <s v="16:46:47 à 17:24:13" u="1"/>
        <s v="17:58:58 à 20:50:44" u="1"/>
        <s v="10:19:21 à 10:20:34" u="1"/>
        <s v="16:20:54 à 17:20:18" u="1"/>
        <s v="16:49:30 à 17:04:24" u="1"/>
        <s v="03:47:27 à 04:02:58" u="1"/>
        <s v="12:03:17 à 13:19:39" u="1"/>
        <s v="06:02:22 à 07:07:44" u="1"/>
        <s v="15:48:36 à 16:35:06" u="1"/>
        <s v="16:34:35 à 17:24:45" u="1"/>
        <s v="12:33:52 à 13:11:35" u="1"/>
        <s v="12:44:59 à 13:35:41" u="1"/>
        <s v="13:40:00 à 13:40:32" u="1"/>
        <s v="15:34:16 à 16:19:28" u="1"/>
        <s v="11:39:03 à 13:42:43" u="1"/>
        <s v="12:43:22 à 13:35:51" u="1"/>
        <s v="15:47:21 à 16:35:26" u="1"/>
        <s v="11:13:29 à 13:02:59" u="1"/>
        <s v="11:29:21 à 12:26:29" u="1"/>
        <s v="05:30:29 à 06:10:23" u="1"/>
        <s v="08:24:28 à 09:18:18" u="1"/>
        <s v="12:30:09 à 12:31:28" u="1"/>
        <s v="12:43:13 à 12:59:43" u="1"/>
        <s v="08:38:53 à 09:30:07" u="1"/>
        <s v="09:00:58 à 11:05:15" u="1"/>
        <s v="11:55:47 à 12:42:33" u="1"/>
        <s v="15:00:08 à 15:52:12" u="1"/>
        <s v="15:55:34 à 16:51:54" u="1"/>
        <s v="16:07:34 à 16:21:50" u="1"/>
        <s v="04:58:48 à 05:01:13" u="1"/>
        <s v="05:53:28 à 05:54:20" u="1"/>
        <s v="08:45:31 à 18:18:00" u="1"/>
        <s v="09:24:40 à 09:27:48" u="1"/>
        <s v="15:00:17 à 15:36:32" u="1"/>
        <s v="07:57:27 à 08:49:14" u="1"/>
        <s v="08:31:42 à 09:18:56" u="1"/>
        <s v="20:36:34 à 20:39:05" u="1"/>
        <s v="08:38:08 à 10:16:12" u="1"/>
        <s v="09:45:28 à 10:25:10" u="1"/>
        <s v="10:53:09 à 11:37:46" u="1"/>
        <s v="14:23:06 à 15:03:40" u="1"/>
        <s v="14:53:16 à 15:42:48" u="1"/>
        <s v="17:38:25 à 18:23:12" u="1"/>
        <s v="08:27:57 à 09:30:59" u="1"/>
        <s v="13:38:12 à 14:10:02" u="1"/>
        <s v="17:28:44 à 18:27:33" u="1"/>
        <s v="09:16:09 à 10:01:28" u="1"/>
        <s v="10:08:31 à 10:58:23" u="1"/>
        <s v="10:15:40 à 11:30:40" u="1"/>
        <s v="06:05:42 à 18:56:46" u="1"/>
        <s v="07:32:52 à 08:45:49" u="1"/>
        <s v="18:08:44 à 18:56:56" u="1"/>
        <s v="17:46:41 à 17:47:22" u="1"/>
        <s v="02:57:17 à 03:07:19" u="1"/>
        <s v="12:33:59 à 14:01:42" u="1"/>
        <s v="17:39:56 à 17:47:34" u="1"/>
        <s v="17:23:54 à 17:27:47" u="1"/>
        <s v="06:06:41 à 07:17:44" u="1"/>
        <s v="12:19:26 à 13:41:28" u="1"/>
        <s v="16:57:49 à 17:50:31" u="1"/>
        <s v="11:44:38 à 12:56:04" u="1"/>
        <s v="12:14:46 à 17:50:38" u="1"/>
        <s v="12:17:45 à 13:05:49" u="1"/>
        <s v="12:20:11 à 13:21:37" u="1"/>
        <s v="12:22:10 à 13:01:38" u="1"/>
        <s v="12:25:06 à 13:09:56" u="1"/>
        <s v="12:47:51 à 17:50:32" u="1"/>
        <s v="13:14:53 à 13:54:47" u="1"/>
        <s v="14:46:05 à 16:12:08" u="1"/>
        <s v="15:34:59 à 16:49:37" u="1"/>
        <s v="05:35:47 à 06:40:22" u="1"/>
        <s v="08:50:06 à 09:48:11" u="1"/>
        <s v="09:24:39 à 09:33:09" u="1"/>
        <s v="09:52:20 à 09:53:02" u="1"/>
        <s v="02:10:34 à 02:20:26" u="1"/>
        <s v="05:32:52 à 06:40:32" u="1"/>
        <s v="08:53:59 à 12:05:57" u="1"/>
        <s v="14:08:34 à 15:17:13" u="1"/>
        <s v="14:55:32 à 15:52:08" u="1"/>
        <s v="08:31:39 à 09:20:18" u="1"/>
        <s v="11:11:03 à 11:33:00" u="1"/>
        <s v="08:23:26 à 09:08:59" u="1"/>
        <s v="09:15:18 à 11:19:52" u="1"/>
        <s v="10:11:25 à 11:24:20" u="1"/>
        <s v="11:09:57 à 11:53:21" u="1"/>
        <s v="16:00:37 à 18:48:16" u="1"/>
        <s v="17:39:42 à 18:33:02" u="1"/>
        <s v="18:20:55 à 18:22:05" u="1"/>
        <s v="11:16:15 à 11:17:40" u="1"/>
        <s v="17:50:55 à 20:38:24" u="1"/>
        <s v="07:58:43 à 08:55:25" u="1"/>
        <s v="08:50:02 à 09:40:53" u="1"/>
        <s v="09:35:05 à 10:19:32" u="1"/>
        <s v="12:02:06 à 14:39:25" u="1"/>
        <s v="21:29:34 à 21:30:46" u="1"/>
        <s v="09:14:36 à 10:59:44" u="1"/>
        <s v="20:44:52 à 20:45:24" u="1"/>
        <s v="09:18:25 à 10:55:45" u="1"/>
        <s v="09:40:40 à 17:33:05" u="1"/>
        <s v="16:25:59 à 17:48:16" u="1"/>
        <s v="16:45:17 à 17:04:05" u="1"/>
        <s v="09:46:54 à 10:51:40" u="1"/>
        <s v="12:20:55 à 18:08:53" u="1"/>
        <s v="12:39:59 à 14:11:32" u="1"/>
        <s v="15:22:51 à 17:51:07" u="1"/>
        <s v="16:50:21 à 17:20:03" u="1"/>
        <s v="17:42:27 à 17:53:13" u="1"/>
        <s v="18:40:41 à 18:42:50" u="1"/>
        <s v="12:14:07 à 13:31:09" u="1"/>
        <s v="12:22:29 à 13:15:17" u="1"/>
        <s v="00:46:04 à 00:46:55" u="1"/>
        <s v="10:01:53 à 10:44:55" u="1"/>
        <s v="15:39:48 à 16:59:07" u="1"/>
        <s v="16:06:55 à 16:09:00" u="1"/>
        <s v="17:45:10 à 17:53:33" u="1"/>
        <s v="03:05:57 à 03:07:34" u="1"/>
        <s v="15:51:25 à 16:39:14" u="1"/>
        <s v="06:14:58 à 07:03:44" u="1"/>
        <s v="12:51:28 à 13:15:41" u="1"/>
        <s v="15:22:05 à 16:59:39" u="1"/>
        <s v="16:50:17 à 17:40:52" u="1"/>
        <s v="11:38:38 à 12:06:29" u="1"/>
        <s v="11:48:16 à 12:22:17" u="1"/>
        <s v="08:33:24 à 09:18:17" u="1"/>
        <s v="07:31:17 à 11:03:00" u="1"/>
        <s v="08:20:49 à 09:54:18" u="1"/>
        <s v="14:48:45 à 16:06:58" u="1"/>
        <s v="15:56:05 à 16:35:55" u="1"/>
        <s v="11:00:23 à 11:47:11" u="1"/>
        <s v="11:01:13 à 11:43:02" u="1"/>
        <s v="13:29:54 à 15:10:01" u="1"/>
        <s v="14:47:46 à 16:22:58" u="1"/>
        <s v="13:00:34 à 15:30:14" u="1"/>
        <s v="15:01:46 à 15:56:32" u="1"/>
        <s v="15:08:53 à 15:52:33" u="1"/>
        <s v="15:15:31 à 15:16:42" u="1"/>
        <s v="21:43:15 à 21:44:31" u="1"/>
        <s v="08:59:49 à 09:54:52" u="1"/>
        <s v="09:02:10 à 10:09:29" u="1"/>
        <s v="10:50:29 à 11:37:47" u="1"/>
        <s v="17:20:21 à 18:03:16" u="1"/>
        <s v="08:35:57 à 10:12:14" u="1"/>
        <s v="08:56:08 à 10:12:10" u="1"/>
        <s v="07:42:00 à 08:25:39" u="1"/>
        <s v="09:40:30 à 10:25:31" u="1"/>
        <s v="10:28:37 à 10:30:03" u="1"/>
        <s v="13:24:22 à 14:54:22" u="1"/>
        <s v="13:07:26 à 14:34:37" u="1"/>
        <s v="16:35:52 à 17:58:14" u="1"/>
        <s v="16:45:52 à 17:34:04" u="1"/>
        <s v="18:05:21 à 18:16:59" u="1"/>
        <s v="08:04:07 à 08:51:41" u="1"/>
        <s v="10:13:22 à 10:14:35" u="1"/>
        <s v="16:58:29 à 18:10:40" u="1"/>
        <s v="18:21:13 à 18:52:54" u="1"/>
        <s v="10:57:58 à 13:07:11" u="1"/>
        <s v="12:21:59 à 13:21:08" u="1"/>
        <s v="12:35:37 à 13:45:14" u="1"/>
        <s v="13:16:55 à 13:38:28" u="1"/>
        <s v="13:29:44 à 13:58:25" u="1"/>
        <s v="12:56:49 à 13:45:20" u="1"/>
        <s v="16:40:33 à 17:38:53" u="1"/>
        <s v="16:37:01 à 16:38:29" u="1"/>
        <s v="16:49:23 à 17:34:54" u="1"/>
        <s v="16:56:24 à 16:58:24" u="1"/>
        <s v="05:57:47 à 06:00:01" u="1"/>
        <s v="06:28:26 à 07:33:51" u="1"/>
        <s v="08:49:30 à 12:45:28" u="1"/>
        <s v="09:01:45 à 12:31:12" u="1"/>
        <s v="05:12:08 à 06:04:28" u="1"/>
        <s v="15:54:36 à 16:09:46" u="1"/>
        <s v="16:34:34 à 16:38:49" u="1"/>
        <s v="16:53:05 à 16:54:45" u="1"/>
        <s v="08:39:52 à 09:24:18" u="1"/>
        <s v="09:30:03 à 09:57:26" u="1"/>
        <s v="14:29:20 à 15:13:01" u="1"/>
        <s v="08:04:01 à 09:01:10" u="1"/>
        <s v="14:21:27 à 15:17:20" u="1"/>
        <s v="15:07:41 à 16:22:51" u="1"/>
        <s v="08:42:10 à 09:00:28" u="1"/>
        <s v="09:26:13 à 11:15:32" u="1"/>
        <s v="18:01:13 à 19:42:35" u="1"/>
        <s v="18:23:37 à 19:42:31" u="1"/>
        <s v="18:25:16 à 18:26:05" u="1"/>
        <s v="11:11:39 à 11:13:22" u="1"/>
        <s v="13:32:32 à 14:48:00" u="1"/>
        <s v="07:50:24 à 08:35:17" u="1"/>
        <s v="10:57:11 à 11:43:38" u="1"/>
        <s v="13:19:26 à 14:04:07" u="1"/>
        <s v="14:27:38 à 15:13:41" u="1"/>
        <s v="17:41:22 à 18:37:20" u="1"/>
        <s v="09:17:03 à 10:11:19" u="1"/>
        <s v="10:02:24 à 11:40:33" u="1"/>
        <s v="12:55:57 à 20:49:23" u="1"/>
        <s v="13:36:03 à 14:20:03" u="1"/>
        <s v="20:42:07 à 20:49:24" u="1"/>
        <s v="07:58:26 à 08:51:37" u="1"/>
        <s v="09:34:02 à 10:11:35" u="1"/>
        <s v="07:46:30 à 08:35:59" u="1"/>
        <s v="07:49:43 à 08:35:59" u="1"/>
        <s v="08:42:57 à 08:44:59" u="1"/>
        <s v="09:43:21 à 10:51:41" u="1"/>
        <s v="17:50:57 à 17:57:21" u="1"/>
        <s v="11:31:52 à 13:02:07" u="1"/>
        <s v="17:32:54 à 17:33:27" u="1"/>
        <s v="10:03:30 à 10:04:58" u="1"/>
        <s v="15:53:54 à 16:39:05" u="1"/>
        <s v="14:51:15 à 16:46:15" u="1"/>
        <s v="09:04:16 à 16:50:12" u="1"/>
        <s v="11:03:26 à 12:03:01" u="1"/>
        <s v="15:34:38 à 16:55:29" u="1"/>
        <s v="14:48:34 à 16:06:39" u="1"/>
        <s v="15:31:19 à 16:39:49" u="1"/>
        <s v="06:42:36 à 06:43:31" u="1"/>
        <s v="14:50:01 à 16:02:38" u="1"/>
        <s v="08:33:54 à 09:34:18" u="1"/>
        <s v="11:33:23 à 12:26:49" u="1"/>
        <s v="11:45:11 à 12:22:38" u="1"/>
        <s v="08:55:15 à 09:50:14" u="1"/>
        <s v="14:56:16 à 15:46:29" u="1"/>
        <s v="15:03:04 à 15:12:16" u="1"/>
        <s v="17:05:13 à 19:03:27" u="1"/>
        <s v="08:38:49 à 09:34:38" u="1"/>
        <s v="08:47:18 à 09:38:45" u="1"/>
        <s v="11:05:44 à 12:03:51" u="1"/>
        <s v="11:16:12 à 11:23:12" u="1"/>
        <s v="14:03:56 à 15:23:25" u="1"/>
        <s v="13:20:10 à 14:58:02" u="1"/>
        <s v="15:37:21 à 18:05:04" u="1"/>
        <s v="01:44:33 à 01:45:33" u="1"/>
        <s v="05:57:45 à 05:58:51" u="1"/>
        <s v="08:36:18 à 09:54:57" u="1"/>
        <s v="08:55:19 à 09:14:55" u="1"/>
        <s v="09:07:08 à 10:49:28" u="1"/>
        <s v="09:53:14 à 10:01:02" u="1"/>
        <s v="00:54:44 à 00:56:04" u="1"/>
        <s v="08:44:29 à 08:54:29" u="1"/>
        <s v="10:22:51 à 11:10:31" u="1"/>
        <s v="10:47:17 à 11:57:59" u="1"/>
        <s v="16:45:53 à 18:54:20" u="1"/>
        <s v="04:40:22 à 04:41:19" u="1"/>
        <s v="09:19:59 à 10:09:48" u="1"/>
        <s v="10:37:15 à 10:38:20" u="1"/>
        <s v="13:20:29 à 14:18:34" u="1"/>
        <s v="13:44:51 à 14:34:20" u="1"/>
        <s v="09:15:05 à 10:49:56" u="1"/>
        <s v="09:17:14 à 10:21:39" u="1"/>
        <s v="09:59:14 à 10:41:30" u="1"/>
        <s v="10:18:07 à 10:18:35" u="1"/>
        <s v="09:17:32 à 10:25:58" u="1"/>
        <s v="09:47:53 à 10:45:51" u="1"/>
        <s v="14:00:06 à 14:43:48" u="1"/>
        <s v="16:50:35 à 17:34:13" u="1"/>
        <s v="18:20:40 à 18:52:55" u="1"/>
        <s v="00:35:29 à 00:36:49" u="1"/>
        <s v="09:24:07 à 10:41:56" u="1"/>
        <s v="16:44:25 à 17:34:25" u="1"/>
        <s v="12:51:20 à 13:41:12" u="1"/>
        <s v="16:38:59 à 17:54:36" u="1"/>
        <s v="12:21:26 à 13:29:47" u="1"/>
        <s v="16:47:01 à 17:38:54" u="1"/>
        <s v="06:02:17 à 06:53:09" u="1"/>
        <s v="06:19:40 à 07:13:45" u="1"/>
        <s v="12:29:35 à 13:25:48" u="1"/>
        <s v="12:35:31 à 13:01:48" u="1"/>
        <s v="12:40:20 à 13:45:53" u="1"/>
        <s v="16:31:18 à 16:58:39" u="1"/>
        <s v="16:32:01 à 17:30:58" u="1"/>
        <s v="12:38:32 à 13:21:57" u="1"/>
        <s v="09:57:13 à 09:57:13" u="1"/>
        <s v="11:55:57 à 12:52:25" u="1"/>
        <s v="15:46:35 à 16:41:39" u="1"/>
        <s v="05:46:25 à 06:48:50" u="1"/>
        <s v="08:00:13 à 12:46:51" u="1"/>
        <s v="09:57:08 à 09:57:23" u="1"/>
        <s v="10:09:52 à 11:08:04" u="1"/>
        <s v="10:52:49 à 11:27:09" u="1"/>
        <s v="10:55:47 à 12:03:37" u="1"/>
        <s v="11:55:40 à 12:16:46" u="1"/>
        <s v="12:30:22 à 12:49:58" u="1"/>
        <s v="11:14:00 à 11:53:01" u="1"/>
        <s v="11:14:57 à 11:17:12" u="1"/>
        <s v="15:58:09 à 16:21:58" u="1"/>
        <s v="19:10:59 à 19:11:26" u="1"/>
        <s v="19:34:56 à 19:35:30" u="1"/>
        <s v="10:18:56 à 11:08:22" u="1"/>
        <s v="10:44:22 à 12:23:58" u="1"/>
        <s v="11:11:48 à 11:13:13" u="1"/>
        <s v="11:41:46 à 12:32:58" u="1"/>
        <s v="18:03:54 à 00:01:04" u="1"/>
        <s v="18:21:27 à 18:22:17" u="1"/>
        <s v="11:01:09 à 11:53:43" u="1"/>
        <s v="11:11:30 à 11:53:41" u="1"/>
        <s v="15:02:54 à 15:42:55" u="1"/>
        <s v="15:22:24 à 15:22:52" u="1"/>
        <s v="20:57:52 à 21:05:52" u="1"/>
        <s v="00:01:43 à 00:03:02" u="1"/>
        <s v="07:59:52 à 08:59:46" u="1"/>
        <s v="08:34:56 à 10:42:24" u="1"/>
        <s v="09:45:09 à 10:51:22" u="1"/>
        <s v="10:02:31 à 10:04:19" u="1"/>
        <s v="10:11:27 à 10:20:07" u="1"/>
        <s v="11:12:50 à 11:13:53" u="1"/>
        <s v="11:14:34 à 14:42:16" u="1"/>
        <s v="13:44:03 à 14:44:20" u="1"/>
        <s v="16:30:37 à 18:20:25" u="1"/>
        <s v="16:48:04 à 17:48:04" u="1"/>
        <s v="16:54:44 à 18:24:30" u="1"/>
        <s v="16:44:14 à 17:28:15" u="1"/>
        <s v="16:50:34 à 17:48:12" u="1"/>
        <s v="07:04:05 à 08:12:44" u="1"/>
        <s v="07:09:54 à 07:12:08" u="1"/>
        <s v="09:30:08 à 10:11:46" u="1"/>
        <s v="12:25:17 à 13:39:17" u="1"/>
        <s v="16:51:57 à 17:40:04" u="1"/>
        <s v="17:34:32 à 18:13:55" u="1"/>
        <s v="09:37:48 à 10:31:55" u="1"/>
        <s v="12:44:13 à 13:51:04" u="1"/>
        <s v="15:38:24 à 17:11:19" u="1"/>
        <s v="16:32:12 à 17:08:38" u="1"/>
        <s v="16:46:41 à 17:28:35" u="1"/>
        <s v="17:36:57 à 17:37:37" u="1"/>
        <s v="12:16:17 à 13:39:39" u="1"/>
        <s v="20:01:54 à 20:02:51" u="1"/>
        <s v="23:16:56 à 23:22:23" u="1"/>
        <s v="05:17:00 à 06:18:08" u="1"/>
        <s v="11:31:11 à 13:06:37" u="1"/>
        <s v="06:07:26 à 06:47:19" u="1"/>
        <s v="11:52:42 à 13:06:43" u="1"/>
        <s v="11:54:32 à 17:51:32" u="1"/>
        <s v="11:58:22 à 12:46:05" u="1"/>
        <s v="12:33:50 à 13:51:36" u="1"/>
        <s v="15:18:28 à 16:32:00" u="1"/>
        <s v="05:32:21 à 06:58:22" u="1"/>
        <s v="05:41:14 à 06:30:03" u="1"/>
        <s v="12:41:26 à 13:15:55" u="1"/>
        <s v="16:00:20 à 16:05:33" u="1"/>
        <s v="16:08:22 à 16:49:40" u="1"/>
        <s v="16:46:33 à 16:48:48" u="1"/>
        <s v="05:48:01 à 06:38:41" u="1"/>
        <s v="16:51:41 à 21:55:02" u="1"/>
        <s v="05:39:39 à 06:58:52" u="1"/>
        <s v="05:42:27 à 06:50:32" u="1"/>
        <s v="07:54:47 à 09:49:23" u="1"/>
        <s v="09:38:20 à 09:43:19" u="1"/>
        <s v="12:39:07 à 12:39:59" u="1"/>
        <s v="14:10:13 à 15:03:05" u="1"/>
        <s v="14:59:10 à 16:26:57" u="1"/>
        <s v="15:14:23 à 15:32:04" u="1"/>
        <s v="15:57:03 à 15:59:29" u="1"/>
        <s v="19:02:44 à 19:05:28" u="1"/>
        <s v="05:41:10 à 06:34:52" u="1"/>
        <s v="07:09:19 à 11:07:27" u="1"/>
        <s v="09:06:40 à 11:45:26" u="1"/>
        <s v="10:25:44 à 11:18:10" u="1"/>
        <s v="11:53:53 à 12:42:46" u="1"/>
        <s v="11:57:06 à 12:22:47" u="1"/>
        <s v="12:09:29 à 12:36:50" u="1"/>
        <s v="10:26:30 à 11:34:10" u="1"/>
        <s v="15:03:48 à 15:52:25" u="1"/>
        <s v="09:25:56 à 10:05:08" u="1"/>
        <s v="11:11:12 à 11:43:22" u="1"/>
        <s v="14:17:51 à 15:07:44" u="1"/>
        <s v="14:41:59 à 14:47:00" u="1"/>
        <s v="16:21:12 à 19:50:32" u="1"/>
        <s v="17:19:19 à 18:43:08" u="1"/>
        <s v="04:03:47 à 04:46:01" u="1"/>
        <s v="07:54:38 à 08:41:09" u="1"/>
        <s v="09:23:07 à 10:49:25" u="1"/>
        <s v="09:30:40 à 10:09:25" u="1"/>
        <s v="15:04:17 à 15:12:47" u="1"/>
        <s v="09:38:36 à 10:05:26" u="1"/>
        <s v="15:12:13 à 15:12:55" u="1"/>
        <s v="15:18:05 à 15:52:53" u="1"/>
        <s v="09:18:23 à 10:09:49" u="1"/>
        <s v="09:46:35 à 10:05:34" u="1"/>
        <s v="09:49:30 à 10:01:35" u="1"/>
        <s v="12:53:19 à 13:49:01" u="1"/>
        <s v="17:31:28 à 18:23:45" u="1"/>
        <s v="13:40:28 à 14:50:31" u="1"/>
        <s v="15:53:09 à 18:01:42" u="1"/>
        <s v="15:54:10 à 17:49:22" u="1"/>
        <s v="06:20:37 à 07:13:14" u="1"/>
        <s v="13:20:41 à 14:14:56" u="1"/>
        <s v="14:20:22 à 14:23:56" u="1"/>
        <s v="15:51:39 à 17:21:15" u="1"/>
        <s v="12:46:00 à 14:41:51" u="1"/>
        <s v="16:49:03 à 17:38:55" u="1"/>
        <s v="07:22:44 à 07:22:44" u="1"/>
        <s v="12:24:42 à 13:09:59" u="1"/>
        <s v="16:39:23 à 17:34:58" u="1"/>
        <s v="11:50:54 à 12:16:17" u="1"/>
        <s v="14:45:57 à 16:52:29" u="1"/>
        <s v="15:05:42 à 16:02:24" u="1"/>
        <s v="05:24:16 à 06:40:27" u="1"/>
        <s v="05:33:10 à 06:24:35" u="1"/>
        <s v="08:52:57 à 12:41:49" u="1"/>
        <s v="14:54:12 à 16:36:57" u="1"/>
        <s v="21:53:24 à 21:54:01" u="1"/>
        <s v="09:21:53 à 10:19:07" u="1"/>
        <s v="10:15:17 à 11:44:12" u="1"/>
        <s v="11:16:53 à 11:17:23" u="1"/>
        <s v="11:52:41 à 12:12:58" u="1"/>
        <s v="15:16:10 à 15:42:24" u="1"/>
        <s v="16:06:30 à 18:48:09" u="1"/>
        <s v="07:59:20 à 09:59:53" u="1"/>
        <s v="08:07:09 à 11:26:47" u="1"/>
        <s v="13:04:10 à 14:48:08" u="1"/>
        <s v="14:24:08 à 15:13:33" u="1"/>
        <s v="01:48:02 à 01:59:43" u="1"/>
        <s v="08:08:48 à 09:05:51" u="1"/>
        <s v="08:52:17 à 10:02:03" u="1"/>
        <s v="10:01:09 à 14:37:08" u="1"/>
        <s v="10:29:15 à 11:40:21" u="1"/>
        <s v="14:00:11 à 15:17:56" u="1"/>
        <s v="17:30:19 à 18:13:16" u="1"/>
        <s v="17:47:26 à 18:33:13" u="1"/>
        <s v="10:22:08 à 11:20:32" u="1"/>
        <s v="14:35:59 à 15:13:51" u="1"/>
        <s v="00:02:25 à 00:03:03" u="1"/>
        <s v="09:38:12 à 10:19:45" u="1"/>
        <s v="10:00:35 à 10:40:09" u="1"/>
        <s v="10:26:07 à 11:44:50" u="1"/>
        <s v="13:18:39 à 14:28:37" u="1"/>
        <s v="13:32:08 à 14:20:15" u="1"/>
        <s v="19:44:19 à 20:56:49" u="1"/>
        <s v="01:48:31 à 01:51:55" u="1"/>
        <s v="08:21:31 à 08:21:31" u="1"/>
        <s v="09:34:30 à 10:11:37" u="1"/>
        <s v="10:00:25 à 11:20:56" u="1"/>
        <s v="10:43:48 à 10:44:20" u="1"/>
        <s v="13:02:29 à 14:48:48" u="1"/>
        <s v="13:05:42 à 14:44:39" u="1"/>
        <s v="23:23:22 à 23:26:01" u="1"/>
        <s v="10:48:44 à 13:57:03" u="1"/>
        <s v="13:36:00 à 14:04:45" u="1"/>
        <s v="16:39:41 à 17:40:09" u="1"/>
        <s v="17:09:03 à 17:10:01" u="1"/>
        <s v="20:48:54 à 20:49:56" u="1"/>
        <s v="06:29:08 à 07:07:24" u="1"/>
        <s v="12:56:10 à 13:55:12" u="1"/>
        <s v="14:12:58 à 14:53:57" u="1"/>
        <s v="12:57:46 à 13:35:33" u="1"/>
        <s v="15:20:33 à 16:12:00" u="1"/>
        <s v="16:00:09 à 16:09:23" u="1"/>
        <s v="11:19:54 à 12:07:10" u="1"/>
        <s v="16:08:31 à 16:29:32" u="1"/>
        <s v="05:41:14 à 06:54:22" u="1"/>
        <s v="10:53:43 à 12:13:18" u="1"/>
        <s v="11:54:10 à 12:46:26" u="1"/>
        <s v="16:01:29 à 16:05:34" u="1"/>
        <s v="21:59:26 à 22:00:11" u="1"/>
        <s v="11:54:43 à 12:02:29" u="1"/>
        <s v="11:06:03 à 11:27:05" u="1"/>
        <s v="11:44:57 à 12:42:39" u="1"/>
        <s v="14:45:08 à 16:46:59" u="1"/>
        <s v="05:30:56 à 06:34:55" u="1"/>
        <s v="05:38:40 à 06:50:45" u="1"/>
        <s v="09:40:25 à 09:43:28" u="1"/>
        <s v="14:13:24 à 15:03:16" u="1"/>
        <s v="15:21:56 à 15:52:12" u="1"/>
        <s v="17:38:21 à 19:43:21" u="1"/>
        <s v="08:40:19 à 09:34:38" u="1"/>
        <s v="08:46:28 à 09:38:47" u="1"/>
        <s v="10:29:30 à 11:14:12" u="1"/>
        <s v="15:05:07 à 15:32:27" u="1"/>
        <s v="18:35:46 à 19:32:32" u="1"/>
        <s v="09:35:14 à 10:25:06" u="1"/>
        <s v="13:40:22 à 14:58:00" u="1"/>
        <s v="14:08:44 à 15:07:47" u="1"/>
        <s v="15:00:53 à 15:56:45" u="1"/>
        <s v="21:46:33 à 21:48:43" u="1"/>
        <s v="08:05:53 à 08:55:13" u="1"/>
        <s v="08:07:57 à 08:55:13" u="1"/>
        <s v="09:59:16 à 10:41:02" u="1"/>
        <s v="10:18:18 à 11:30:24" u="1"/>
        <s v="14:23:07 à 14:23:07" u="1"/>
        <s v="14:50:39 à 20:37:17" u="1"/>
        <s v="18:12:55 à 19:52:55" u="1"/>
        <s v="07:16:56 à 08:26:22" u="1"/>
        <s v="08:03:28 à 08:55:23" u="1"/>
        <s v="10:24:42 à 11:34:41" u="1"/>
        <s v="11:08:58 à 15:12:47" u="1"/>
        <s v="12:22:01 à 14:21:07" u="1"/>
        <s v="00:11:04 à 00:13:11" u="1"/>
        <s v="09:45:39 à 10:29:53" u="1"/>
        <s v="09:49:00 à 10:05:45" u="1"/>
        <s v="12:25:02 à 14:09:46" u="1"/>
        <s v="13:22:36 à 13:58:08" u="1"/>
        <s v="15:31:15 à 18:05:46" u="1"/>
        <s v="16:54:15 à 18:18:51" u="1"/>
        <s v="17:43:03 à 17:43:07" u="1"/>
        <s v="17:45:21 à 17:47:16" u="1"/>
        <s v="17:50:06 à 18:03:43" u="1"/>
        <s v="09:43:14 à 10:21:55" u="1"/>
        <s v="11:54:58 à 13:32:04" u="1"/>
        <s v="12:56:08 à 17:18:24" u="1"/>
        <s v="13:13:32 à 14:14:59" u="1"/>
        <s v="17:42:14 à 17:43:27" u="1"/>
        <s v="09:00:22 à 17:20:22" u="1"/>
        <s v="12:30:54 à 13:21:19" u="1"/>
        <s v="16:34:22 à 23:25:31" u="1"/>
        <s v="05:23:21 à 06:48:06" u="1"/>
        <s v="12:57:15 à 13:45:33" u="1"/>
        <s v="05:32:36 à 06:44:15" u="1"/>
        <s v="16:06:19 à 16:59:31" u="1"/>
        <s v="10:58:08 à 12:03:19" u="1"/>
        <s v="16:15:02 à 16:15:32" u="1"/>
        <s v="05:31:34 à 06:44:35" u="1"/>
        <s v="05:38:14 à 06:48:54" u="1"/>
        <s v="05:54:14 à 06:48:50" u="1"/>
        <s v="15:42:53 à 22:12:44" u="1"/>
        <s v="19:28:37 à 19:39:33" u="1"/>
        <s v="09:01:53 à 09:54:20" u="1"/>
        <s v="09:07:11 à 09:54:20" u="1"/>
        <s v="07:59:05 à 08:39:09" u="1"/>
        <s v="08:58:42 à 09:44:36" u="1"/>
        <s v="09:36:29 à 09:57:59" u="1"/>
        <s v="10:10:23 à 11:00:16" u="1"/>
        <s v="13:48:12 à 14:48:01" u="1"/>
        <s v="07:47:33 à 10:57:12" u="1"/>
        <s v="08:11:41 à 09:01:41" u="1"/>
        <s v="14:51:49 à 14:53:00" u="1"/>
        <s v="08:04:49 à 08:49:33" u="1"/>
        <s v="13:08:25 à 20:59:20" u="1"/>
        <s v="08:50:13 à 10:02:24" u="1"/>
        <s v="09:25:47 à 10:15:39" u="1"/>
        <s v="09:29:59 à 10:51:28" u="1"/>
        <s v="10:28:00 à 11:04:53" u="1"/>
        <s v="17:36:08 à 18:13:37" u="1"/>
        <s v="17:39:16 à 18:13:37" u="1"/>
        <s v="18:21:32 à 18:22:39" u="1"/>
        <s v="20:40:42 à 20:41:19" u="1"/>
        <s v="09:49:00 à 10:19:54" u="1"/>
        <s v="12:31:33 à 14:55:33" u="1"/>
        <s v="12:52:51 à 14:19:40" u="1"/>
        <s v="13:32:37 à 14:40:25" u="1"/>
        <s v="14:27:41 à 14:37:46" u="1"/>
        <s v="16:26:50 à 18:08:58" u="1"/>
        <s v="17:33:53 à 18:33:46" u="1"/>
        <s v="17:51:50 à 18:17:52" u="1"/>
        <s v="17:56:05 à 17:57:14" u="1"/>
        <s v="17:56:54 à 18:13:43" u="1"/>
        <s v="07:30:59 à 10:33:46" u="1"/>
        <s v="10:24:27 à 10:28:45" u="1"/>
        <s v="13:02:25 à 13:05:00" u="1"/>
        <s v="13:55:32 à 14:44:40" u="1"/>
        <s v="17:48:32 à 17:53:17" u="1"/>
        <s v="12:55:22 à 13:55:13" u="1"/>
        <s v="16:45:10 à 17:24:28" u="1"/>
        <s v="16:01:46 à 16:09:04" u="1"/>
        <s v="16:42:47 à 17:44:37" u="1"/>
        <s v="05:52:39 à 07:10:20" u="1"/>
        <s v="12:39:46 à 13:39:47" u="1"/>
        <s v="15:47:50 à 16:59:19" u="1"/>
        <s v="16:51:51 à 17:20:37" u="1"/>
        <s v="17:08:54 à 17:10:32" u="1"/>
        <s v="16:11:20 à 16:25:12" u="1"/>
        <s v="03:05:23 à 03:07:58" u="1"/>
        <s v="11:56:18 à 12:26:18" u="1"/>
        <s v="15:24:48 à 16:32:10" u="1"/>
        <s v="16:04:50 à 16:25:24" u="1"/>
        <s v="05:36:34 à 06:50:16" u="1"/>
        <s v="16:22:30 à 16:41:20" u="1"/>
        <s v="05:50:13 à 06:50:22" u="1"/>
        <s v="05:50:38 à 06:58:40" u="1"/>
        <s v="08:14:14 à 09:15:00" u="1"/>
        <s v="08:19:52 à 09:15:00" u="1"/>
        <s v="15:17:42 à 16:12:33" u="1"/>
        <s v="09:26:27 à 11:29:24" u="1"/>
        <s v="16:17:31 à 16:21:43" u="1"/>
        <s v="08:18:39 à 09:31:10" u="1"/>
        <s v="10:02:26 à 11:14:07" u="1"/>
        <s v="11:25:30 à 11:27:12" u="1"/>
        <s v="12:01:52 à 12:56:51" u="1"/>
        <s v="14:14:18 à 15:03:17" u="1"/>
        <s v="08:17:25 à 08:19:03" u="1"/>
        <s v="09:00:58 à 09:24:32" u="1"/>
        <s v="10:31:08 à 11:34:10" u="1"/>
        <s v="11:00:44 à 11:43:16" u="1"/>
        <s v="11:07:26 à 11:27:26" u="1"/>
        <s v="21:34:59 à 21:40:18" u="1"/>
        <s v="08:07:11 à 11:16:49" u="1"/>
        <s v="15:12:03 à 15:12:37" u="1"/>
        <s v="07:00:39 à 08:06:16" u="1"/>
        <s v="07:32:07 à 18:25:17" u="1"/>
        <s v="08:51:42 à 10:36:12" u="1"/>
        <s v="09:30:11 à 10:29:26" u="1"/>
        <s v="09:42:29 à 09:43:59" u="1"/>
        <s v="13:21:14 à 14:34:17" u="1"/>
        <s v="15:36:46 à 19:41:52" u="1"/>
        <s v="16:30:19 à 18:54:25" u="1"/>
        <s v="18:45:07 à 18:52:24" u="1"/>
        <s v="06:18:43 à 07:17:07" u="1"/>
        <s v="07:14:33 à 08:22:34" u="1"/>
        <s v="09:44:54 à 10:45:44" u="1"/>
        <s v="12:26:04 à 14:05:38" u="1"/>
        <s v="16:58:00 à 17:38:15" u="1"/>
        <s v="18:32:47 à 18:32:47" u="1"/>
        <s v="08:06:14 à 08:55:54" u="1"/>
        <s v="10:15:04 à 10:58:46" u="1"/>
        <s v="10:36:14 à 10:38:43" u="1"/>
        <s v="10:37:14 à 10:58:42" u="1"/>
        <s v="12:59:20 à 13:49:13" u="1"/>
        <s v="09:58:12 à 10:41:53" u="1"/>
        <s v="12:02:11 à 13:02:01" u="1"/>
        <s v="12:28:36 à 13:49:29" u="1"/>
        <s v="12:50:59 à 14:05:52" u="1"/>
        <s v="16:49:33 à 17:34:28" u="1"/>
        <s v="07:01:00 à 07:46:38" u="1"/>
        <s v="10:11:17 à 10:54:57" u="1"/>
        <s v="N/A à 15:00:11" u="1"/>
        <s v="12:35:13 à 13:29:48" u="1"/>
        <s v="16:10:04 à 16:39:21" u="1"/>
        <s v="17:19:01 à 17:20:40" u="1"/>
        <s v="05:29:58 à 06:44:18" u="1"/>
        <s v="05:56:13 à 07:04:50" u="1"/>
        <s v="12:15:56 à 12:46:10" u="1"/>
        <s v="12:49:26 à 13:41:47" u="1"/>
        <s v="16:56:43 à 17:30:57" u="1"/>
        <s v="05:27:45 à 06:40:19" u="1"/>
        <s v="11:58:05 à 12:52:18" u="1"/>
        <s v="15:09:09 à 16:06:35" u="1"/>
        <s v="14:07:31 à 15:37:17" u="1"/>
        <s v="10:15:21 à 11:04:06" u="1"/>
        <s v="13:04:16 à 15:40:08" u="1"/>
        <s v="12:03:24 à 12:42:53" u="1"/>
        <s v="08:57:24 à 09:44:47" u="1"/>
        <s v="09:01:37 à 11:55:48" u="1"/>
        <s v="09:13:58 à 09:18:50" u="1"/>
        <s v="14:14:07 à 15:13:37" u="1"/>
        <s v="14:22:25 à 15:33:34" u="1"/>
        <s v="15:24:20 à 15:42:34" u="1"/>
        <s v="15:47:49 à 21:52:37" u="1"/>
        <s v="17:53:03 à 18:33:03" u="1"/>
        <s v="08:08:10 à 08:09:26" u="1"/>
        <s v="08:09:44 à 08:29:25" u="1"/>
        <s v="14:32:59 à 15:17:52" u="1"/>
        <s v="14:33:02 à 14:33:06" u="1"/>
        <s v="15:26:14 à 15:26:54" u="1"/>
        <s v="09:29:46 à 10:19:39" u="1"/>
        <s v="13:48:14 à 14:48:22" u="1"/>
        <s v="08:32:26 à 18:04:39" u="1"/>
        <s v="16:48:46 à 17:28:08" u="1"/>
        <s v="08:48:49 à 10:22:36" u="1"/>
        <s v="13:54:05 à 17:17:06" u="1"/>
        <s v="13:54:59 à 14:40:22" u="1"/>
        <s v="18:29:38 à 20:04:42" u="1"/>
        <s v="09:37:15 à 10:15:58" u="1"/>
        <s v="13:28:58 à 14:20:39" u="1"/>
        <s v="16:15:17 à 17:05:10" u="1"/>
        <s v="16:53:15 à 17:20:08" u="1"/>
        <s v="17:06:45 à 17:14:12" u="1"/>
        <s v="03:11:20 à 10:37:59" u="1"/>
        <s v="07:36:23 à 07:36:23" u="1"/>
        <s v="08:19:35 à 08:21:55" u="1"/>
        <s v="08:30:18 à 10:02:59" u="1"/>
        <s v="10:31:37 à 10:40:45" u="1"/>
        <s v="12:02:30 à 13:12:11" u="1"/>
        <s v="12:37:01 à 13:39:38" u="1"/>
        <s v="05:38:35 à 07:34:33" u="1"/>
        <s v="05:55:22 à 07:10:21" u="1"/>
        <s v="12:51:34 à 13:51:25" u="1"/>
        <s v="05:20:24 à 06:34:09" u="1"/>
        <s v="05:40:20 à 06:54:04" u="1"/>
        <s v="14:23:45 à 16:27:20" u="1"/>
        <s v="11:54:05 à 12:42:19" u="1"/>
        <s v="05:35:43 à 06:50:27" u="1"/>
        <s v="12:07:26 à 12:36:33" u="1"/>
        <s v="22:31:56 à 22:33:35" u="1"/>
        <s v="08:51:19 à 09:38:27" u="1"/>
        <s v="12:10:39 à 12:12:33" u="1"/>
        <s v="15:08:56 à 15:52:08" u="1"/>
        <s v="05:52:51 à 05:54:16" u="1"/>
        <s v="08:14:49 à 09:15:21" u="1"/>
        <s v="15:11:20 à 15:16:27" u="1"/>
        <s v="15:35:09 à 15:56:21" u="1"/>
        <s v="08:07:38 à 09:39:41" u="1"/>
        <s v="08:49:57 à 09:54:39" u="1"/>
        <s v="10:02:24 à 11:34:17" u="1"/>
        <s v="10:34:24 à 11:54:10" u="1"/>
        <s v="07:16:35 à 08:26:04" u="1"/>
        <s v="07:31:18 à 08:06:01" u="1"/>
        <s v="09:48:58 à 10:09:16" u="1"/>
        <s v="09:57:12 à 10:45:03" u="1"/>
        <s v="10:44:46 à 11:30:10" u="1"/>
        <s v="20:58:00 à 20:59:06" u="1"/>
        <s v="08:05:36 à 08:59:24" u="1"/>
        <s v="08:14:52 à 09:11:42" u="1"/>
        <s v="08:50:46 à 09:14:59" u="1"/>
        <s v="09:19:45 à 15:30:49" u="1"/>
        <s v="09:37:44 à 11:01:46" u="1"/>
        <s v="14:40:29 à 15:27:50" u="1"/>
        <s v="15:28:57 à 18:49:27" u="1"/>
        <s v="17:57:24 à 18:43:13" u="1"/>
        <s v="08:23:02 à 09:11:50" u="1"/>
        <s v="08:43:32 à 10:16:26" u="1"/>
        <s v="11:19:04 à 11:23:46" u="1"/>
        <s v="12:42:53 à 14:05:15" u="1"/>
        <s v="17:30:03 à 18:23:28" u="1"/>
        <s v="07:36:06 à 08:22:21" u="1"/>
        <s v="09:46:44 à 10:09:46" u="1"/>
        <s v="13:49:58 à 14:18:34" u="1"/>
        <s v="16:53:48 à 18:18:43" u="1"/>
        <s v="17:09:55 à 18:00:20" u="1"/>
        <s v="05:49:36 à 07:08:02" u="1"/>
        <s v="09:36:49 à 10:21:39" u="1"/>
        <s v="10:40:14 à 11:30:50" u="1"/>
        <s v="13:31:13 à 14:14:37" u="1"/>
        <s v="13:52:59 à 14:30:23" u="1"/>
        <s v="13:54:30 à 14:38:41" u="1"/>
        <s v="17:59:04 à 18:43:43" u="1"/>
        <s v="09:41:43 à 10:01:48" u="1"/>
        <s v="10:11:38 à 10:38:48" u="1"/>
        <s v="16:19:47 à 17:11:01" u="1"/>
        <s v="17:06:35 à 18:00:40" u="1"/>
        <s v="18:51:33 à 18:52:53" u="1"/>
        <s v="07:35:04 à 08:02:52" u="1"/>
        <s v="11:55:07 à 13:12:07" u="1"/>
        <s v="16:43:49 à 18:30:56" u="1"/>
        <s v="13:03:07 à 13:51:10" u="1"/>
        <s v="06:52:15 à 06:53:03" u="1"/>
        <s v="07:14:27 à 07:46:57" u="1"/>
        <s v="12:40:17 à 13:25:48" u="1"/>
        <s v="13:52:43 à 13:54:45" u="1"/>
        <s v="15:07:13 à 16:22:06" u="1"/>
        <s v="15:26:13 à 16:02:03" u="1"/>
        <s v="16:45:07 à 17:34:59" u="1"/>
        <s v="17:04:05 à 17:24:52" u="1"/>
        <s v="05:38:38 à 06:48:26" u="1"/>
        <s v="14:31:59 à 16:13:10" u="1"/>
        <s v="16:19:01 à 16:31:14" u="1"/>
        <s v="16:27:27 à 16:55:20" u="1"/>
        <s v="05:44:32 à 06:24:26" u="1"/>
        <s v="05:58:15 à 06:00:16" u="1"/>
        <s v="08:03:40 à 09:09:03" u="1"/>
        <s v="15:13:21 à 16:42:23" u="1"/>
        <s v="16:07:30 à 16:55:34" u="1"/>
        <s v="08:01:03 à 09:09:23" u="1"/>
        <s v="11:16:08 à 11:57:04" u="1"/>
        <s v="11:24:08 à 12:17:40" u="1"/>
        <s v="07:17:08 à 11:37:27" u="1"/>
        <s v="08:05:29 à 09:49:31" u="1"/>
        <s v="10:08:58 à 11:08:18" u="1"/>
        <s v="11:27:18 à 12:13:41" u="1"/>
        <s v="10:12:09 à 11:24:16" u="1"/>
        <s v="11:15:55 à 11:17:26" u="1"/>
        <s v="11:18:28 à 11:33:16" u="1"/>
        <s v="15:03:31 à 15:42:29" u="1"/>
        <s v="17:49:36 à 18:17:06" u="1"/>
        <s v="18:24:57 à 19:46:45" u="1"/>
        <s v="08:16:04 à 09:09:51" u="1"/>
        <s v="08:17:10 à 09:21:32" u="1"/>
        <s v="13:24:02 à 14:08:09" u="1"/>
        <s v="14:42:25 à 15:17:41" u="1"/>
        <s v="08:52:36 à 09:40:49" u="1"/>
        <s v="09:53:30 à 10:31:05" u="1"/>
        <s v="14:31:12 à 15:53:42" u="1"/>
        <s v="15:53:57 à 18:39:22" u="1"/>
        <s v="21:33:37 à 21:34:49" u="1"/>
        <s v="21:56:58 à 21:58:53" u="1"/>
        <s v="10:32:02 à 11:04:43" u="1"/>
        <s v="10:35:53 à 10:44:05" u="1"/>
        <s v="12:09:23 à 21:22:41" u="1"/>
        <s v="17:49:00 à 18:33:26" u="1"/>
        <s v="20:20:38 à 20:22:00" u="1"/>
        <s v="08:02:34 à 08:49:45" u="1"/>
        <s v="10:21:22 à 11:24:54" u="1"/>
        <s v="10:21:42 à 11:04:55" u="1"/>
        <s v="10:21:50 à 11:04:55" u="1"/>
        <s v="17:06:14 à 17:38:01" u="1"/>
        <s v="17:45:38 à 18:37:45" u="1"/>
        <s v="09:42:44 à 10:31:37" u="1"/>
        <s v="09:52:42 à 10:15:45" u="1"/>
        <s v="10:58:26 à 18:46:31" u="1"/>
        <s v="12:42:13 à 13:39:07" u="1"/>
        <s v="12:59:12 à 14:15:33" u="1"/>
        <s v="13:23:55 à 14:08:49" u="1"/>
        <s v="16:18:45 à 17:25:00" u="1"/>
        <s v="17:42:50 à 18:17:56" u="1"/>
        <s v="10:23:41 à 10:24:38" u="1"/>
        <s v="10:28:31 à 10:28:47" u="1"/>
        <s v="13:01:07 à 13:45:00" u="1"/>
        <s v="08:52:18 à 10:02:56" u="1"/>
        <s v="12:45:31 à 13:39:27" u="1"/>
        <s v="13:53:58 à 14:44:52" u="1"/>
        <s v="15:58:45 à 17:19:37" u="1"/>
        <s v="05:51:34 à 07:10:12" u="1"/>
        <s v="12:03:42 à 17:01:13" u="1"/>
        <s v="15:59:09 à 16:59:09" u="1"/>
        <s v="07:30:06 à 07:32:35" u="1"/>
        <s v="14:40:53 à 17:46:48" u="1"/>
        <s v="05:30:14 à 06:34:08" u="1"/>
        <s v="10:50:11 à 13:13:37" u="1"/>
        <s v="13:07:17 à 16:58:13" u="1"/>
        <s v="16:50:45 à 17:40:48" u="1"/>
        <s v="12:04:47 à 13:12:52" u="1"/>
        <s v="18:16:56 à 19:16:09" u="1"/>
        <s v="16:00:58 à 16:49:54" u="1"/>
        <s v="14:23:56 à 15:07:16" u="1"/>
        <s v="14:37:45 à 15:23:04" u="1"/>
        <s v="15:25:22 à 16:16:52" u="1"/>
        <s v="11:13:52 à 12:03:44" u="1"/>
        <s v="11:18:59 à 12:07:53" u="1"/>
        <s v="12:11:37 à 12:52:42" u="1"/>
        <s v="08:05:09 à 08:59:05" u="1"/>
        <s v="10:24:23 à 11:14:15" u="1"/>
        <s v="13:59:07 à 15:10:11" u="1"/>
        <s v="14:18:37 à 15:07:38" u="1"/>
        <s v="18:34:12 à 18:36:08" u="1"/>
        <s v="15:31:14 à 15:32:34" u="1"/>
        <s v="16:28:28 à 19:14:47" u="1"/>
        <s v="17:45:14 à 19:27:52" u="1"/>
        <s v="10:03:02 à 11:30:29" u="1"/>
        <s v="15:17:52 à 15:52:47" u="1"/>
        <s v="17:31:19 à 18:23:19" u="1"/>
        <s v="08:01:46 à 08:55:26" u="1"/>
        <s v="10:31:04 à 11:30:33" u="1"/>
        <s v="10:49:51 à 11:30:31" u="1"/>
        <s v="07:25:14 à 08:02:25" u="1"/>
        <s v="09:36:41 à 10:41:29" u="1"/>
        <s v="10:27:38 à 11:14:55" u="1"/>
        <s v="10:36:47 à 11:10:44" u="1"/>
        <s v="13:47:54 à 14:38:34" u="1"/>
        <s v="05:52:31 à 07:08:01" u="1"/>
        <s v="10:12:42 à 10:58:38" u="1"/>
        <s v="12:45:51 à 13:29:18" u="1"/>
        <s v="09:52:03 à 10:41:55" u="1"/>
        <s v="17:07:22 à 20:01:58" u="1"/>
        <s v="02:58:34 à 03:00:02" u="1"/>
        <s v="12:53:41 à 13:49:35" u="1"/>
        <s v="16:17:21 à 16:19:04" u="1"/>
        <s v="16:19:51 à 17:19:40" u="1"/>
        <s v="03:35:50 à 03:37:43" u="1"/>
        <s v="15:30:22 à 16:22:11" u="1"/>
        <s v="05:32:53 à 06:44:28" u="1"/>
        <s v="08:15:57 à 09:09:02" u="1"/>
        <s v="09:16:36 à 09:58:00" u="1"/>
        <s v="02:38:23 à 02:40:18" u="1"/>
        <s v="05:33:22 à 06:48:47" u="1"/>
        <s v="06:52:41 à 06:53:34" u="1"/>
        <s v="12:01:18 à 12:46:34" u="1"/>
        <s v="12:03:01 à 12:42:25" u="1"/>
        <s v="16:31:07 à 16:31:31" u="1"/>
        <s v="09:19:10 à 09:58:20" u="1"/>
        <s v="14:19:43 à 16:37:53" u="1"/>
        <s v="08:19:58 à 09:09:32" u="1"/>
        <s v="09:08:40 à 09:58:32" u="1"/>
        <s v="10:39:16 à 11:44:02" u="1"/>
        <s v="11:32:30 à 11:57:11" u="1"/>
        <s v="15:07:57 à 16:02:58" u="1"/>
        <s v="06:08:51 à 06:10:51" u="1"/>
        <s v="11:36:41 à 11:37:22" u="1"/>
        <s v="13:37:32 à 15:44:23" u="1"/>
        <s v="15:12:29 à 15:22:29" u="1"/>
        <s v="17:54:51 à 18:57:03" u="1"/>
        <s v="18:44:31 à 19:22:34" u="1"/>
        <s v="18:45:48 à 18:46:06" u="1"/>
        <s v="01:54:44 à 01:55:26" u="1"/>
        <s v="08:00:04 à 09:05:45" u="1"/>
        <s v="10:18:55 à 12:20:54" u="1"/>
        <s v="14:10:28 à 15:33:38" u="1"/>
        <s v="14:23:53 à 15:57:44" u="1"/>
        <s v="08:56:51 à 10:06:16" u="1"/>
        <s v="09:13:34 à 09:54:51" u="1"/>
        <s v="09:53:41 à 11:31:42" u="1"/>
        <s v="10:33:04 à 15:37:42" u="1"/>
        <s v="11:27:52 à 19:11:37" u="1"/>
        <s v="18:34:32 à 19:22:56" u="1"/>
        <s v="09:02:11 à 10:12:11" u="1"/>
        <s v="10:59:44 à 11:00:31" u="1"/>
        <s v="14:22:54 à 15:13:57" u="1"/>
        <s v="15:27:14 à 19:31:57" u="1"/>
        <s v="08:19:44 à 08:49:44" u="1"/>
        <s v="10:23:31 à 10:40:09" u="1"/>
        <s v="10:59:17 à 11:04:50" u="1"/>
        <s v="08:32:05 à 14:35:49" u="1"/>
        <s v="17:59:00 à 18:57:53" u="1"/>
        <s v="05:54:25 à 07:18:11" u="1"/>
        <s v="09:49:25 à 10:31:48" u="1"/>
        <s v="11:52:42 à 14:02:35" u="1"/>
        <s v="11:53:36 à 14:46:42" u="1"/>
        <s v="13:03:35 à 13:49:10" u="1"/>
        <s v="14:22:51 à 14:53:59" u="1"/>
        <s v="16:51:27 à 17:40:19" u="1"/>
        <s v="16:54:36 à 17:44:28" u="1"/>
        <s v="20:07:30 à 20:22:45" u="1"/>
        <s v="17:02:33 à 17:50:23" u="1"/>
        <s v="17:09:10 à 17:50:23" u="1"/>
        <s v="15:23:48 à 17:12:30" u="1"/>
        <s v="17:00:41 à 17:50:33" u="1"/>
        <s v="07:24:16 à 16:36:13" u="1"/>
        <s v="10:55:14 à 17:42:37" u="1"/>
        <s v="12:09:54 à 12:16:06" u="1"/>
        <s v="12:58:35 à 13:39:56" u="1"/>
        <s v="05:43:07 à 06:50:07" u="1"/>
        <s v="16:03:06 à 16:05:28" u="1"/>
        <s v="07:54:31 à 09:49:08" u="1"/>
        <s v="05:58:04 à 06:54:34" u="1"/>
        <s v="09:11:20 à 09:48:11" u="1"/>
        <s v="16:28:25 à 16:29:52" u="1"/>
        <s v="05:31:28 à 06:58:57" u="1"/>
        <s v="08:01:51 à 09:15:15" u="1"/>
        <s v="15:16:11 à 15:52:08" u="1"/>
        <s v="15:50:01 à 15:52:00" u="1"/>
        <s v="15:51:06 à 15:52:00" u="1"/>
        <s v="16:38:45 à 16:45:50" u="1"/>
        <s v="05:39:32 à 06:50:49" u="1"/>
        <s v="08:21:10 à 09:11:12" u="1"/>
        <s v="08:28:28 à 15:09:38" u="1"/>
        <s v="15:16:55 à 15:52:18" u="1"/>
        <s v="18:53:26 à 19:16:42" u="1"/>
        <s v="18:55:01 à 18:56:04" u="1"/>
        <s v="09:05:09 à 09:40:35" u="1"/>
        <s v="10:15:25 à 11:10:19" u="1"/>
        <s v="10:41:44 à 15:47:30" u="1"/>
        <s v="10:44:50 à 11:50:11" u="1"/>
        <s v="11:35:20 à 11:43:23" u="1"/>
        <s v="14:26:36 à 14:47:09" u="1"/>
        <s v="19:36:46 à 19:41:46" u="1"/>
        <s v="09:46:46 à 10:25:18" u="1"/>
        <s v="10:48:34 à 11:34:31" u="1"/>
        <s v="15:48:11 à 15:52:42" u="1"/>
        <s v="19:40:32 à 19:41:54" u="1"/>
        <s v="10:26:10 à 10:54:08" u="1"/>
        <s v="17:19:25 à 18:00:10" u="1"/>
        <s v="09:58:17 à 10:45:35" u="1"/>
        <s v="08:07:10 à 08:59:56" u="1"/>
        <s v="09:16:19 à 10:02:30" u="1"/>
        <s v="16:00:51 à 17:19:13" u="1"/>
        <s v="17:58:52 à 18:43:45" u="1"/>
        <s v="05:45:06 à 07:08:14" u="1"/>
        <s v="14:03:09 à 14:20:30" u="1"/>
        <s v="17:08:59 à 17:40:04" u="1"/>
        <s v="10:24:35 à 10:54:48" u="1"/>
        <s v="00:32:41 à 00:33:40" u="1"/>
        <s v="13:48:18 à 13:54:29" u="1"/>
        <s v="12:43:14 à 13:29:49" u="1"/>
        <s v="16:04:19 à 16:55:06" u="1"/>
        <s v="16:22:17 à 17:11:31" u="1"/>
        <s v="12:56:55 à 13:41:38" u="1"/>
        <s v="13:12:59 à 13:31:31" u="1"/>
        <s v="16:13:42 à 16:15:16" u="1"/>
        <s v="05:40:10 à 06:28:27" u="1"/>
        <s v="11:35:24 à 12:13:01" u="1"/>
        <s v="13:06:19 à 13:51:42" u="1"/>
        <s v="13:54:29 à 13:54:57" u="1"/>
        <s v="08:26:15 à 12:02:26" u="1"/>
        <s v="12:00:22 à 12:02:18" u="1"/>
        <s v="15:07:57 à 16:42:27" u="1"/>
        <s v="15:37:07 à 16:26:31" u="1"/>
        <s v="16:12:52 à 16:15:36" u="1"/>
        <s v="08:29:51 à 09:21:02" u="1"/>
        <s v="09:05:35 à 09:58:23" u="1"/>
        <s v="09:09:37 à 09:10:07" u="1"/>
        <s v="15:08:05 à 16:06:58" u="1"/>
        <s v="15:29:02 à 15:46:16" u="1"/>
        <s v="05:37:26 à 06:44:59" u="1"/>
        <s v="05:45:04 à 06:24:58" u="1"/>
        <s v="08:03:59 à 09:09:35" u="1"/>
        <s v="13:44:25 à 19:57:21" u="1"/>
        <s v="19:18:16 à 19:59:48" u="1"/>
        <s v="21:13:45 à 21:15:10" u="1"/>
        <s v="08:25:10 à 08:29:04" u="1"/>
        <s v="08:58:49 à 09:48:49" u="1"/>
        <s v="10:34:32 à 11:00:16" u="1"/>
        <s v="10:35:28 à 11:08:34" u="1"/>
        <s v="14:46:13 à 18:26:07" u="1"/>
        <s v="14:49:59 à 15:33:33" u="1"/>
        <s v="16:53:53 à 18:08:16" u="1"/>
        <s v="07:28:20 à 08:16:15" u="1"/>
        <s v="08:20:56 à 09:25:51" u="1"/>
        <s v="10:38:55 à 11:24:34" u="1"/>
        <s v="13:32:01 à 15:20:36" u="1"/>
        <s v="14:31:57 à 14:33:09" u="1"/>
        <s v="17:52:11 à 18:53:15" u="1"/>
        <s v="07:46:34 à 11:53:53" u="1"/>
        <s v="18:05:53 à 18:07:31" u="1"/>
        <s v="10:54:24 à 11:04:51" u="1"/>
        <s v="10:59:46 à 11:04:51" u="1"/>
        <s v="16:13:21 à 17:49:00" u="1"/>
        <s v="13:32:35 à 14:24:39" u="1"/>
        <s v="13:48:22 à 14:20:28" u="1"/>
        <s v="16:58:49 à 17:48:18" u="1"/>
        <s v="17:00:35 à 17:38:13" u="1"/>
        <s v="17:14:03 à 17:14:03" u="1"/>
        <s v="04:16:13 à 04:16:46" u="1"/>
        <s v="13:54:52 à 14:44:44" u="1"/>
        <s v="22:32:53 à 23:53:03" u="1"/>
        <s v="13:48:05 à 13:48:29" u="1"/>
        <s v="16:22:05 à 17:01:12" u="1"/>
        <s v="17:07:35 à 17:18:34" u="1"/>
        <s v="17:28:30 à 17:30:11" u="1"/>
        <s v="16:14:04 à 17:05:43" u="1"/>
        <s v="12:06:49 à 13:32:33" u="1"/>
        <s v="15:25:19 à 17:12:41" u="1"/>
        <s v="05:31:14 à 06:38:29" u="1"/>
        <s v="05:32:00 à 06:38:29" u="1"/>
        <s v="11:11:26 à 12:43:04" u="1"/>
        <s v="12:11:09 à 12:12:06" u="1"/>
        <s v="14:41:19 à 16:03:11" u="1"/>
        <s v="15:16:28 à 16:36:25" u="1"/>
        <s v="15:31:44 à 16:16:22" u="1"/>
        <s v="05:35:16 à 06:38:39" u="1"/>
        <s v="12:15:26 à 12:16:25" u="1"/>
        <s v="14:49:47 à 16:23:20" u="1"/>
        <s v="16:17:48 à 16:25:36" u="1"/>
        <s v="16:19:06 à 16:45:35" u="1"/>
        <s v="11:18:16 à 12:03:26" u="1"/>
        <s v="11:33:35 à 12:23:21" u="1"/>
        <s v="16:21:47 à 16:29:53" u="1"/>
        <s v="08:18:22 à 09:19:23" u="1"/>
        <s v="14:13:46 à 15:47:18" u="1"/>
        <s v="19:34:26 à 19:49:35" u="1"/>
        <s v="05:50:39 à 05:54:19" u="1"/>
        <s v="10:24:06 à 11:34:06" u="1"/>
        <s v="10:24:40 à 12:58:50" u="1"/>
        <s v="10:33:21 à 11:18:14" u="1"/>
        <s v="08:18:37 à 09:15:34" u="1"/>
        <s v="11:25:33 à 12:23:53" u="1"/>
        <s v="11:45:53 à 12:03:50" u="1"/>
        <s v="17:17:17 à 21:09:42" u="1"/>
        <s v="10:17:01 à 11:58:36" u="1"/>
        <s v="14:45:21 à 14:47:06" u="1"/>
        <s v="17:13:29 à 18:04:00" u="1"/>
        <s v="17:52:32 à 18:27:16" u="1"/>
        <s v="10:26:54 à 11:38:45" u="1"/>
        <s v="10:30:51 à 11:50:24" u="1"/>
        <s v="10:42:13 à 11:30:23" u="1"/>
        <s v="11:00:53 à 11:47:49" u="1"/>
        <s v="13:44:38 à 14:34:07" u="1"/>
        <s v="14:42:05 à 14:43:07" u="1"/>
        <s v="14:58:01 à 15:27:51" u="1"/>
        <s v="14:29:55 à 15:23:58" u="1"/>
        <s v="08:02:20 à 08:55:38" u="1"/>
        <s v="08:37:55 à 08:39:42" u="1"/>
        <s v="10:11:09 à 11:50:48" u="1"/>
        <s v="10:52:57 à 11:34:50" u="1"/>
        <s v="17:06:19 à 17:08:05" u="1"/>
        <s v="12:19:40 à 13:06:02" u="1"/>
        <s v="13:54:32 à 14:54:44" u="1"/>
        <s v="14:04:03 à 14:20:31" u="1"/>
        <s v="14:28:24 à 17:17:20" u="1"/>
        <s v="20:15:32 à 20:52:43" u="1"/>
        <s v="00:11:55 à 00:13:46" u="1"/>
        <s v="17:12:15 à 17:20:24" u="1"/>
        <s v="05:37:34 à 06:48:09" u="1"/>
        <s v="13:18:46 à 13:19:41" u="1"/>
        <s v="16:54:08 à 17:38:59" u="1"/>
        <s v="05:58:51 à 07:08:53" u="1"/>
        <s v="10:51:34 à 13:27:58" u="1"/>
        <s v="11:14:26 à 12:17:15" u="1"/>
        <s v="11:29:16 à 12:13:04" u="1"/>
        <s v="12:58:16 à 13:41:49" u="1"/>
        <s v="08:00:34 à 12:42:29" u="1"/>
        <s v="12:50:23 à 13:41:59" u="1"/>
        <s v="16:19:16 à 16:59:44" u="1"/>
        <s v="08:21:47 à 09:09:12" u="1"/>
        <s v="11:37:42 à 12:17:31" u="1"/>
        <s v="18:30:42 à 19:02:09" u="1"/>
        <s v="08:13:43 à 09:01:06" u="1"/>
        <s v="14:21:08 à 15:57:16" u="1"/>
        <s v="15:23:52 à 16:46:53" u="1"/>
        <s v="16:02:59 à 16:51:48" u="1"/>
        <s v="16:38:25 à 16:55:51" u="1"/>
        <s v="19:50:37 à 19:51:13" u="1"/>
        <s v="08:18:06 à 09:09:34" u="1"/>
        <s v="09:07:07 à 09:58:34" u="1"/>
        <s v="14:23:19 à 15:13:19" u="1"/>
        <s v="15:38:57 à 16:02:54" u="1"/>
        <s v="16:55:16 à 19:28:32" u="1"/>
        <s v="11:18:28 à 11:53:18" u="1"/>
        <s v="11:44:32 à 11:53:12" u="1"/>
        <s v="14:36:06 à 15:17:36" u="1"/>
        <s v="07:46:11 à 08:56:00" u="1"/>
        <s v="10:50:46 à 11:44:20" u="1"/>
        <s v="15:50:38 à 18:59:14" u="1"/>
        <s v="17:39:30 à 19:33:47" u="1"/>
        <s v="09:01:11 à 09:34:56" u="1"/>
        <s v="09:03:01 à 09:54:55" u="1"/>
        <s v="09:24:09 à 09:50:42" u="1"/>
        <s v="10:30:43 à 11:20:26" u="1"/>
        <s v="15:05:21 à 20:17:18" u="1"/>
        <s v="21:16:04 à 21:19:50" u="1"/>
        <s v="08:01:31 à 10:07:22" u="1"/>
        <s v="08:08:38 à 08:49:38" u="1"/>
        <s v="09:16:19 à 09:50:54" u="1"/>
        <s v="10:35:33 à 11:28:54" u="1"/>
        <s v="10:58:40 à 11:40:31" u="1"/>
        <s v="15:42:12 à 15:42:54" u="1"/>
        <s v="16:50:06 à 18:28:36" u="1"/>
        <s v="08:48:31 à 08:49:40" u="1"/>
        <s v="09:50:56 à 10:39:46" u="1"/>
        <s v="10:17:31 à 11:24:59" u="1"/>
        <s v="10:56:23 à 11:20:42" u="1"/>
        <s v="12:20:51 à 15:11:59" u="1"/>
        <s v="16:13:40 à 17:29:02" u="1"/>
        <s v="16:17:37 à 17:01:05" u="1"/>
        <s v="13:58:15 à 14:44:55" u="1"/>
        <s v="16:27:32 à 17:21:12" u="1"/>
        <s v="16:07:46 à 17:49:43" u="1"/>
        <s v="09:10:06 à 12:29:17" u="1"/>
        <s v="13:04:04 à 13:45:33" u="1"/>
        <s v="16:24:33 à 16:25:05" u="1"/>
        <s v="13:08:37 à 13:45:43" u="1"/>
        <s v="13:23:58 à 13:25:40" u="1"/>
        <s v="15:22:37 à 16:12:06" u="1"/>
        <s v="15:24:57 à 16:16:15" u="1"/>
        <s v="23:41:59 à 23:42:43" u="1"/>
        <s v="07:50:54 à 07:52:53" u="1"/>
        <s v="11:16:25 à 12:03:07" u="1"/>
        <s v="12:29:00 à 12:32:04" u="1"/>
        <s v="16:38:55 à 16:41:13" u="1"/>
        <s v="07:29:09 à 19:29:19" u="1"/>
        <s v="09:31:43 à 12:09:54" u="1"/>
        <s v="14:23:04 à 16:03:36" u="1"/>
        <s v="15:15:55 à 16:16:47" u="1"/>
        <s v="16:32:03 à 16:49:51" u="1"/>
        <s v="05:59:27 à 06:54:46" u="1"/>
        <s v="09:53:31 à 11:45:13" u="1"/>
        <s v="12:08:53 à 12:36:47" u="1"/>
        <s v="07:33:22 à 09:26:20" u="1"/>
        <s v="08:30:55 à 09:31:11" u="1"/>
        <s v="13:57:07 à 15:10:04" u="1"/>
        <s v="14:36:30 à 15:47:25" u="1"/>
        <s v="15:41:25 à 15:56:23" u="1"/>
        <s v="09:23:58 à 11:45:39" u="1"/>
        <s v="11:26:17 à 12:23:54" u="1"/>
        <s v="01:01:39 à 01:02:16" u="1"/>
        <s v="07:31:38 à 20:27:03" u="1"/>
        <s v="09:11:48 à 09:44:44" u="1"/>
        <s v="09:51:52 à 10:25:08" u="1"/>
        <s v="10:23:44 à 11:10:19" u="1"/>
        <s v="17:09:52 à 18:04:03" u="1"/>
        <s v="09:04:21 à 09:44:56" u="1"/>
        <s v="09:12:50 à 09:40:45" u="1"/>
        <s v="10:52:56 à 10:58:03" u="1"/>
        <s v="10:57:45 à 15:07:42" u="1"/>
        <s v="15:51:01 à 18:41:07" u="1"/>
        <s v="17:35:25 à 21:21:40" u="1"/>
        <s v="10:02:07 à 10:15:00" u="1"/>
        <s v="10:45:28 à 11:54:42" u="1"/>
        <s v="14:49:55 à 15:23:55" u="1"/>
        <s v="17:45:07 à 18:27:39" u="1"/>
        <s v="10:32:00 à 10:38:28" u="1"/>
        <s v="13:58:27 à 14:50:16" u="1"/>
        <s v="17:07:28 à 17:08:06" u="1"/>
        <s v="21:00:47 à 21:01:55" u="1"/>
        <s v="08:17:15 à 08:35:48" u="1"/>
        <s v="08:52:12 à 10:56:46" u="1"/>
        <s v="09:52:24 à 10:45:47" u="1"/>
        <s v="16:56:39 à 18:14:48" u="1"/>
        <s v="17:07:59 à 18:44:41" u="1"/>
        <s v="10:56:35 à 10:58:43" u="1"/>
        <s v="16:18:13 à 17:39:22" u="1"/>
        <s v="08:50:02 à 08:51:50" u="1"/>
        <s v="00:37:22 à 00:37:51" u="1"/>
        <s v="09:35:05 à 16:08:05" u="1"/>
        <s v="10:50:09 à 10:50:45" u="1"/>
        <s v="13:02:27 à 13:55:23" u="1"/>
        <s v="12:11:26 à 13:22:23" u="1"/>
        <s v="16:36:06 à 16:39:12" u="1"/>
        <s v="05:42:12 à 07:00:38" u="1"/>
        <s v="12:18:56 à 13:06:43" u="1"/>
        <s v="06:52:03 à 06:53:17" u="1"/>
        <s v="12:05:51 à 12:06:19" u="1"/>
        <s v="12:12:51 à 12:42:06" u="1"/>
        <s v="08:33:18 à 09:29:00" u="1"/>
        <s v="14:32:41 à 16:17:33" u="1"/>
        <s v="09:11:49 à 09:34:05" u="1"/>
        <s v="16:13:35 à 16:55:46" u="1"/>
        <s v="16:29:14 à 16:55:44" u="1"/>
        <s v="16:34:12 à 16:35:43" u="1"/>
        <s v="10:43:31 à 12:00:22" u="1"/>
        <s v="11:35:41 à 11:37:05" u="1"/>
        <s v="16:10:51 à 16:31:48" u="1"/>
        <s v="18:49:52 à 19:06:27" u="1"/>
        <s v="08:46:45 à 09:21:10" u="1"/>
        <s v="14:23:59 à 15:37:28" u="1"/>
        <s v="21:17:42 à 21:19:21" u="1"/>
        <s v="11:19:05 à 11:57:28" u="1"/>
        <s v="14:36:29 à 15:33:27" u="1"/>
        <s v="18:39:38 à 20:08:04" u="1"/>
        <s v="18:41:32 à 19:02:38" u="1"/>
        <s v="13:02:03 à 14:29:00" u="1"/>
        <s v="13:51:40 à 15:04:34" u="1"/>
        <s v="18:55:57 à 19:46:53" u="1"/>
        <s v="19:55:10 à 19:55:53" u="1"/>
        <s v="13:34:53 à 15:04:48" u="1"/>
        <s v="13:48:06 à 15:48:53" u="1"/>
        <s v="14:55:20 à 15:53:42" u="1"/>
        <s v="17:44:56 à 18:37:29" u="1"/>
        <s v="19:08:42 à 21:13:57" u="1"/>
        <s v="07:28:59 à 08:16:27" u="1"/>
        <s v="10:56:23 à 11:44:41" u="1"/>
        <s v="09:47:32 à 10:39:49" u="1"/>
        <s v="11:40:23 à 11:53:53" u="1"/>
        <s v="13:01:02 à 14:45:20" u="1"/>
        <s v="17:13:49 à 17:38:03" u="1"/>
        <s v="10:59:40 à 11:40:52" u="1"/>
        <s v="13:18:15 à 14:05:30" u="1"/>
        <s v="16:08:29 à 17:05:07" u="1"/>
        <s v="17:13:15 à 17:54:03" u="1"/>
        <s v="08:12:08 à 08:45:58" u="1"/>
        <s v="09:46:02 à 10:55:59" u="1"/>
        <s v="13:47:51 à 14:44:48" u="1"/>
        <s v="13:50:32 à 14:40:37" u="1"/>
        <s v="00:23:05 à 00:23:35" u="1"/>
        <s v="08:17:57 à 13:32:15" u="1"/>
        <s v="12:14:55 à 13:32:03" u="1"/>
        <s v="05:40:08 à 06:58:08" u="1"/>
        <s v="05:42:38 à 06:54:09" u="1"/>
        <s v="12:29:43 à 13:12:32" u="1"/>
        <s v="12:29:45 à 13:16:41" u="1"/>
        <s v="10:04:51 à 12:14:09" u="1"/>
        <s v="11:37:30 à 12:43:02" u="1"/>
        <s v="11:45:26 à 12:23:01" u="1"/>
        <s v="08:11:11 à 09:59:03" u="1"/>
        <s v="16:44:51 à 16:45:31" u="1"/>
        <s v="08:06:10 à 09:15:08" u="1"/>
        <s v="05:34:42 à 05:35:10" u="1"/>
        <s v="10:31:29 à 11:38:15" u="1"/>
        <s v="05:17:33 à 05:19:34" u="1"/>
        <s v="12:30:47 à 12:32:53" u="1"/>
        <s v="13:44:08 à 15:14:26" u="1"/>
        <s v="14:45:41 à 15:43:25" u="1"/>
        <s v="21:16:21 à 21:29:31" u="1"/>
        <s v="07:41:59 à 09:22:30" u="1"/>
        <s v="09:15:44 à 10:26:01" u="1"/>
        <s v="14:44:42 à 15:23:36" u="1"/>
        <s v="14:45:52 à 15:43:35" u="1"/>
        <s v="15:32:47 à 15:36:47" u="1"/>
        <s v="04:43:46 à 04:46:01" u="1"/>
        <s v="07:59:46 à 08:46:10" u="1"/>
        <s v="09:16:15 à 10:06:12" u="1"/>
        <s v="14:45:19 à 15:03:47" u="1"/>
        <s v="17:12:02 à 18:08:21" u="1"/>
        <s v="08:34:53 à 09:31:52" u="1"/>
        <s v="13:52:56 à 14:50:07" u="1"/>
        <s v="14:37:10 à 15:23:58" u="1"/>
        <s v="16:19:29 à 18:19:30" u="1"/>
        <s v="17:02:58 à 18:20:14" u="1"/>
        <s v="20:35:40 à 20:36:11" u="1"/>
        <s v="08:04:54 à 08:59:49" u="1"/>
        <s v="10:43:45 à 11:30:45" u="1"/>
        <s v="11:58:54 à 18:01:29" u="1"/>
        <s v="13:00:45 à 14:19:51" u="1"/>
        <s v="17:00:42 à 17:08:27" u="1"/>
        <s v="20:06:59 à 20:12:39" u="1"/>
        <s v="16:05:07 à 18:51:52" u="1"/>
        <s v="16:35:05 à 17:11:12" u="1"/>
        <s v="10:08:21 à 10:11:42" u="1"/>
        <s v="12:33:21 à 13:22:10" u="1"/>
        <s v="13:39:51 à 17:00:12" u="1"/>
        <s v="16:31:21 à 17:31:21" u="1"/>
        <s v="16:16:42 à 17:35:44" u="1"/>
        <s v="16:03:12 à 22:22:03" u="1"/>
        <s v="11:23:03 à 12:13:06" u="1"/>
        <s v="23:31:10 à 23:32:57" u="1"/>
        <s v="15:39:24 à 19:59:06" u="1"/>
        <s v="08:05:21 à 09:05:09" u="1"/>
        <s v="11:42:20 à 12:33:21" u="1"/>
        <s v="12:07:48 à 12:42:29" u="1"/>
        <s v="16:18:09 à 16:19:58" u="1"/>
        <s v="11:46:55 à 12:33:31" u="1"/>
        <s v="21:18:45 à 21:19:12" u="1"/>
        <s v="22:19:06 à 22:20:30" u="1"/>
        <s v="12:36:16 à 12:42:43" u="1"/>
        <s v="07:45:32 à 09:32:20" u="1"/>
        <s v="08:19:46 à 09:09:46" u="1"/>
        <s v="08:31:35 à 09:29:41" u="1"/>
        <s v="09:34:12 à 09:34:32" u="1"/>
        <s v="10:32:59 à 11:08:27" u="1"/>
        <s v="10:43:21 à 11:20:06" u="1"/>
        <s v="13:40:00 à 15:44:25" u="1"/>
        <s v="08:20:27 à 09:09:54" u="1"/>
        <s v="09:42:37 à 11:19:57" u="1"/>
        <s v="10:27:07 à 11:40:19" u="1"/>
        <s v="13:56:39 à 15:40:24" u="1"/>
        <s v="09:42:20 à 10:59:29" u="1"/>
        <s v="09:50:02 à 11:15:56" u="1"/>
        <s v="09:51:49 à 15:00:48" u="1"/>
        <s v="18:05:39 à 18:07:24" u="1"/>
        <s v="09:13:48 à 10:12:13" u="1"/>
        <s v="11:52:38 à 11:53:42" u="1"/>
        <s v="18:04:46 à 18:07:34" u="1"/>
        <s v="07:59:05 à 08:52:21" u="1"/>
        <s v="08:10:15 à 14:56:30" u="1"/>
        <s v="13:15:21 à 14:09:30" u="1"/>
        <s v="14:52:16 à 14:53:27" u="1"/>
        <s v="07:52:03 à 10:53:38" u="1"/>
        <s v="13:33:20 à 17:18:00" u="1"/>
        <s v="13:52:42 à 14:40:28" u="1"/>
        <s v="20:25:38 à 20:26:34" u="1"/>
        <s v="07:53:55 à 07:56:14" u="1"/>
        <s v="08:40:36 à 08:41:44" u="1"/>
        <s v="10:45:10 à 14:17:49" u="1"/>
        <s v="07:46:42 à 08:32:54" u="1"/>
        <s v="08:16:35 à 10:43:51" u="1"/>
        <s v="13:24:42 à 13:25:12" u="1"/>
        <s v="16:19:39 à 17:49:33" u="1"/>
        <s v="12:38:21 à 13:32:20" u="1"/>
        <s v="14:20:12 à 16:07:07" u="1"/>
        <s v="16:34:06 à 17:29:50" u="1"/>
        <s v="12:03:50 à 17:05:47" u="1"/>
        <s v="16:33:47 à 17:21:42" u="1"/>
        <s v="12:31:32 à 13:16:50" u="1"/>
        <s v="13:37:43 à 16:50:04" u="1"/>
        <s v="14:50:39 à 16:43:10" u="1"/>
        <s v="16:46:22 à 16:49:31" u="1"/>
        <s v="05:58:37 à 06:58:37" u="1"/>
        <s v="11:33:32 à 12:23:24" u="1"/>
        <s v="14:30:48 à 15:07:09" u="1"/>
        <s v="16:32:26 à 16:49:53" u="1"/>
        <s v="08:05:12 à 09:15:19" u="1"/>
        <s v="11:15:48 à 12:27:47" u="1"/>
        <s v="11:16:28 à 12:07:48" u="1"/>
        <s v="12:07:47 à 12:52:39" u="1"/>
        <s v="12:46:16 à 19:18:16" u="1"/>
        <s v="16:18:23 à 16:41:49" u="1"/>
        <s v="07:42:11 à 09:42:10" u="1"/>
        <s v="12:02:03 à 12:36:59" u="1"/>
        <s v="16:56:39 à 19:50:15" u="1"/>
        <s v="09:05:43 à 09:40:29" u="1"/>
        <s v="09:59:45 à 11:09:46" u="1"/>
        <s v="10:38:32 à 12:10:45" u="1"/>
        <s v="15:53:54 à 15:56:33" u="1"/>
        <s v="17:17:49 à 18:08:02" u="1"/>
        <s v="05:24:46 à 05:59:41" u="1"/>
        <s v="05:33:27 à 05:39:40" u="1"/>
        <s v="08:45:55 à 11:52:37" u="1"/>
        <s v="10:42:06 à 12:10:53" u="1"/>
        <s v="10:43:32 à 11:30:16" u="1"/>
        <s v="13:06:39 à 15:11:20" u="1"/>
        <s v="18:31:31 à 20:54:04" u="1"/>
        <s v="10:35:08 à 11:50:27" u="1"/>
        <s v="18:41:36 à 19:32:58" u="1"/>
        <s v="06:51:45 à 10:50:09" u="1"/>
        <s v="07:46:24 à 09:02:52" u="1"/>
        <s v="08:43:30 à 09:31:51" u="1"/>
        <s v="14:10:32 à 14:44:10" u="1"/>
        <s v="17:17:11 à 18:28:31" u="1"/>
        <s v="09:06:39 à 10:06:35" u="1"/>
        <s v="13:54:53 à 14:38:37" u="1"/>
        <s v="14:18:33 à 14:20:12" u="1"/>
        <s v="15:03:14 à 18:46:42" u="1"/>
        <s v="20:16:37 à 20:16:37" u="1"/>
        <s v="09:11:42 à 10:06:53" u="1"/>
        <s v="17:29:10 à 18:20:41" u="1"/>
        <s v="22:58:53 à 23:03:05" u="1"/>
        <s v="05:51:11 à 07:04:17" u="1"/>
        <s v="08:27:25 à 08:51:58" u="1"/>
        <s v="13:05:23 à 13:55:15" u="1"/>
        <s v="16:27:09 à 18:31:50" u="1"/>
        <s v="17:07:41 à 17:08:38" u="1"/>
        <s v="04:40:59 à 04:42:53" u="1"/>
        <s v="11:39:42 à 13:17:20" u="1"/>
        <s v="12:20:30 à 13:06:23" u="1"/>
        <s v="07:05:57 à 07:07:41" u="1"/>
        <s v="12:33:12 à 13:02:22" u="1"/>
        <s v="14:54:58 à 16:37:00" u="1"/>
        <s v="15:31:33 à 16:06:06" u="1"/>
        <s v="16:31:39 à 17:11:33" u="1"/>
        <s v="16:34:10 à 16:35:05" u="1"/>
        <s v="09:17:54 à 23:11:40" u="1"/>
        <s v="13:13:35 à 13:39:53" u="1"/>
        <s v="10:41:49 à 12:08:12" u="1"/>
        <s v="15:57:40 à 16:46:20" u="1"/>
        <s v="11:41:02 à 12:37:21" u="1"/>
        <s v="11:52:05 à 12:33:10" u="1"/>
        <s v="12:54:13 à 16:19:30" u="1"/>
        <s v="16:39:11 à 16:59:43" u="1"/>
        <s v="22:08:03 à 22:08:32" u="1"/>
        <s v="22:19:25 à 22:20:11" u="1"/>
        <s v="09:27:02 à 09:54:04" u="1"/>
        <s v="15:20:19 à 16:06:48" u="1"/>
        <s v="09:54:33 à 15:00:09" u="1"/>
        <s v="11:53:30 à 12:33:30" u="1"/>
        <s v="12:05:03 à 12:46:49" u="1"/>
        <s v="15:36:24 à 16:22:46" u="1"/>
        <s v="08:35:44 à 09:25:23" u="1"/>
        <s v="09:02:43 à 09:18:39" u="1"/>
        <s v="19:30:49 à 19:39:49" u="1"/>
        <s v="09:09:28 à 09:54:38" u="1"/>
        <s v="07:43:27 à 08:36:04" u="1"/>
        <s v="08:06:23 à 10:07:05" u="1"/>
        <s v="08:14:38 à 09:01:39" u="1"/>
        <s v="09:13:13 à 09:34:47" u="1"/>
        <s v="10:52:04 à 15:13:25" u="1"/>
        <s v="11:35:22 à 11:37:37" u="1"/>
        <s v="08:31:41 à 09:25:53" u="1"/>
        <s v="08:38:23 à 09:41:43" u="1"/>
        <s v="12:35:57 à 15:19:58" u="1"/>
        <s v="13:09:41 à 14:45:02" u="1"/>
        <s v="13:20:07 à 14:05:00" u="1"/>
        <s v="13:56:41 à 14:28:18" u="1"/>
        <s v="09:10:29 à 09:10:59" u="1"/>
        <s v="17:28:38 à 18:18:30" u="1"/>
        <s v="10:02:15 à 10:21:03" u="1"/>
        <s v="13:18:59 à 18:18:31" u="1"/>
        <s v="08:28:01 à 10:07:41" u="1"/>
        <s v="10:09:21 à 10:49:30" u="1"/>
        <s v="00:22:59 à 00:23:27" u="1"/>
        <s v="07:12:45 à 07:13:00" u="1"/>
        <s v="10:28:50 à 17:07:03" u="1"/>
        <s v="14:17:14 à 14:18:51" u="1"/>
        <s v="14:54:02 à 14:57:57" u="1"/>
        <s v="04:55:36 à 04:56:50" u="1"/>
        <s v="13:28:14 à 13:29:22" u="1"/>
        <s v="17:01:19 à 17:38:37" u="1"/>
        <s v="12:22:59 à 13:16:23" u="1"/>
        <s v="13:59:46 à 14:40:59" u="1"/>
        <s v="10:00:25 à 10:21:53" u="1"/>
        <s v="10:04:31 à 13:10:28" u="1"/>
        <s v="11:32:43 à 12:47:03" u="1"/>
        <s v="11:40:57 à 12:27:02" u="1"/>
        <s v="12:27:40 à 13:16:53" u="1"/>
        <s v="13:00:58 à 13:01:49" u="1"/>
        <s v="15:42:07 à 16:32:14" u="1"/>
        <s v="17:02:47 à 17:50:58" u="1"/>
        <s v="05:19:35 à 06:31:13" u="1"/>
        <s v="12:22:54 à 13:12:54" u="1"/>
        <s v="14:49:32 à 16:27:33" u="1"/>
        <s v="08:20:13 à 09:59:13" u="1"/>
        <s v="09:04:36 à 11:06:02" u="1"/>
        <s v="02:15:03 à 02:15:32" u="1"/>
        <s v="13:58:54 à 15:58:13" u="1"/>
        <s v="08:02:51 à 09:19:39" u="1"/>
        <s v="09:04:35 à 09:44:29" u="1"/>
        <s v="09:07:51 à 09:44:29" u="1"/>
        <s v="10:54:31 à 11:38:13" u="1"/>
        <s v="11:15:00 à 12:07:59" u="1"/>
        <s v="11:18:05 à 12:07:59" u="1"/>
        <s v="11:26:18 à 12:03:48" u="1"/>
        <s v="15:32:37 à 15:36:29" u="1"/>
        <s v="07:40:00 à 09:26:31" u="1"/>
        <s v="08:12:40 à 09:19:47" u="1"/>
        <s v="11:51:10 à 12:43:50" u="1"/>
        <s v="08:10:08 à 09:55:46" u="1"/>
        <s v="08:33:09 à 08:35:07" u="1"/>
        <s v="19:59:53 à 20:03:04" u="1"/>
        <s v="08:22:31 à 09:15:56" u="1"/>
        <s v="13:51:03 à 14:54:08" u="1"/>
        <s v="08:19:24 à 09:31:58" u="1"/>
        <s v="10:38:40 à 11:50:38" u="1"/>
        <s v="10:58:58 à 11:50:34" u="1"/>
        <s v="12:54:25 à 14:29:28" u="1"/>
        <s v="18:11:34 à 18:53:22" u="1"/>
        <s v="05:49:09 à 05:51:50" u="1"/>
        <s v="09:14:07 à 10:02:25" u="1"/>
        <s v="09:35:44 à 10:02:21" u="1"/>
        <s v="10:55:54 à 10:58:26" u="1"/>
        <s v="14:10:50 à 15:00:50" u="1"/>
        <s v="17:38:28 à 20:49:44" u="1"/>
        <s v="10:46:52 à 11:30:57" u="1"/>
        <s v="13:21:02 à 14:31:20" u="1"/>
        <s v="13:27:10 à 14:11:21" u="1"/>
        <s v="17:37:47 à 18:00:31" u="1"/>
        <s v="10:00:28 à 10:51:22" u="1"/>
        <s v="17:18:09 à 18:24:53" u="1"/>
        <s v="12:28:21 à 14:06:50" u="1"/>
        <s v="13:11:31 à 13:51:05" u="1"/>
        <s v="17:23:39 à 18:40:51" u="1"/>
        <s v="12:34:18 à 13:22:12" u="1"/>
        <s v="16:44:57 à 17:35:30" u="1"/>
        <s v="20:10:07 à 20:12:59" u="1"/>
        <s v="17:07:45 à 17:08:59" u="1"/>
        <s v="09:24:43 à 13:11:47" u="1"/>
        <s v="12:41:46 à 12:46:02" u="1"/>
        <s v="05:27:51 à 06:41:11" u="1"/>
        <s v="15:37:44 à 16:22:27" u="1"/>
        <s v="05:51:07 à 06:48:49" u="1"/>
        <s v="08:34:19 à 09:29:13" u="1"/>
        <s v="19:55:15 à 19:59:25" u="1"/>
        <s v="19:59:07 à 19:59:25" u="1"/>
        <s v="08:38:04 à 09:25:14" u="1"/>
        <s v="08:38:24 à 09:29:23" u="1"/>
        <s v="09:17:59 à 09:54:17" u="1"/>
        <s v="11:41:36 à 12:33:33" u="1"/>
        <s v="11:58:09 à 12:33:31" u="1"/>
        <s v="14:51:59 à 15:37:15" u="1"/>
        <s v="16:28:05 à 16:55:57" u="1"/>
        <s v="10:45:26 à 16:53:42" u="1"/>
        <s v="14:55:55 à 15:53:15" u="1"/>
        <s v="17:03:01 à 21:59:36" u="1"/>
        <s v="05:25:17 à 06:21:52" u="1"/>
        <s v="05:40:35 à 05:41:21" u="1"/>
        <s v="08:18:49 à 09:05:49" u="1"/>
        <s v="09:10:32 à 09:54:47" u="1"/>
        <s v="14:12:17 à 15:10:20" u="1"/>
        <s v="16:03:58 à 19:01:33" u="1"/>
        <s v="08:06:15 à 09:45:59" u="1"/>
        <s v="08:34:42 à 09:05:55" u="1"/>
        <s v="09:50:31 à 11:51:47" u="1"/>
        <s v="12:51:54 à 20:26:01" u="1"/>
        <s v="13:45:41 à 15:20:39" u="1"/>
        <s v="14:44:41 à 15:37:57" u="1"/>
        <s v="07:41:49 à 08:32:16" u="1"/>
        <s v="09:13:11 à 10:52:13" u="1"/>
        <s v="11:35:28 à 11:37:58" u="1"/>
        <s v="13:22:05 à 14:09:20" u="1"/>
        <s v="14:45:38 à 15:53:57" u="1"/>
        <s v="16:38:55 à 20:42:16" u="1"/>
        <s v="09:31:42 à 10:32:20" u="1"/>
        <s v="10:36:39 à 11:24:59" u="1"/>
        <s v="10:45:52 à 11:40:47" u="1"/>
        <s v="10:05:28 à 10:45:22" u="1"/>
        <s v="12:47:53 à 20:46:32" u="1"/>
        <s v="17:08:54 à 18:10:37" u="1"/>
        <s v="14:13:24 à 14:38:51" u="1"/>
        <s v="16:09:34 à 18:05:56" u="1"/>
        <s v="16:28:14 à 17:25:15" u="1"/>
        <s v="16:35:49 à 18:05:50" u="1"/>
        <s v="07:22:02 à 10:54:50" u="1"/>
        <s v="11:33:14 à 13:07:12" u="1"/>
        <s v="11:46:12 à 13:03:11" u="1"/>
        <s v="12:40:09 à 13:32:10" u="1"/>
        <s v="15:25:35 à 17:16:35" u="1"/>
        <s v="03:03:38 à 03:04:22" u="1"/>
        <s v="10:01:15 à 10:41:53" u="1"/>
        <s v="12:27:49 à 13:12:25" u="1"/>
        <s v="16:17:05 à 16:49:19" u="1"/>
        <s v="17:31:41 à 17:34:43" u="1"/>
        <s v="11:39:16 à 12:27:05" u="1"/>
        <s v="16:41:11 à 17:25:51" u="1"/>
        <s v="16:56:38 à 17:05:50" u="1"/>
        <s v="22:13:27 à 22:14:02" u="1"/>
        <s v="13:33:16 à 17:30:43" u="1"/>
        <s v="10:39:11 à 12:10:07" u="1"/>
        <s v="15:42:32 à 16:32:25" u="1"/>
        <s v="09:58:47 à 11:21:09" u="1"/>
        <s v="11:03:06 à 11:04:01" u="1"/>
        <s v="11:42:37 à 11:43:07" u="1"/>
        <s v="13:22:21 à 21:09:24" u="1"/>
        <s v="15:53:24 à 15:56:25" u="1"/>
        <s v="09:58:51 à 11:21:29" u="1"/>
        <s v="10:36:24 à 11:34:19" u="1"/>
        <s v="15:14:18 à 21:27:36" u="1"/>
        <s v="08:17:59 à 09:19:58" u="1"/>
        <s v="11:06:30 à 11:08:30" u="1"/>
        <s v="15:51:56 à 15:52:36" u="1"/>
        <s v="19:17:23 à 19:22:41" u="1"/>
        <s v="19:53:02 à 20:07:14" u="1"/>
        <s v="21:24:38 à 21:25:33" u="1"/>
        <s v="09:12:48 à 11:22:41" u="1"/>
        <s v="10:22:56 à 11:58:49" u="1"/>
        <s v="15:03:44 à 15:37:50" u="1"/>
        <s v="09:11:37 à 10:06:25" u="1"/>
        <s v="14:06:01 à 14:48:33" u="1"/>
        <s v="16:27:25 à 17:39:04" u="1"/>
        <s v="08:23:44 à 10:17:52" u="1"/>
        <s v="10:57:47 à 10:58:47" u="1"/>
        <s v="13:01:51 à 13:15:09" u="1"/>
        <s v="13:28:20 à 14:11:32" u="1"/>
        <s v="14:10:28 à 14:24:53" u="1"/>
        <s v="18:52:40 à 20:50:53" u="1"/>
        <s v="10:14:39 à 10:15:52" u="1"/>
        <s v="12:43:11 à 13:02:12" u="1"/>
        <s v="16:12:26 à 16:59:09" u="1"/>
        <s v="00:33:14 à 00:33:56" u="1"/>
        <s v="06:04:51 à 07:10:34" u="1"/>
        <s v="15:19:06 à 17:22:48" u="1"/>
        <s v="06:29:15 à 06:30:03" u="1"/>
        <s v="11:53:21 à 12:37:11" u="1"/>
        <s v="12:20:08 à 12:22:09" u="1"/>
        <s v="13:29:48 à 17:40:45" u="1"/>
        <s v="15:25:09 à 22:37:20" u="1"/>
        <s v="16:28:27 à 17:31:56" u="1"/>
        <s v="16:49:54 à 17:31:52" u="1"/>
        <s v="15:38:19 à 16:02:29" u="1"/>
        <s v="15:39:19 à 16:22:28" u="1"/>
        <s v="15:48:27 à 16:46:34" u="1"/>
        <s v="11:47:47 à 12:33:24" u="1"/>
        <s v="08:21:12 à 09:29:26" u="1"/>
        <s v="08:35:23 à 09:25:15" u="1"/>
        <s v="08:50:11 à 12:06:55" u="1"/>
        <s v="11:27:56 à 12:17:48" u="1"/>
        <s v="12:16:19 à 12:46:49" u="1"/>
        <s v="15:51:45 à 16:42:43" u="1"/>
        <s v="19:54:35 à 19:55:27" u="1"/>
        <s v="05:29:57 à 06:45:51" u="1"/>
        <s v="05:38:39 à 09:30:05" u="1"/>
        <s v="08:21:25 à 09:05:28" u="1"/>
        <s v="11:22:11 à 12:17:58" u="1"/>
        <s v="12:21:38 à 16:51:48" u="1"/>
        <s v="16:30:13 à 16:31:58" u="1"/>
        <s v="16:31:03 à 16:31:58" u="1"/>
        <s v="08:37:10 à 09:25:35" u="1"/>
        <s v="08:39:55 à 09:41:25" u="1"/>
        <s v="10:58:18 à 11:44:15" u="1"/>
        <s v="13:44:56 à 16:20:56" u="1"/>
        <s v="17:17:24 à 19:14:31" u="1"/>
        <s v="08:17:56 à 09:09:59" u="1"/>
        <s v="08:20:23 à 09:45:46" u="1"/>
        <s v="10:06:45 à 11:09:30" u="1"/>
        <s v="10:52:05 à 12:20:53" u="1"/>
        <s v="15:02:02 à 15:03:33" u="1"/>
        <s v="16:04:06 à 18:25:06" u="1"/>
        <s v="16:09:39 à 18:09:16" u="1"/>
        <s v="17:23:00 à 18:38:11" u="1"/>
        <s v="18:02:30 à 18:03:08" u="1"/>
        <s v="18:23:35 à 18:43:02" u="1"/>
        <s v="05:49:07 à 05:49:50" u="1"/>
        <s v="09:12:53 à 10:12:06" u="1"/>
        <s v="09:32:02 à 10:16:11" u="1"/>
        <s v="10:56:51 à 11:04:37" u="1"/>
        <s v="11:06:47 à 11:14:31" u="1"/>
        <s v="13:29:02 à 14:29:10" u="1"/>
        <s v="16:00:09 à 18:21:07" u="1"/>
        <s v="09:09:07 à 18:14:28" u="1"/>
        <s v="10:43:29 à 11:28:57" u="1"/>
        <s v="10:52:43 à 11:24:46" u="1"/>
        <s v="13:20:55 à 14:05:12" u="1"/>
        <s v="15:29:09 à 18:52:11" u="1"/>
        <s v="20:25:19 à 20:26:17" u="1"/>
        <s v="09:17:49 à 10:36:34" u="1"/>
        <s v="13:21:12 à 14:21:12" u="1"/>
        <s v="13:28:19 à 14:05:22" u="1"/>
        <s v="13:31:09 à 14:05:20" u="1"/>
        <s v="14:08:48 à 15:10:53" u="1"/>
        <s v="14:08:53 à 15:50:51" u="1"/>
        <s v="00:26:46 à 00:27:28" u="1"/>
        <s v="13:12:01 à 14:25:33" u="1"/>
        <s v="16:39:21 à 17:25:04" u="1"/>
        <s v="16:41:46 à 17:29:11" u="1"/>
        <s v="16:53:36 à 17:25:00" u="1"/>
        <s v="18:20:38 à 18:47:51" u="1"/>
        <s v="08:27:55 à 10:03:44" u="1"/>
        <s v="08:56:28 à 13:36:10" u="1"/>
        <s v="10:00:49 à 10:01:26" u="1"/>
        <s v="17:09:24 à 17:54:19" u="1"/>
        <s v="07:52:51 à 08:32:55" u="1"/>
        <s v="08:14:12 à 14:52:54" u="1"/>
        <s v="12:39:08 à 13:36:12" u="1"/>
        <s v="16:59:34 à 17:41:10" u="1"/>
        <s v="17:37:41 à 17:50:14" u="1"/>
        <s v="06:11:46 à 07:00:13" u="1"/>
        <s v="13:15:11 à 17:58:35" u="1"/>
        <s v="13:39:29 à 14:21:50" u="1"/>
        <s v="15:17:27 à 17:36:47" u="1"/>
        <s v="05:22:25 à 06:35:02" u="1"/>
        <s v="11:41:28 à 13:03:32" u="1"/>
        <s v="12:19:43 à 12:56:09" u="1"/>
        <s v="12:41:47 à 12:56:03" u="1"/>
        <s v="13:41:41 à 17:10:33" u="1"/>
        <s v="11:34:17 à 13:27:52" u="1"/>
        <s v="11:45:29 à 12:23:05" u="1"/>
        <s v="12:42:24 à 13:32:41" u="1"/>
        <s v="16:01:43 à 22:16:36" u="1"/>
        <s v="16:39:30 à 16:41:28" u="1"/>
        <s v="08:41:30 à 09:35:03" u="1"/>
        <s v="11:53:58 à 12:43:22" u="1"/>
        <s v="19:35:52 à 21:03:06" u="1"/>
        <s v="11:26:52 à 12:43:38" u="1"/>
        <s v="14:04:09 à 15:24:02" u="1"/>
        <s v="14:32:20 à 16:07:58" u="1"/>
        <s v="15:09:28 à 15:33:02" u="1"/>
        <s v="08:43:25 à 09:39:32" u="1"/>
        <s v="08:58:06 à 09:51:11" u="1"/>
        <s v="10:55:10 à 11:18:16" u="1"/>
        <s v="12:32:47 à 12:32:47" u="1"/>
        <s v="07:56:11 à 08:46:04" u="1"/>
        <s v="08:54:57 à 09:55:40" u="1"/>
        <s v="14:05:24 à 15:20:23" u="1"/>
        <s v="21:07:01 à 21:09:48" u="1"/>
        <s v="17:43:43 à 20:49:24" u="1"/>
        <s v="09:27:44 à 10:46:22" u="1"/>
        <s v="10:50:09 à 11:54:45" u="1"/>
        <s v="17:00:54 à 18:20:18" u="1"/>
        <s v="17:11:11 à 18:20:16" u="1"/>
        <s v="17:42:06 à 18:20:10" u="1"/>
        <s v="10:01:53 à 10:31:05" u="1"/>
        <s v="10:10:22 à 10:11:04" u="1"/>
        <s v="08:39:25 à 10:17:41" u="1"/>
        <s v="09:12:34 à 10:06:46" u="1"/>
        <s v="09:17:55 à 10:46:54" u="1"/>
        <s v="09:21:31 à 10:02:45" u="1"/>
        <s v="12:01:48 à 14:02:37" u="1"/>
        <s v="15:31:34 à 18:22:41" u="1"/>
        <s v="15:49:17 à 17:42:02" u="1"/>
        <s v="16:14:31 à 17:35:18" u="1"/>
        <s v="17:43:32 à 17:44:12" u="1"/>
        <s v="18:01:28 à 18:53:56" u="1"/>
        <s v="12:19:40 à 13:42:07" u="1"/>
        <s v="14:23:39 à 14:24:52" u="1"/>
        <s v="12:57:12 à 13:22:10" u="1"/>
        <s v="13:38:45 à 14:31:50" u="1"/>
        <s v="12:34:41 à 17:31:24" u="1"/>
        <s v="15:35:06 à 16:26:08" u="1"/>
        <s v="06:53:49 à 07:33:49" u="1"/>
        <s v="14:14:50 à 17:53:47" u="1"/>
        <s v="16:22:05 à 16:59:28" u="1"/>
        <s v="16:49:08 à 17:15:53" u="1"/>
        <s v="17:36:57 à 17:44:54" u="1"/>
        <s v="11:32:58 à 12:17:17" u="1"/>
        <s v="22:27:43 à 22:28:20" u="1"/>
        <s v="11:54:56 à 12:57:21" u="1"/>
        <s v="15:37:19 à 16:06:39" u="1"/>
        <s v="15:56:07 à 16:26:34" u="1"/>
        <s v="22:03:07 à 22:04:26" u="1"/>
        <s v="22:19:03 à 22:20:14" u="1"/>
        <s v="05:25:15 à 06:29:42" u="1"/>
        <s v="09:08:43 à 11:16:04" u="1"/>
        <s v="16:30:38 à 16:31:39" u="1"/>
        <s v="07:34:32 à 09:16:16" u="1"/>
        <s v="08:53:37 à 09:45:11" u="1"/>
        <s v="02:27:20 à 02:29:51" u="1"/>
        <s v="05:20:35 à 05:21:08" u="1"/>
        <s v="09:10:36 à 09:54:29" u="1"/>
        <s v="09:33:17 à 09:34:26" u="1"/>
        <s v="10:04:31 à 11:29:10" u="1"/>
        <s v="11:38:00 à 12:53:46" u="1"/>
        <s v="07:43:50 à 09:12:25" u="1"/>
        <s v="08:36:22 à 09:25:36" u="1"/>
        <s v="08:45:33 à 09:45:33" u="1"/>
        <s v="10:49:35 à 11:40:09" u="1"/>
        <s v="10:54:30 à 11:40:07" u="1"/>
        <s v="12:40:07 à 15:39:38" u="1"/>
        <s v="07:11:29 à 10:18:05" u="1"/>
        <s v="07:24:30 à 11:10:21" u="1"/>
        <s v="08:49:22 à 09:21:35" u="1"/>
        <s v="10:59:33 à 11:48:35" u="1"/>
        <s v="11:06:09 à 11:50:11" u="1"/>
        <s v="13:15:47 à 14:29:03" u="1"/>
        <s v="04:54:58 à 04:56:03" u="1"/>
        <s v="09:01:15 à 15:01:46" u="1"/>
        <s v="10:54:19 à 11:44:36" u="1"/>
        <s v="14:07:00 à 15:34:42" u="1"/>
        <s v="17:17:04 à 18:34:15" u="1"/>
        <s v="18:55:37 à 20:20:06" u="1"/>
        <s v="07:46:19 à 08:16:28" u="1"/>
        <s v="13:09:07 à 14:45:15" u="1"/>
        <s v="16:16:58 à 18:05:26" u="1"/>
        <s v="09:05:32 à 10:56:36" u="1"/>
        <s v="10:17:14 à 10:41:03" u="1"/>
        <s v="14:05:16 à 14:54:25" u="1"/>
        <s v="10:08:49 à 11:21:52" u="1"/>
        <s v="12:21:09 à 14:32:22" u="1"/>
        <s v="14:13:43 à 14:38:43" u="1"/>
        <s v="16:34:20 à 17:25:05" u="1"/>
        <s v="16:59:46 à 17:25:01" u="1"/>
        <s v="18:16:42 à 18:47:54" u="1"/>
        <s v="18:40:04 à 20:24:47" u="1"/>
        <s v="07:49:43 à 08:56:56" u="1"/>
        <s v="16:53:00 à 17:29:20" u="1"/>
        <s v="09:35:50 à 10:32:52" u="1"/>
        <s v="17:03:02 à 17:58:49" u="1"/>
        <s v="17:34:59 à 17:58:43" u="1"/>
        <s v="23:05:32 à 23:07:32" u="1"/>
        <s v="10:46:45 à 17:03:33" u="1"/>
        <s v="11:17:34 à 13:47:46" u="1"/>
        <s v="05:22:56 à 06:31:04" u="1"/>
        <s v="11:13:17 à 13:03:49" u="1"/>
        <s v="15:10:13 à 22:27:24" u="1"/>
        <s v="05:25:46 à 06:31:14" u="1"/>
        <s v="11:51:02 à 12:43:13" u="1"/>
        <s v="08:46:43 à 09:39:13" u="1"/>
        <s v="10:53:02 à 12:14:24" u="1"/>
        <s v="15:41:47 à 16:52:36" u="1"/>
        <s v="15:59:53 à 16:56:43" u="1"/>
        <s v="05:37:24 à 06:55:40" u="1"/>
        <s v="06:03:57 à 06:04:49" u="1"/>
        <s v="08:47:43 à 09:51:04" u="1"/>
        <s v="09:24:21 à 09:48:27" u="1"/>
        <s v="11:00:15 à 11:48:00" u="1"/>
        <s v="14:51:48 à 16:27:54" u="1"/>
        <s v="15:04:37 à 15:13:04" u="1"/>
        <s v="19:13:26 à 19:26:22" u="1"/>
        <s v="08:27:52 à 09:31:19" u="1"/>
        <s v="08:38:50 à 09:39:35" u="1"/>
        <s v="09:15:15 à 11:02:14" u="1"/>
        <s v="16:01:33 à 16:02:51" u="1"/>
        <s v="09:11:42 à 09:48:49" u="1"/>
        <s v="07:56:37 à 08:26:06" u="1"/>
        <s v="08:53:54 à 08:55:05" u="1"/>
        <s v="14:29:06 à 18:17:03" u="1"/>
        <s v="08:39:58 à 09:31:47" u="1"/>
        <s v="13:31:54 à 14:19:10" u="1"/>
        <s v="08:38:00 à 09:31:57" u="1"/>
        <s v="10:10:14 à 11:11:31" u="1"/>
        <s v="10:56:40 à 11:50:37" u="1"/>
        <s v="15:51:36 à 15:52:58" u="1"/>
        <s v="18:19:53 à 18:57:34" u="1"/>
        <s v="17:07:34 à 18:48:46" u="1"/>
        <s v="21:20:02 à 21:21:56" u="1"/>
        <s v="08:08:24 à 08:12:32" u="1"/>
        <s v="10:54:42 à 11:50:57" u="1"/>
        <s v="17:07:45 à 18:24:48" u="1"/>
        <s v="06:02:52 à 07:38:13" u="1"/>
        <s v="09:15:53 à 10:02:48" u="1"/>
        <s v="17:16:01 à 17:28:29" u="1"/>
        <s v="18:31:01 à 18:33:52" u="1"/>
        <s v="10:23:15 à 10:55:40" u="1"/>
        <s v="12:54:22 à 13:22:01" u="1"/>
        <s v="13:18:44 à 13:59:26" u="1"/>
        <s v="13:25:11 à 13:51:06" u="1"/>
        <s v="13:25:18 à 14:15:53" u="1"/>
        <s v="17:22:14 à 17:40:18" u="1"/>
        <s v="12:25:53 à 13:02:18" u="1"/>
        <s v="12:36:57 à 13:02:16" u="1"/>
        <s v="13:14:58 à 13:59:36" u="1"/>
        <s v="16:38:29 à 16:39:08" u="1"/>
        <s v="16:21:46 à 17:11:49" u="1"/>
        <s v="16:47:51 à 17:31:44" u="1"/>
        <s v="10:07:42 à 13:28:59" u="1"/>
        <s v="11:37:26 à 17:26:54" u="1"/>
        <s v="11:48:08 à 12:37:15" u="1"/>
        <s v="12:00:13 à 12:03:10" u="1"/>
        <s v="19:54:33 à 19:55:09" u="1"/>
        <s v="12:23:33 à 12:46:39" u="1"/>
        <s v="08:36:58 à 09:25:17" u="1"/>
        <s v="11:03:24 à 15:07:03" u="1"/>
        <s v="11:58:37 à 12:37:43" u="1"/>
        <s v="12:38:27 à 12:42:38" u="1"/>
        <s v="08:46:25 à 09:45:24" u="1"/>
        <s v="10:47:49 à 11:44:09" u="1"/>
        <s v="14:07:22 à 15:34:13" u="1"/>
        <s v="15:52:55 à 16:42:55" u="1"/>
        <s v="07:53:32 à 09:52:22" u="1"/>
        <s v="09:36:41 à 09:58:55" u="1"/>
        <s v="13:25:27 à 14:09:03" u="1"/>
        <s v="09:29:24 à 09:54:58" u="1"/>
        <s v="07:33:46 à 09:32:57" u="1"/>
        <s v="10:20:52 à 18:03:04" u="1"/>
        <s v="10:54:49 à 20:04:05" u="1"/>
        <s v="11:04:39 à 11:54:41" u="1"/>
        <s v="12:22:38 à 14:12:04" u="1"/>
        <s v="08:47:48 à 08:49:47" u="1"/>
        <s v="10:06:54 à 10:21:07" u="1"/>
        <s v="14:08:34 à 14:50:17" u="1"/>
        <s v="07:54:19 à 08:36:46" u="1"/>
        <s v="09:40:57 à 10:36:40" u="1"/>
        <s v="10:38:43 à 10:41:10" u="1"/>
        <s v="11:13:18 à 11:50:50" u="1"/>
        <s v="14:04:09 à 14:50:27" u="1"/>
        <s v="09:35:31 à 10:12:44" u="1"/>
        <s v="10:28:28 à 10:29:41" u="1"/>
        <s v="12:43:42 à 13:36:02" u="1"/>
        <s v="14:12:56 à 14:14:46" u="1"/>
        <s v="15:23:46 à 17:52:07" u="1"/>
        <s v="17:12:03 à 17:58:28" u="1"/>
        <s v="06:08:30 à 20:21:41" u="1"/>
        <s v="10:00:39 à 10:45:45" u="1"/>
        <s v="12:22:08 à 13:12:08" u="1"/>
        <s v="23:06:11 à 23:07:33" u="1"/>
        <s v="08:42:14 à 13:32:35" u="1"/>
        <s v="11:52:54 à 13:27:30" u="1"/>
        <s v="12:51:42 à 13:16:31" u="1"/>
        <s v="13:17:36 à 13:25:49" u="1"/>
        <s v="15:06:50 à 16:17:10" u="1"/>
        <s v="16:48:45 à 16:49:26" u="1"/>
        <s v="05:18:34 à 06:31:07" u="1"/>
        <s v="15:46:34 à 16:36:27" u="1"/>
        <s v="15:59:54 à 16:32:26" u="1"/>
        <s v="22:29:01 à 22:30:13" u="1"/>
        <s v="10:50:29 à 12:30:15" u="1"/>
        <s v="13:52:48 à 15:34:09" u="1"/>
        <s v="14:12:22 à 15:08:12" u="1"/>
        <s v="14:57:40 à 15:47:18" u="1"/>
        <s v="15:55:47 à 15:56:18" u="1"/>
        <s v="08:42:06 à 09:39:34" u="1"/>
        <s v="10:50:05 à 11:34:08" u="1"/>
        <s v="09:28:40 à 09:28:49" u="1"/>
        <s v="10:06:38 à 15:08:23" u="1"/>
        <s v="13:22:27 à 14:15:04" u="1"/>
        <s v="17:42:25 à 18:40:01" u="1"/>
        <s v="09:28:17 à 10:22:16" u="1"/>
        <s v="10:06:53 à 11:15:43" u="1"/>
        <s v="12:42:16 à 14:22:00" u="1"/>
        <s v="15:51:03 à 15:52:59" u="1"/>
        <s v="16:28:23 à 18:15:25" u="1"/>
        <s v="09:20:51 à 10:06:36" u="1"/>
        <s v="09:47:45 à 10:22:22" u="1"/>
        <s v="20:55:32 à 20:56:22" u="1"/>
        <s v="09:16:28 à 10:42:37" u="1"/>
        <s v="12:05:39 à 14:26:37" u="1"/>
        <s v="13:40:04 à 13:59:01" u="1"/>
        <s v="17:25:28 à 18:04:46" u="1"/>
        <s v="17:47:26 à 17:48:13" u="1"/>
        <s v="10:01:27 à 10:31:27" u="1"/>
        <s v="10:05:51 à 10:35:46" u="1"/>
        <s v="12:46:40 à 13:22:04" u="1"/>
        <s v="16:41:24 à 17:59:42" u="1"/>
        <s v="10:30:11 à 10:31:51" u="1"/>
        <s v="15:29:09 à 17:06:49" u="1"/>
        <s v="17:36:38 à 22:15:03" u="1"/>
        <s v="11:16:21 à 13:57:47" u="1"/>
        <s v="11:35:34 à 13:13:36" u="1"/>
        <s v="11:46:40 à 13:17:43" u="1"/>
        <s v="11:52:11 à 12:37:04" u="1"/>
        <s v="16:43:24 à 17:31:45" u="1"/>
        <s v="05:29:44 à 06:45:24" u="1"/>
        <s v="05:29:45 à 06:41:15" u="1"/>
        <s v="09:35:15 à 09:38:07" u="1"/>
        <s v="14:56:59 à 16:13:27" u="1"/>
        <s v="05:35:42 à 06:45:32" u="1"/>
        <s v="05:47:50 à 06:45:30" u="1"/>
        <s v="21:18:34 à 21:19:08" u="1"/>
        <s v="05:33:55 à 06:41:33" u="1"/>
        <s v="08:06:21 à 09:02:00" u="1"/>
        <s v="08:42:33 à 09:41:06" u="1"/>
        <s v="10:53:00 à 12:00:27" u="1"/>
        <s v="13:45:26 à 16:04:49" u="1"/>
        <s v="14:01:38 à 15:18:14" u="1"/>
        <s v="14:10:05 à 15:38:11" u="1"/>
        <s v="10:38:45 à 12:48:57" u="1"/>
        <s v="19:58:51 à 19:59:49" u="1"/>
        <s v="08:41:43 à 09:49:44" u="1"/>
        <s v="08:58:57 à 09:41:24" u="1"/>
        <s v="15:11:11 à 15:43:22" u="1"/>
        <s v="08:40:40 à 09:49:54" u="1"/>
        <s v="17:11:10 à 18:38:16" u="1"/>
        <s v="10:16:41 à 11:05:32" u="1"/>
        <s v="10:23:35 à 11:01:21" u="1"/>
        <s v="11:55:34 à 15:46:58" u="1"/>
        <s v="12:04:07 à 14:12:09" u="1"/>
        <s v="16:21:11 à 17:49:07" u="1"/>
        <s v="17:15:36 à 17:58:09" u="1"/>
        <s v="19:59:54 à 20:57:45" u="1"/>
        <s v="08:11:41 à 08:42:30" u="1"/>
        <s v="09:13:21 à 10:36:47" u="1"/>
        <s v="09:51:17 à 10:32:30" u="1"/>
        <s v="04:11:08 à 04:13:30" u="1"/>
        <s v="05:23:56 à 07:19:11" u="1"/>
        <s v="23:01:45 à 23:03:05" u="1"/>
        <s v="07:17:16 à 07:17:24" u="1"/>
        <s v="09:21:25 à 10:12:57" u="1"/>
        <s v="09:34:31 à 10:32:54" u="1"/>
        <s v="10:01:25 à 10:29:56" u="1"/>
        <s v="17:25:11 à 18:30:56" u="1"/>
        <s v="10:07:16 à 10:41:47" u="1"/>
        <s v="13:32:47 à 13:41:16" u="1"/>
        <s v="05:39:09 à 07:31:20" u="1"/>
        <s v="14:52:43 à 16:27:06" u="1"/>
        <s v="16:31:41 à 17:09:57" u="1"/>
        <s v="16:35:27 à 17:45:46" u="1"/>
        <s v="17:17:20 à 17:58:59" u="1"/>
        <s v="05:40:10 à 06:55:00" u="1"/>
        <s v="06:39:19 à 06:40:04" u="1"/>
        <s v="14:05:43 à 16:08:21" u="1"/>
        <s v="10:42:13 à 17:03:55" u="1"/>
        <s v="11:48:26 à 13:23:54" u="1"/>
        <s v="12:00:34 à 12:33:10" u="1"/>
        <s v="05:40:01 à 06:31:22" u="1"/>
        <s v="05:49:48 à 06:39:40" u="1"/>
        <s v="08:57:33 à 09:31:05" u="1"/>
        <s v="10:00:14 à 11:39:02" u="1"/>
        <s v="15:49:51 à 16:32:49" u="1"/>
        <s v="08:51:56 à 09:55:23" u="1"/>
        <s v="14:09:06 à 16:24:51" u="1"/>
        <s v="14:18:32 à 15:28:22" u="1"/>
        <s v="14:27:47 à 15:44:10" u="1"/>
        <s v="15:02:25 à 15:33:15" u="1"/>
        <s v="17:07:07 à 19:20:17" u="1"/>
        <s v="18:55:34 à 21:34:23" u="1"/>
        <s v="08:31:29 à 09:31:29" u="1"/>
        <s v="10:05:13 à 11:15:14" u="1"/>
        <s v="10:05:14 à 11:15:14" u="1"/>
        <s v="10:29:55 à 11:15:10" u="1"/>
        <s v="10:52:33 à 11:38:28" u="1"/>
        <s v="12:15:03 à 15:42:12" u="1"/>
        <s v="14:03:06 à 16:00:53" u="1"/>
        <s v="19:39:58 à 19:42:30" u="1"/>
        <s v="08:03:22 à 08:56:01" u="1"/>
        <s v="08:46:54 à 09:55:45" u="1"/>
        <s v="14:01:38 à 15:48:43" u="1"/>
        <s v="07:16:15 à 08:27:10" u="1"/>
        <s v="08:04:49 à 08:52:02" u="1"/>
        <s v="08:15:16 à 08:52:00" u="1"/>
        <s v="09:39:56 à 11:42:40" u="1"/>
        <s v="11:19:24 à 11:20:23" u="1"/>
        <s v="13:28:04 à 14:19:14" u="1"/>
        <s v="18:13:35 à 18:53:17" u="1"/>
        <s v="09:38:38 à 10:26:24" u="1"/>
        <s v="09:46:37 à 10:22:13" u="1"/>
        <s v="10:00:46 à 19:17:54" u="1"/>
        <s v="10:25:48 à 11:15:40" u="1"/>
        <s v="10:46:56 à 20:34:07" u="1"/>
        <s v="18:01:27 à 18:37:39" u="1"/>
        <s v="09:37:32 à 10:22:25" u="1"/>
        <s v="11:22:32 à 11:24:50" u="1"/>
        <s v="14:05:19 à 14:48:37" u="1"/>
        <s v="16:28:45 à 17:19:09" u="1"/>
        <s v="10:19:00 à 10:19:35" u="1"/>
        <s v="13:12:27 à 13:59:08" u="1"/>
        <s v="14:06:33 à 14:48:47" u="1"/>
        <s v="14:16:07 à 14:48:45" u="1"/>
        <s v="16:57:17 à 17:39:12" u="1"/>
        <s v="17:16:08 à 18:08:58" u="1"/>
        <s v="17:18:01 à 18:40:38" u="1"/>
        <s v="18:21:41 à 18:53:45" u="1"/>
        <s v="18:31:53 à 18:33:44" u="1"/>
        <s v="16:49:32 à 17:39:24" u="1"/>
        <s v="17:29:43 à 18:20:47" u="1"/>
        <s v="05:41:35 à 18:40:42" u="1"/>
        <s v="07:51:13 à 08:42:58" u="1"/>
        <s v="07:52:58 à 08:42:58" u="1"/>
        <s v="11:25:49 à 13:57:16" u="1"/>
        <s v="11:46:58 à 13:13:05" u="1"/>
        <s v="15:31:28 à 17:06:28" u="1"/>
        <s v="16:52:14 à 17:31:14" u="1"/>
        <s v="07:12:47 à 07:47:33" u="1"/>
        <s v="15:48:23 à 17:22:26" u="1"/>
        <s v="06:07:53 à 07:10:28" u="1"/>
        <s v="16:21:10 à 17:19:59" u="1"/>
        <s v="16:31:08 à 17:19:57" u="1"/>
        <s v="05:44:57 à 06:45:01" u="1"/>
        <s v="05:41:42 à 06:45:11" u="1"/>
        <s v="11:56:28 à 12:33:06" u="1"/>
        <s v="11:09:43 à 12:10:02" u="1"/>
        <s v="11:15:48 à 12:10:00" u="1"/>
        <s v="15:47:14 à 16:42:39" u="1"/>
        <s v="16:08:49 à 16:16:42" u="1"/>
        <s v="05:25:55 à 06:25:46" u="1"/>
        <s v="11:52:05 à 12:37:45" u="1"/>
        <s v="16:06:15 à 16:52:41" u="1"/>
        <s v="05:21:21 à 06:25:56" u="1"/>
        <s v="05:24:25 à 06:41:46" u="1"/>
        <s v="08:02:25 à 09:02:11" u="1"/>
        <s v="09:30:06 à 09:54:28" u="1"/>
        <s v="14:21:45 à 15:14:12" u="1"/>
        <s v="15:18:58 à 16:03:51" u="1"/>
        <s v="15:50:51 à 16:02:59" u="1"/>
        <s v="17:40:32 à 19:10:10" u="1"/>
        <s v="09:30:48 à 09:54:38" u="1"/>
        <s v="10:00:11 à 11:05:15" u="1"/>
        <s v="11:06:34 à 11:14:15" u="1"/>
        <s v="11:08:58 à 11:58:22" u="1"/>
        <s v="13:44:51 à 14:29:00" u="1"/>
        <s v="14:04:42 à 15:18:45" u="1"/>
        <s v="15:07:12 à 15:47:44" u="1"/>
        <s v="04:54:05 à 04:56:06" u="1"/>
        <s v="08:56:02 à 09:45:54" u="1"/>
        <s v="10:11:28 à 10:49:04" u="1"/>
        <s v="13:35:31 à 14:25:03" u="1"/>
        <s v="16:08:11 à 20:03:03" u="1"/>
        <s v="17:48:10 à 18:38:21" u="1"/>
        <s v="09:16:11 à 10:16:29" u="1"/>
        <s v="09:30:19 à 10:12:16" u="1"/>
        <s v="11:09:03 à 11:30:35" u="1"/>
        <s v="13:59:21 à 14:01:01" u="1"/>
        <s v="14:36:55 à 15:30:40" u="1"/>
        <s v="00:42:21 à 00:43:08" u="1"/>
        <s v="10:02:54 à 11:25:54" u="1"/>
        <s v="10:18:47 à 11:05:53" u="1"/>
        <s v="13:37:35 à 14:05:24" u="1"/>
        <s v="13:47:56 à 14:29:30" u="1"/>
        <s v="17:33:53 à 18:10:26" u="1"/>
        <s v="08:01:24 à 08:02:35" u="1"/>
        <s v="08:26:14 à 14:32:37" u="1"/>
        <s v="13:30:41 à 14:01:25" u="1"/>
        <s v="18:23:12 à 18:23:47" u="1"/>
        <s v="18:24:22 à 18:43:46" u="1"/>
        <s v="00:18:59 à 00:20:10" u="1"/>
        <s v="12:11:10 à 18:45:46" u="1"/>
        <s v="12:12:05 à 23:56:01" u="1"/>
        <s v="14:47:45 à 14:50:31" u="1"/>
        <s v="16:23:55 à 18:41:46" u="1"/>
        <s v="17:54:14 à 18:30:41" u="1"/>
        <s v="12:55:14 à 13:36:12" u="1"/>
        <s v="10:15:32 à 10:45:55" u="1"/>
        <s v="10:37:19 à 10:41:42" u="1"/>
        <s v="14:59:03 à 17:43:23" u="1"/>
        <s v="16:38:09 à 17:21:29" u="1"/>
        <s v="16:53:01 à 17:45:33" u="1"/>
        <s v="03:19:40 à 03:20:15" u="1"/>
        <s v="03:23:32 à 03:24:22" u="1"/>
        <s v="11:36:54 à 17:16:37" u="1"/>
        <s v="16:40:16 à 17:05:47" u="1"/>
        <s v="14:46:57 à 16:27:19" u="1"/>
        <s v="03:03:17 à 03:08:56" u="1"/>
        <s v="11:43:14 à 12:23:09" u="1"/>
        <s v="23:22:12 à 23:23:51" u="1"/>
        <s v="05:52:16 à 06:51:10" u="1"/>
        <s v="11:52:16 à 13:03:54" u="1"/>
        <s v="12:48:27 à 12:56:27" u="1"/>
        <s v="15:10:54 à 16:13:21" u="1"/>
        <s v="16:02:49 à 16:46:31" u="1"/>
        <s v="22:48:44 à 22:50:10" u="1"/>
        <s v="12:07:56 à 12:53:20" u="1"/>
        <s v="14:38:05 à 21:58:05" u="1"/>
        <s v="05:43:25 à 06:55:41" u="1"/>
        <s v="09:05:28 à 09:41:00" u="1"/>
        <s v="09:09:45 à 09:25:10" u="1"/>
        <s v="14:29:26 à 15:04:03" u="1"/>
        <s v="18:37:42 à 19:17:21" u="1"/>
        <s v="11:06:02 à 11:48:13" u="1"/>
        <s v="11:58:52 à 12:23:47" u="1"/>
        <s v="12:22:10 à 11:53:00" u="1"/>
        <s v="08:52:11 à 09:15:36" u="1"/>
        <s v="13:16:32 à 15:19:33" u="1"/>
        <s v="08:38:11 à 09:35:49" u="1"/>
        <s v="08:44:09 à 09:31:38" u="1"/>
        <s v="09:44:34 à 10:46:02" u="1"/>
        <s v="10:59:46 à 11:38:39" u="1"/>
        <s v="11:07:06 à 12:00:53" u="1"/>
        <s v="09:40:02 à 09:40:48" u="1"/>
        <s v="14:08:18 à 15:00:38" u="1"/>
        <s v="21:24:57 à 21:25:48" u="1"/>
        <s v="14:34:58 à 15:24:50" u="1"/>
        <s v="07:59:27 à 10:08:31" u="1"/>
        <s v="09:41:36 à 10:26:33" u="1"/>
        <s v="14:35:16 à 15:20:51" u="1"/>
        <s v="17:16:38 à 18:48:47" u="1"/>
        <s v="08:03:06 à 08:52:33" u="1"/>
        <s v="17:40:43 à 18:20:34" u="1"/>
        <s v="17:55:07 à 18:40:31" u="1"/>
        <s v="10:05:26 à 10:39:47" u="1"/>
        <s v="12:59:32 à 14:22:30" u="1"/>
        <s v="14:26:49 à 14:28:55" u="1"/>
        <s v="18:03:28 à 20:51:42" u="1"/>
        <s v="07:21:24 à 07:23:14" u="1"/>
        <s v="08:07:56 à 08:32:54" u="1"/>
        <s v="10:10:02 à 10:59:54" u="1"/>
        <s v="16:40:54 à 17:11:18" u="1"/>
        <s v="16:56:08 à 17:39:33" u="1"/>
        <s v="17:59:41 à 18:00:53" u="1"/>
        <s v="13:41:32 à 14:31:52" u="1"/>
        <s v="06:09:04 à 06:58:09" u="1"/>
        <s v="10:06:15 à 10:51:58" u="1"/>
        <s v="16:46:08 à 17:39:55" u="1"/>
        <s v="05:54:20 à 06:09:11" u="1"/>
        <s v="15:10:50 à 16:03:02" u="1"/>
        <s v="16:02:10 à 16:52:02" u="1"/>
        <s v="11:44:54 à 12:57:27" u="1"/>
        <s v="05:35:35 à 06:41:25" u="1"/>
        <s v="19:15:09 à 19:16:16" u="1"/>
        <s v="19:26:27 à 19:36:13" u="1"/>
        <s v="05:28:10 à 06:41:37" u="1"/>
        <s v="07:59:27 à 09:52:05" u="1"/>
        <s v="10:09:28 à 12:05:32" u="1"/>
        <s v="10:50:51 à 12:08:47" u="1"/>
        <s v="11:10:21 à 11:58:01" u="1"/>
        <s v="14:27:50 à 15:54:01" u="1"/>
        <s v="15:48:32 à 16:46:59" u="1"/>
        <s v="16:08:06 à 16:52:42" u="1"/>
        <s v="16:08:41 à 16:56:51" u="1"/>
        <s v="05:41:16 à 06:45:52" u="1"/>
        <s v="10:58:52 à 11:48:19" u="1"/>
        <s v="14:15:10 à 16:14:51" u="1"/>
        <s v="15:52:50 à 16:42:58" u="1"/>
        <s v="07:15:31 à 11:18:35" u="1"/>
        <s v="10:37:33 à 11:21:00" u="1"/>
        <s v="09:11:30 à 09:11:30" u="1"/>
        <s v="11:35:33 à 15:07:30" u="1"/>
        <s v="17:24:07 à 18:14:08" u="1"/>
        <s v="07:47:14 à 09:36:57" u="1"/>
        <s v="08:00:24 à 09:02:42" u="1"/>
        <s v="09:54:55 à 09:54:55" u="1"/>
        <s v="13:41:09 à 14:25:02" u="1"/>
        <s v="08:56:42 à 09:21:57" u="1"/>
        <s v="10:25:34 à 15:14:42" u="1"/>
        <s v="11:10:04 à 11:58:51" u="1"/>
        <s v="17:34:34 à 18:34:25" u="1"/>
        <s v="17:58:22 à 18:38:30" u="1"/>
        <s v="10:22:58 à 10:25:15" u="1"/>
        <s v="10:23:10 à 14:58:23" u="1"/>
        <s v="13:25:14 à 14:49:34" u="1"/>
        <s v="13:40:59 à 14:29:31" u="1"/>
        <s v="16:39:13 à 17:29:08" u="1"/>
        <s v="08:27:05 à 10:07:48" u="1"/>
        <s v="09:22:48 à 10:12:39" u="1"/>
        <s v="10:08:40 à 10:09:39" u="1"/>
        <s v="16:51:47 à 17:45:04" u="1"/>
        <s v="16:55:13 à 18:01:33" u="1"/>
        <s v="18:16:57 à 20:41:41" u="1"/>
        <s v="09:36:43 à 10:12:57" u="1"/>
        <s v="13:21:13 à 13:45:19" u="1"/>
        <s v="16:09:58 à 17:02:11" u="1"/>
        <s v="06:32:07 à 08:00:50" u="1"/>
        <s v="16:55:43 à 17:45:34" u="1"/>
        <s v="10:14:54 à 10:41:57" u="1"/>
        <s v="16:04:52 à 16:06:04" u="1"/>
        <s v="16:41:14 à 17:29:56" u="1"/>
        <s v="14:05:34 à 16:08:13" u="1"/>
        <s v="05:25:36 à 06:19:27" u="1"/>
        <s v="05:43:01 à 06:51:03" u="1"/>
        <s v="07:23:14 à 22:23:18" u="1"/>
        <s v="09:43:49 à 13:21:59" u="1"/>
        <s v="11:18:12 à 12:04:01" u="1"/>
        <s v="16:41:32 à 16:49:39" u="1"/>
        <s v="23:03:08 à 23:03:57" u="1"/>
        <s v="05:31:04 à 06:39:54" u="1"/>
        <s v="11:12:46 à 12:08:40" u="1"/>
        <s v="14:12:02 à 15:44:04" u="1"/>
        <s v="15:54:13 à 16:36:58" u="1"/>
        <s v="12:08:23 à 12:17:52" u="1"/>
        <s v="14:34:04 à 15:24:11" u="1"/>
        <s v="15:16:21 à 19:42:15" u="1"/>
        <s v="05:38:26 à 06:51:55" u="1"/>
        <s v="08:37:26 à 09:39:49" u="1"/>
        <s v="14:12:04 à 15:44:24" u="1"/>
        <s v="17:40:03 à 18:48:02" u="1"/>
        <s v="17:46:28 à 19:00:22" u="1"/>
        <s v="07:27:34 à 15:13:35" u="1"/>
        <s v="11:26:42 à 11:28:31" u="1"/>
        <s v="16:53:03 à 18:15:02" u="1"/>
        <s v="18:20:16 à 18:57:16" u="1"/>
        <s v="08:06:21 à 08:56:13" u="1"/>
        <s v="08:52:56 à 09:11:48" u="1"/>
        <s v="09:35:20 à 11:42:42" u="1"/>
        <s v="10:14:25 à 11:11:25" u="1"/>
        <s v="11:26:36 à 11:28:41" u="1"/>
        <s v="13:13:52 à 14:15:09" u="1"/>
        <s v="13:17:05 à 14:35:08" u="1"/>
        <s v="16:10:30 à 18:35:19" u="1"/>
        <s v="16:43:22 à 18:19:23" u="1"/>
        <s v="20:54:31 à 20:56:05" u="1"/>
        <s v="09:41:13 à 10:26:24" u="1"/>
        <s v="10:00:53 à 10:39:18" u="1"/>
        <s v="10:09:11 à 11:15:46" u="1"/>
        <s v="10:26:08 à 11:11:33" u="1"/>
        <s v="10:29:31 à 11:19:51" u="1"/>
        <s v="11:13:49 à 11:28:53" u="1"/>
        <s v="10:24:47 à 10:51:05" u="1"/>
        <s v="20:09:45 à 20:13:12" u="1"/>
        <s v="21:41:03 à 21:41:55" u="1"/>
        <s v="00:08:00 à 00:10:04" u="1"/>
        <s v="09:51:25 à 10:06:43" u="1"/>
        <s v="13:21:58 à 14:59:44" u="1"/>
        <s v="13:55:14 à 20:41:28" u="1"/>
        <s v="15:40:32 à 18:06:44" u="1"/>
        <s v="07:13:39 à 08:03:44" u="1"/>
        <s v="09:30:42 à 10:26:56" u="1"/>
        <s v="09:28:20 à 10:22:59" u="1"/>
        <s v="14:43:45 à 14:44:52" u="1"/>
        <s v="16:07:53 à 17:32:10" u="1"/>
        <s v="18:24:03 à 20:11:51" u="1"/>
        <s v="10:14:25 à 10:35:57" u="1"/>
        <s v="12:36:36 à 13:26:28" u="1"/>
        <s v="20:51:34 à 20:52:56" u="1"/>
        <s v="12:46:59 à 13:02:28" u="1"/>
        <s v="15:55:14 à 16:26:09" u="1"/>
        <s v="17:43:29 à 17:44:47" u="1"/>
        <s v="05:29:42 à 06:45:07" u="1"/>
        <s v="11:49:36 à 13:13:37" u="1"/>
        <s v="14:36:52 à 17:37:58" u="1"/>
        <s v="15:22:02 à 16:23:00" u="1"/>
        <s v="16:44:12 à 17:31:48" u="1"/>
        <s v="12:10:27 à 12:43:00" u="1"/>
        <s v="05:39:46 à 06:29:35" u="1"/>
        <s v="08:46:13 à 09:29:08" u="1"/>
        <s v="16:10:20 à 16:12:23" u="1"/>
        <s v="05:29:03 à 06:49:46" u="1"/>
        <s v="05:46:57 à 05:49:06" u="1"/>
        <s v="08:08:17 à 09:02:13" u="1"/>
        <s v="08:59:05 à 09:25:27" u="1"/>
        <s v="09:54:37 à 09:58:35" u="1"/>
        <s v="14:38:31 à 19:23:12" u="1"/>
        <s v="08:05:54 à 09:02:23" u="1"/>
        <s v="10:13:35 à 11:01:06" u="1"/>
        <s v="14:39:40 à 15:14:22" u="1"/>
        <s v="15:01:55 à 15:23:28" u="1"/>
        <s v="08:02:01 à 08:46:04" u="1"/>
        <s v="08:41:19 à 09:29:58" u="1"/>
        <s v="10:09:41 à 11:21:17" u="1"/>
        <s v="10:37:52 à 11:25:20" u="1"/>
        <s v="11:28:12 à 11:38:31" u="1"/>
        <s v="17:30:04 à 18:38:15" u="1"/>
        <s v="21:30:48 à 21:51:27" u="1"/>
        <s v="07:41:46 à 10:54:03" u="1"/>
        <s v="09:24:15 à 11:16:55" u="1"/>
        <s v="09:45:06 à 10:36:14" u="1"/>
        <s v="09:51:03 à 10:36:12" u="1"/>
        <s v="10:36:09 à 11:21:21" u="1"/>
        <s v="11:13:18 à 11:14:35" u="1"/>
        <s v="13:13:23 à 15:29:54" u="1"/>
        <s v="08:42:43 à 11:03:52" u="1"/>
        <s v="08:43:44 à 10:43:14" u="1"/>
        <s v="09:08:06 à 09:51:51" u="1"/>
        <s v="11:30:15 à 11:30:31" u="1"/>
        <s v="12:39:34 à 18:45:14" u="1"/>
        <s v="13:36:24 à 14:25:15" u="1"/>
        <s v="13:40:02 à 15:05:50" u="1"/>
        <s v="17:34:27 à 18:14:27" u="1"/>
        <s v="08:34:57 à 10:27:36" u="1"/>
        <s v="12:36:48 à 18:01:17" u="1"/>
        <s v="13:23:56 à 14:21:18" u="1"/>
        <s v="13:30:11 à 14:25:25" u="1"/>
        <s v="14:49:14 à 14:50:13" u="1"/>
        <s v="16:48:03 à 18:09:44" u="1"/>
        <s v="17:23:05 à 18:38:47" u="1"/>
        <s v="08:25:59 à 08:46:40" u="1"/>
        <s v="10:01:38 à 10:49:38" u="1"/>
        <s v="11:07:19 à 11:10:58" u="1"/>
        <s v="13:32:22 à 14:09:45" u="1"/>
        <s v="10:43:52 à 10:45:31" u="1"/>
        <s v="23:22:08 à 23:27:22" u="1"/>
        <s v="05:32:16 à 07:39:31" u="1"/>
        <s v="17:02:59 à 17:51:20" u="1"/>
        <s v="05:50:37 à 06:59:00" u="1"/>
        <s v="06:31:28 à 22:38:05" u="1"/>
        <s v="07:31:55 à 07:33:33" u="1"/>
        <s v="10:33:08 à 10:41:54" u="1"/>
        <s v="16:13:41 à 17:02:30" u="1"/>
        <s v="05:23:12 à 06:35:18" u="1"/>
        <s v="11:05:59 à 12:04:04" u="1"/>
        <s v="11:09:06 à 13:00:31" u="1"/>
        <s v="12:51:17 à 13:32:45" u="1"/>
        <s v="05:30:50 à 06:51:16" u="1"/>
        <s v="12:08:29 à 12:37:22" u="1"/>
        <s v="12:13:41 à 12:33:11" u="1"/>
        <s v="11:12:36 à 12:00:13" u="1"/>
        <s v="09:06:39 à 09:41:02" u="1"/>
        <s v="09:41:11 à 11:06:12" u="1"/>
        <s v="11:00:16 à 11:48:05" u="1"/>
        <s v="14:00:22 à 16:44:43" u="1"/>
        <s v="14:38:25 à 15:28:11" u="1"/>
        <s v="08:51:16 à 09:51:17" u="1"/>
        <s v="12:11:31 à 12:53:40" u="1"/>
        <s v="12:15:52 à 12:17:51" u="1"/>
        <s v="14:34:12 à 15:24:12" u="1"/>
        <s v="08:58:58 à 09:51:27" u="1"/>
        <s v="14:31:48 à 15:08:32" u="1"/>
        <s v="07:16:54 à 08:07:04" u="1"/>
        <s v="08:15:50 à 08:56:02" u="1"/>
        <s v="19:37:03 à 19:42:43" u="1"/>
        <s v="08:51:36 à 09:15:58" u="1"/>
        <s v="08:58:29 à 08:59:29" u="1"/>
        <s v="11:18:45 à 11:20:26" u="1"/>
        <s v="13:21:35 à 14:15:08" u="1"/>
        <s v="17:32:56 à 18:24:17" u="1"/>
        <s v="10:34:31 à 11:19:50" u="1"/>
        <s v="14:12:13 à 15:00:48" u="1"/>
        <s v="17:20:52 à 18:08:59" u="1"/>
        <s v="12:59:18 à 13:46:04" u="1"/>
        <s v="17:34:45 à 17:48:29" u="1"/>
        <s v="15:42:36 à 17:22:19" u="1"/>
        <s v="17:03:55 à 17:45:20" u="1"/>
        <s v="07:03:03 à 07:47:38" u="1"/>
        <s v="10:12:19 à 10:15:59" u="1"/>
        <s v="06:57:32 à 06:58:01" u="1"/>
        <s v="16:26:25 à 16:36:00" u="1"/>
        <s v="05:36:46 à 06:45:16" u="1"/>
        <s v="23:11:35 à 23:13:56" u="1"/>
        <s v="05:35:16 à 06:45:26" u="1"/>
        <s v="12:00:07 à 12:07:24" u="1"/>
        <s v="12:06:14 à 12:07:24" u="1"/>
        <s v="08:51:41 à 09:49:16" u="1"/>
        <s v="09:05:20 à 09:59:10" u="1"/>
        <s v="09:08:28 à 09:59:10" u="1"/>
        <s v="11:02:40 à 12:38:32" u="1"/>
        <s v="13:31:20 à 15:05:03" u="1"/>
        <s v="14:14:42 à 15:54:05" u="1"/>
        <s v="19:15:06 à 19:16:28" u="1"/>
        <s v="09:46:35 à 15:09:32" u="1"/>
        <s v="11:03:25 à 11:54:06" u="1"/>
        <s v="11:25:38 à 12:10:31" u="1"/>
        <s v="19:23:12 à 19:32:26" u="1"/>
        <s v="19:32:55 à 19:36:33" u="1"/>
        <s v="08:53:33 à 09:45:37" u="1"/>
        <s v="09:04:44 à 09:59:40" u="1"/>
        <s v="14:12:31 à 15:54:35" u="1"/>
        <s v="14:26:36 à 15:38:43" u="1"/>
        <s v="15:22:03 à 15:23:35" u="1"/>
        <s v="18:59:33 à 19:03:41" u="1"/>
        <s v="10:15:50 à 11:05:36" u="1"/>
        <s v="10:30:27 à 11:21:22" u="1"/>
        <s v="14:42:00 à 15:50:30" u="1"/>
        <s v="18:21:16 à 19:03:57" u="1"/>
        <s v="09:31:08 à 10:16:28" u="1"/>
        <s v="13:29:34 à 14:09:28" u="1"/>
        <s v="08:20:21 à 10:47:38" u="1"/>
        <s v="08:55:13 à 10:07:34" u="1"/>
        <s v="09:36:07 à 10:12:29" u="1"/>
        <s v="09:45:49 à 10:32:26" u="1"/>
        <s v="11:03:11 à 11:10:49" u="1"/>
        <s v="16:56:56 à 18:21:24" u="1"/>
        <s v="17:27:17 à 18:54:38" u="1"/>
        <s v="10:16:39 à 10:49:37" u="1"/>
        <s v="16:06:19 à 17:26:01" u="1"/>
        <s v="16:58:00 à 17:45:06" u="1"/>
        <s v="17:23:42 à 18:34:49" u="1"/>
        <s v="13:45:43 à 18:58:52" u="1"/>
        <s v="16:54:17 à 17:41:07" u="1"/>
        <s v="18:29:27 à 20:01:43" u="1"/>
        <s v="09:42:36 à 10:32:56" u="1"/>
        <s v="12:40:37 à 13:32:08" u="1"/>
        <s v="13:58:06 à 14:41:42" u="1"/>
        <s v="16:50:45 à 17:41:17" u="1"/>
        <s v="16:01:12 à 17:46:40" u="1"/>
        <s v="07:36:26 à 07:37:53" u="1"/>
        <s v="15:21:47 à 16:37:10" u="1"/>
        <s v="11:19:00 à 12:04:03" u="1"/>
        <s v="05:41:27 à 06:55:24" u="1"/>
        <s v="05:44:01 à 06:55:24" u="1"/>
        <s v="05:44:49 à 06:39:34" u="1"/>
        <s v="08:50:15 à 09:35:08" u="1"/>
        <s v="11:05:54 à 12:08:34" u="1"/>
        <s v="05:39:53 à 06:55:46" u="1"/>
        <s v="12:13:07 à 12:57:40" u="1"/>
        <s v="05:36:04 à 06:15:58" u="1"/>
        <s v="08:11:59 à 09:12:12" u="1"/>
        <s v="09:48:08 à 09:48:39" u="1"/>
        <s v="09:56:25 à 11:02:12" u="1"/>
        <s v="11:16:29 à 11:28:15" u="1"/>
        <s v="12:55:28 à 12:56:58" u="1"/>
        <s v="14:10:49 à 15:00:09" u="1"/>
        <s v="14:44:44 à 15:44:10" u="1"/>
        <s v="15:31:43 à 15:33:13" u="1"/>
        <s v="01:56:22 à 02:06:53" u="1"/>
        <s v="09:28:55 à 15:31:27" u="1"/>
        <s v="10:29:35 à 11:19:23" u="1"/>
        <s v="11:58:05 à 12:43:59" u="1"/>
        <s v="17:48:04 à 18:48:04" u="1"/>
        <s v="11:20:22 à 11:28:33" u="1"/>
        <s v="14:21:24 à 14:48:07" u="1"/>
        <s v="04:25:10 à 04:27:01" u="1"/>
        <s v="10:18:18 à 10:19:09" u="1"/>
        <s v="14:37:05 à 15:20:34" u="1"/>
        <s v="14:41:24 à 15:28:50" u="1"/>
        <s v="00:16:09 à 00:18:02" u="1"/>
        <s v="01:05:30 à 01:07:41" u="1"/>
        <s v="09:34:13 à 10:26:28" u="1"/>
        <s v="09:50:45 à 10:26:24" u="1"/>
        <s v="13:57:15 à 14:35:12" u="1"/>
        <s v="14:05:19 à 15:40:49" u="1"/>
        <s v="14:26:57 à 19:13:56" u="1"/>
        <s v="17:37:53 à 18:04:29" u="1"/>
        <s v="18:36:36 à 18:37:37" u="1"/>
        <s v="09:51:32 à 10:26:34" u="1"/>
        <s v="10:01:24 à 11:15:58" u="1"/>
        <s v="13:39:33 à 14:35:26" u="1"/>
        <s v="13:41:33 à 14:31:15" u="1"/>
        <s v="18:26:58 à 18:53:39" u="1"/>
        <s v="07:33:39 à 08:23:31" u="1"/>
        <s v="09:34:00 à 10:22:39" u="1"/>
        <s v="10:40:37 à 11:31:50" u="1"/>
        <s v="13:46:32 à 14:15:35" u="1"/>
        <s v="17:03:31 à 17:05:03" u="1"/>
        <s v="05:48:36 à 07:09:12" u="1"/>
        <s v="13:29:04 à 20:26:40" u="1"/>
        <s v="13:33:03 à 14:19:56" u="1"/>
        <s v="12:32:48 à 14:02:48" u="1"/>
        <s v="07:24:07 à 07:27:36" u="1"/>
        <s v="17:09:28 à 17:09:52" u="1"/>
        <s v="23:11:28 à 23:13:37" u="1"/>
        <s v="05:58:50 à 07:05:41" u="1"/>
        <s v="07:27:56 à 07:27:56" u="1"/>
        <s v="23:13:41 à 23:17:56" u="1"/>
        <s v="05:35:04 à 06:45:17" u="1"/>
        <s v="10:52:22 à 12:28:19" u="1"/>
        <s v="13:55:07 à 13:55:55" u="1"/>
        <s v="12:58:04 à 13:42:56" u="1"/>
        <s v="16:07:27 à 16:12:27" u="1"/>
        <s v="08:56:20 à 09:45:08" u="1"/>
        <s v="15:16:20 à 16:03:35" u="1"/>
        <s v="15:21:35 à 16:07:42" u="1"/>
        <s v="11:00:01 à 12:10:26" u="1"/>
        <s v="12:19:44 à 12:27:42" u="1"/>
        <s v="15:25:30 à 15:27:15" u="1"/>
        <s v="16:16:27 à 16:16:54" u="1"/>
        <s v="19:05:56 à 19:56:29" u="1"/>
        <s v="08:51:26 à 09:29:38" u="1"/>
        <s v="09:03:14 à 09:35:23" u="1"/>
        <s v="12:07:11 à 12:43:44" u="1"/>
        <s v="13:05:30 à 15:25:19" u="1"/>
        <s v="14:11:27 à 15:38:26" u="1"/>
        <s v="14:37:30 à 15:30:04" u="1"/>
        <s v="02:23:32 à 02:25:59" u="1"/>
        <s v="11:15:17 à 12:54:51" u="1"/>
        <s v="11:22:33 à 12:14:51" u="1"/>
        <s v="14:37:56 à 15:14:24" u="1"/>
        <s v="15:08:56 à 15:27:39" u="1"/>
        <s v="08:21:03 à 09:02:31" u="1"/>
        <s v="09:28:52 à 11:52:36" u="1"/>
        <s v="13:32:45 à 14:09:07" u="1"/>
        <s v="10:11:46 à 11:09:46" u="1"/>
        <s v="10:14:21 à 11:01:28" u="1"/>
        <s v="10:44:56 à 11:41:20" u="1"/>
        <s v="15:21:35 à 15:43:45" u="1"/>
        <s v="11:33:06 à 11:34:42" u="1"/>
        <s v="14:25:47 à 15:10:47" u="1"/>
        <s v="14:49:51 à 14:54:14" u="1"/>
        <s v="07:45:02 à 10:54:35" u="1"/>
        <s v="10:35:49 à 11:21:53" u="1"/>
        <s v="17:03:38 à 17:39:11" u="1"/>
        <s v="09:38:22 à 10:32:49" u="1"/>
        <s v="17:08:35 à 17:59:20" u="1"/>
        <s v="17:17:21 à 17:19:20" u="1"/>
        <s v="10:25:46 à 10:29:57" u="1"/>
        <s v="13:01:11 à 13:02:03" u="1"/>
        <s v="16:16:53 à 17:06:21" u="1"/>
        <s v="05:55:25 à 07:15:21" u="1"/>
        <s v="12:41:08 à 13:16:29" u="1"/>
        <s v="17:14:50 à 17:15:31" u="1"/>
        <s v="11:15:38 à 12:04:04" u="1"/>
        <s v="12:58:59 à 13:16:57" u="1"/>
        <s v="15:27:30 à 16:17:22" u="1"/>
        <s v="11:12:56 à 16:57:21" u="1"/>
        <s v="11:29:48 à 12:28:20" u="1"/>
        <s v="11:21:04 à 12:04:22" u="1"/>
        <s v="08:58:23 à 09:51:09" u="1"/>
        <s v="09:05:26 à 09:49:22" u="1"/>
        <s v="05:35:11 à 06:51:48" u="1"/>
        <s v="08:23:57 à 09:12:11" u="1"/>
        <s v="08:54:58 à 09:59:37" u="1"/>
        <s v="19:45:33 à 19:46:32" u="1"/>
        <s v="14:28:07 à 15:44:25" u="1"/>
        <s v="15:05:23 à 21:40:12" u="1"/>
        <s v="15:13:04 à 15:17:38" u="1"/>
        <s v="17:48:53 à 18:08:07" u="1"/>
        <s v="21:04:00 à 21:06:21" u="1"/>
        <s v="22:26:50 à 22:30:59" u="1"/>
        <s v="10:13:15 à 11:11:18" u="1"/>
        <s v="13:44:40 à 18:28:05" u="1"/>
        <s v="13:56:00 à 15:15:30" u="1"/>
        <s v="08:12:25 à 09:16:52" u="1"/>
        <s v="08:14:26 à 08:16:16" u="1"/>
        <s v="08:51:51 à 09:51:49" u="1"/>
        <s v="08:47:41 à 10:17:27" u="1"/>
        <s v="10:36:41 à 11:31:33" u="1"/>
        <s v="13:26:30 à 14:19:29" u="1"/>
        <s v="13:52:58 à 14:51:03" u="1"/>
        <s v="14:58:33 à 15:00:42" u="1"/>
        <s v="08:05:04 à 08:56:36" u="1"/>
        <s v="10:30:53 à 10:31:07" u="1"/>
        <s v="16:51:24 à 18:31:25" u="1"/>
        <s v="08:11:40 à 08:56:44" u="1"/>
        <s v="09:51:58 à 10:26:55" u="1"/>
        <s v="17:47:56 à 17:48:29" u="1"/>
        <s v="10:24:00 à 14:48:57" u="1"/>
        <s v="10:33:41 à 10:35:56" u="1"/>
        <s v="12:48:07 à 14:02:57" u="1"/>
        <s v="17:01:30 à 17:45:32" u="1"/>
        <s v="17:20:37 à 17:21:30" u="1"/>
        <s v="14:29:42 à 16:14:03" u="1"/>
        <s v="16:34:50 à 16:36:10" u="1"/>
        <s v="16:03:16 à 16:12:18" u="1"/>
        <s v="11:22:11 à 12:38:20" u="1"/>
        <s v="11:29:26 à 12:34:11" u="1"/>
        <s v="12:01:26 à 13:43:51" u="1"/>
        <s v="08:05:25 à 09:06:05" u="1"/>
        <s v="08:51:23 à 09:45:09" u="1"/>
        <s v="05:30:59 à 06:25:49" u="1"/>
        <s v="05:33:14 à 06:49:57" u="1"/>
        <s v="08:12:55 à 09:02:04" u="1"/>
        <s v="09:13:14 à 09:39:21" u="1"/>
        <s v="09:13:28 à 09:39:21" u="1"/>
        <s v="09:19:20 à 09:59:20" u="1"/>
        <s v="11:07:15 à 16:23:36" u="1"/>
        <s v="11:10:16 à 11:18:07" u="1"/>
        <s v="11:12:16 à 11:58:05" u="1"/>
        <s v="15:05:25 à 16:07:57" u="1"/>
        <s v="13:56:26 à 15:09:20" u="1"/>
        <s v="11:17:03 à 11:58:25" u="1"/>
        <s v="14:35:23 à 15:30:15" u="1"/>
        <s v="14:48:56 à 15:30:13" u="1"/>
        <s v="09:11:32 à 09:51:32" u="1"/>
        <s v="11:06:45 à 11:50:19" u="1"/>
        <s v="13:48:48 à 14:29:05" u="1"/>
        <s v="14:48:02 à 15:30:23" u="1"/>
        <s v="19:53:02 à 21:33:49" u="1"/>
        <s v="08:07:45 à 08:46:17" u="1"/>
        <s v="14:37:55 à 14:38:17" u="1"/>
        <s v="14:53:09 à 14:54:03" u="1"/>
        <s v="09:44:59 à 10:56:26" u="1"/>
        <s v="11:14:24 à 11:58:55" u="1"/>
        <s v="07:29:08 à 08:13:25" u="1"/>
        <s v="09:41:45 à 10:32:28" u="1"/>
        <s v="11:49:26 à 11:50:41" u="1"/>
        <s v="13:35:06 à 14:21:19" u="1"/>
        <s v="13:55:16 à 14:45:23" u="1"/>
        <s v="14:28:21 à 15:30:57" u="1"/>
        <s v="21:11:01 à 21:12:50" u="1"/>
        <s v="10:14:38 à 11:21:58" u="1"/>
        <s v="10:39:15 à 10:41:17" u="1"/>
        <s v="07:32:47 à 07:37:15" u="1"/>
        <s v="13:49:08 à 13:49:18" u="1"/>
        <s v="09:41:02 à 10:32:58" u="1"/>
        <s v="14:05:54 à 17:08:23" u="1"/>
        <s v="14:50:27 à 14:50:44" u="1"/>
        <s v="16:21:53 à 17:22:10" u="1"/>
        <s v="13:57:48 à 14:41:54" u="1"/>
        <s v="16:28:07 à 17:22:20" u="1"/>
        <s v="05:39:07 à 06:59:07" u="1"/>
        <s v="13:44:38 à 13:45:39" u="1"/>
        <s v="14:12:05 à 17:04:32" u="1"/>
        <s v="11:59:45 à 13:27:47" u="1"/>
        <s v="15:18:04 à 16:53:04" u="1"/>
        <s v="16:14:44 à 16:26:15" u="1"/>
        <s v="05:31:06 à 06:39:28" u="1"/>
        <s v="05:43:52 à 06:55:16" u="1"/>
        <s v="05:49:52 à 06:55:16" u="1"/>
        <s v="11:21:17 à 12:08:12" u="1"/>
        <s v="14:14:53 à 16:04:36" u="1"/>
        <s v="05:35:16 à 06:35:49" u="1"/>
        <s v="05:52:50 à 05:55:08" u="1"/>
        <s v="10:29:07 à 12:55:30" u="1"/>
        <s v="10:32:00 à 11:39:02" u="1"/>
        <s v="14:16:31 à 16:48:53" u="1"/>
        <s v="14:35:17 à 15:28:14" u="1"/>
        <s v="15:13:14 à 15:53:08" u="1"/>
        <s v="05:41:51 à 06:35:57" u="1"/>
        <s v="14:30:07 à 16:04:52" u="1"/>
        <s v="14:35:34 à 16:24:51" u="1"/>
        <s v="09:52:19 à 11:02:24" u="1"/>
        <s v="19:46:08 à 19:46:43" u="1"/>
        <s v="08:09:45 à 09:12:36" u="1"/>
        <s v="08:57:00 à 09:39:59" u="1"/>
        <s v="09:20:58 à 09:41:31" u="1"/>
        <s v="09:36:40 à 10:46:09" u="1"/>
        <s v="13:34:20 à 15:19:44" u="1"/>
        <s v="14:43:43 à 15:08:43" u="1"/>
        <s v="14:55:32 à 15:20:22" u="1"/>
        <s v="01:07:03 à 01:07:33" u="1"/>
        <s v="08:08:28 à 09:16:55" u="1"/>
        <s v="08:31:18 à 08:32:03" u="1"/>
        <s v="08:58:16 à 10:37:15" u="1"/>
        <s v="17:43:26 à 18:28:27" u="1"/>
        <s v="17:46:10 à 18:20:09" u="1"/>
        <s v="21:00:20 à 21:02:33" u="1"/>
        <s v="08:17:27 à 09:12:54" u="1"/>
        <s v="13:43:49 à 14:51:26" u="1"/>
        <s v="16:02:18 à 17:32:04" u="1"/>
        <s v="20:16:14 à 20:17:43" u="1"/>
        <s v="08:03:39 à 08:52:58" u="1"/>
        <s v="11:38:23 à 14:57:56" u="1"/>
        <s v="15:23:11 à 17:03:11" u="1"/>
        <s v="16:42:05 à 18:31:58" u="1"/>
        <s v="18:01:28 à 18:50:50" u="1"/>
        <s v="18:01:36 à 18:50:50" u="1"/>
        <s v="13:43:07 à 14:51:56" u="1"/>
        <s v="17:08:27 à 17:41:24" u="1"/>
        <s v="05:56:53 à 06:49:04" u="1"/>
        <s v="12:15:13 à 13:27:30" u="1"/>
        <s v="15:13:22 à 16:27:05" u="1"/>
        <s v="05:54:30 à 06:45:05" u="1"/>
        <s v="11:23:02 à 12:14:03" u="1"/>
        <s v="15:16:00 à 16:07:26" u="1"/>
        <s v="05:36:04 à 06:45:29" u="1"/>
        <s v="06:44:24 à 06:58:36" u="1"/>
        <s v="12:11:10 à 13:23:51" u="1"/>
        <s v="22:47:09 à 22:48:34" u="1"/>
        <s v="16:19:08 à 16:52:35" u="1"/>
        <s v="09:44:55 à 12:12:42" u="1"/>
        <s v="14:42:34 à 15:34:03" u="1"/>
        <s v="15:25:01 à 16:23:44" u="1"/>
        <s v="10:37:10 à 11:05:05" u="1"/>
        <s v="11:17:05 à 11:58:16" u="1"/>
        <s v="11:20:32 à 12:58:50" u="1"/>
        <s v="14:40:15 à 15:38:22" u="1"/>
        <s v="16:11:35 à 16:12:57" u="1"/>
        <s v="16:26:57 à 16:52:53" u="1"/>
        <s v="10:21:23 à 11:01:08" u="1"/>
        <s v="10:37:21 à 11:49:22" u="1"/>
        <s v="15:21:28 à 15:23:28" u="1"/>
        <s v="08:44:07 à 08:46:00" u="1"/>
        <s v="10:46:42 à 11:41:12" u="1"/>
        <s v="11:10:30 à 11:58:36" u="1"/>
        <s v="19:34:45 à 19:36:56" u="1"/>
        <s v="14:54:39 à 15:54:40" u="1"/>
        <s v="12:57:04 à 14:56:13" u="1"/>
        <s v="13:08:41 à 14:02:01" u="1"/>
        <s v="14:02:32 à 18:20:01" u="1"/>
        <s v="17:05:24 à 18:19:30" u="1"/>
        <s v="13:41:46 à 14:49:35" u="1"/>
        <s v="16:56:14 à 18:01:28" u="1"/>
        <s v="08:17:13 à 08:22:38" u="1"/>
        <s v="10:45:13 à 10:49:34" u="1"/>
        <s v="13:46:54 à 13:49:09" u="1"/>
        <s v="16:25:07 à 17:06:01" u="1"/>
        <s v="07:12:44 à 07:57:19" u="1"/>
        <s v="09:42:07 à 10:36:58" u="1"/>
        <s v="13:39:45 à 14:41:39" u="1"/>
        <s v="18:03:44 à 18:04:52" u="1"/>
        <s v="23:42:19 à 23:43:12" u="1"/>
        <s v="00:19:32 à 00:20:36" u="1"/>
        <s v="10:36:48 à 10:41:58" u="1"/>
        <s v="05:45:38 à 07:11:36" u="1"/>
        <s v="13:01:58 à 13:02:35" u="1"/>
        <s v="14:35:50 à 16:44:01" u="1"/>
        <s v="15:29:31 à 16:17:14" u="1"/>
        <s v="11:11:59 à 12:28:14" u="1"/>
        <s v="11:30:36 à 12:44:00" u="1"/>
        <s v="12:27:37 à 13:13:50" u="1"/>
        <s v="13:03:49 à 13:42:53" u="1"/>
        <s v="15:09:17 à 16:33:28" u="1"/>
        <s v="09:06:54 à 09:49:14" u="1"/>
        <s v="16:00:22 à 16:46:47" u="1"/>
        <s v="08:15:06 à 09:12:05" u="1"/>
        <s v="09:24:21 à 09:25:12" u="1"/>
        <s v="11:41:27 à 12:20:20" u="1"/>
        <s v="13:54:19 à 15:15:02" u="1"/>
        <s v="14:36:26 à 15:24:06" u="1"/>
        <s v="15:21:56 à 16:17:54" u="1"/>
        <s v="15:23:57 à 16:37:53" u="1"/>
        <s v="09:00:12 à 09:45:25" u="1"/>
        <s v="10:32:27 à 11:15:05" u="1"/>
        <s v="10:43:04 à 11:39:11" u="1"/>
        <s v="11:46:06 à 12:20:30" u="1"/>
        <s v="14:35:57 à 15:00:08" u="1"/>
        <s v="11:03:01 à 11:48:29" u="1"/>
        <s v="16:54:30 à 18:39:05" u="1"/>
        <s v="18:01:48 à 20:39:07" u="1"/>
        <s v="18:05:20 à 18:38:00" u="1"/>
        <s v="18:27:26 à 19:37:48" u="1"/>
        <s v="10:36:15 à 11:31:15" u="1"/>
        <s v="14:57:24 à 15:44:31" u="1"/>
        <s v="15:16:47 à 15:57:48" u="1"/>
        <s v="16:57:36 à 18:19:16" u="1"/>
        <s v="17:15:08 à 18:05:00" u="1"/>
        <s v="13:45:23 à 14:35:07" u="1"/>
        <s v="17:58:49 à 18:40:07" u="1"/>
        <s v="08:24:46 à 09:12:53" u="1"/>
        <s v="10:49:59 à 11:39:51" u="1"/>
        <s v="11:20:38 à 11:20:38" u="1"/>
        <s v="11:28:53 à 11:28:56" u="1"/>
        <s v="11:45:02 à 18:42:07" u="1"/>
        <s v="00:13:22 à 00:14:06" u="1"/>
        <s v="10:26:55 à 00:32:03" u="1"/>
        <s v="13:39:15 à 14:19:39" u="1"/>
        <s v="18:05:09 à 18:34:31" u="1"/>
        <s v="08:16:28 à 08:16:58" u="1"/>
        <s v="18:53:28 à 18:53:56" u="1"/>
        <s v="13:41:58 à 14:35:57" u="1"/>
        <s v="17:46:17 à 18:40:59" u="1"/>
        <s v="00:28:56 à 00:30:34" u="1"/>
        <s v="08:04:31 à 10:30:52" u="1"/>
        <s v="12:15:02 à 13:03:13" u="1"/>
        <s v="16:23:24 à 17:16:31" u="1"/>
        <s v="17:07:59 à 17:09:45" u="1"/>
        <s v="02:59:14 à 03:01:14" u="1"/>
        <s v="05:41:15 à 07:25:35" u="1"/>
        <s v="05:59:41 à 07:21:34" u="1"/>
        <s v="09:36:55 à 12:12:05" u="1"/>
        <s v="16:13:25 à 16:16:17" u="1"/>
        <s v="05:58:01 à 07:05:54" u="1"/>
        <s v="11:00:45 à 13:18:53" u="1"/>
        <s v="15:09:27 à 16:43:18" u="1"/>
        <s v="16:11:06 à 16:12:18" u="1"/>
        <s v="17:02:01 à 17:41:55" u="1"/>
        <s v="11:43:49 à 12:14:10" u="1"/>
        <s v="22:58:30 à 23:00:53" u="1"/>
        <s v="09:12:57 à 09:15:05" u="1"/>
        <s v="15:45:35 à 16:43:30" u="1"/>
        <s v="05:37:55 à 06:49:59" u="1"/>
        <s v="09:45:31 à 11:56:14" u="1"/>
        <s v="15:11:59 à 16:23:47" u="1"/>
        <s v="16:07:42 à 16:56:57" u="1"/>
        <s v="18:33:32 à 19:07:28" u="1"/>
        <s v="21:27:50 à 22:59:58" u="1"/>
        <s v="11:25:29 à 12:14:44" u="1"/>
        <s v="12:03:31 à 12:03:49" u="1"/>
        <s v="13:22:22 à 15:29:27" u="1"/>
        <s v="14:44:46 à 15:34:14" u="1"/>
        <s v="15:41:56 à 15:43:14" u="1"/>
        <s v="18:57:08 à 19:07:34" u="1"/>
        <s v="11:05:30 à 11:58:29" u="1"/>
        <s v="11:41:29 à 12:30:40" u="1"/>
        <s v="11:53:07 à 11:54:10" u="1"/>
        <s v="14:29:04 à 15:14:29" u="1"/>
        <s v="14:58:32 à 15:18:32" u="1"/>
        <s v="19:51:28 à 19:52:33" u="1"/>
        <s v="22:07:48 à 22:21:50" u="1"/>
        <s v="08:18:50 à 09:22:35" u="1"/>
        <s v="09:47:30 à 11:12:37" u="1"/>
        <s v="10:20:37 à 11:25:27" u="1"/>
        <s v="10:34:43 à 11:29:34" u="1"/>
        <s v="10:35:10 à 11:25:25" u="1"/>
        <s v="11:31:36 à 12:50:51" u="1"/>
        <s v="14:33:44 à 15:18:46" u="1"/>
        <s v="14:40:39 à 15:58:42" u="1"/>
        <s v="09:08:36 à 10:57:10" u="1"/>
        <s v="09:56:38 à 11:12:45" u="1"/>
        <s v="10:33:15 à 11:25:35" u="1"/>
        <s v="17:55:25 à 18:14:18" u="1"/>
        <s v="19:51:58 à 19:52:53" u="1"/>
        <s v="08:06:58 à 10:00:04" u="1"/>
        <s v="10:53:40 à 11:41:31" u="1"/>
        <s v="13:43:06 à 15:25:54" u="1"/>
        <s v="14:35:48 à 15:10:48" u="1"/>
        <s v="18:03:00 à 18:44:21" u="1"/>
        <s v="08:53:54 à 10:03:29" u="1"/>
        <s v="11:29:00 à 11:30:48" u="1"/>
        <s v="13:55:33 à 14:45:25" u="1"/>
        <s v="14:38:49 à 15:30:57" u="1"/>
        <s v="14:41:03 à 15:30:55" u="1"/>
        <s v="14:47:10 à 18:27:38" u="1"/>
        <s v="10:26:45 à 11:21:58" u="1"/>
        <s v="17:00:07 à 17:55:14" u="1"/>
        <s v="00:06:22 à 00:08:48" u="1"/>
        <s v="16:10:36 à 17:02:15" u="1"/>
        <s v="06:07:10 à 06:09:02" u="1"/>
        <s v="12:17:55 à 13:13:23" u="1"/>
        <s v="17:19:38 à 17:19:53" u="1"/>
        <s v="05:45:17 à 06:35:09" u="1"/>
        <s v="05:55:06 à 07:15:44" u="1"/>
        <s v="08:54:30 à 16:22:01" u="1"/>
        <s v="09:27:09 à 13:06:53" u="1"/>
        <s v="14:10:48 à 17:00:35" u="1"/>
        <s v="16:07:30 à 17:42:45" u="1"/>
        <s v="15:36:08 à 16:13:14" u="1"/>
        <s v="16:45:07 à 16:46:20" u="1"/>
        <s v="06:57:29 à 07:20:55" u="1"/>
        <s v="11:30:58 à 12:24:12" u="1"/>
        <s v="10:49:23 à 12:11:11" u="1"/>
        <s v="11:23:04 à 12:44:23" u="1"/>
        <s v="14:18:46 à 16:28:46" u="1"/>
        <s v="18:39:45 à 19:33:08" u="1"/>
        <s v="18:45:53 à 19:37:15" u="1"/>
        <s v="09:36:26 à 09:41:01" u="1"/>
        <s v="11:11:23 à 12:08:46" u="1"/>
        <s v="08:03:20 à 09:12:18" u="1"/>
        <s v="10:22:12 à 12:19:53" u="1"/>
        <s v="11:45:28 à 12:40:30" u="1"/>
        <s v="12:21:49 à 12:57:52" u="1"/>
        <s v="14:22:39 à 15:28:28" u="1"/>
        <s v="16:15:06 à 16:42:57" u="1"/>
        <s v="09:31:28 à 09:41:21" u="1"/>
        <s v="11:20:38 à 12:00:46" u="1"/>
        <s v="11:38:55 à 12:24:52" u="1"/>
        <s v="09:02:47 à 10:27:02" u="1"/>
        <s v="09:52:49 à 10:26:08" u="1"/>
        <s v="13:59:10 à 14:39:05" u="1"/>
        <s v="07:41:05 à 08:47:11" u="1"/>
        <s v="08:05:44 à 09:32:47" u="1"/>
        <s v="08:13:25 à 09:12:46" u="1"/>
        <s v="10:30:07 à 11:11:27" u="1"/>
        <s v="14:58:38 à 15:44:42" u="1"/>
        <s v="16:58:58 à 18:11:09" u="1"/>
        <s v="18:19:46 à 18:30:01" u="1"/>
        <s v="07:23:56 à 08:07:27" u="1"/>
        <s v="08:42:46 à 11:33:56" u="1"/>
        <s v="08:47:07 à 09:12:50" u="1"/>
        <s v="09:56:04 à 10:46:27" u="1"/>
        <s v="11:42:53 à 11:44:43" u="1"/>
        <s v="16:55:59 à 18:31:28" u="1"/>
        <s v="07:25:55 à 08:47:45" u="1"/>
        <s v="07:39:02 à 08:23:35" u="1"/>
        <s v="17:06:36 à 17:29:15" u="1"/>
        <s v="09:17:57 à 10:07:51" u="1"/>
        <s v="20:15:34 à 20:17:45" u="1"/>
        <s v="23:46:59 à 23:57:12" u="1"/>
        <s v="16:27:20 à 17:12:13" u="1"/>
        <s v="12:19:32 à 13:07:33" u="1"/>
        <s v="12:56:33 à 13:46:39" u="1"/>
        <s v="13:11:31 à 16:29:06" u="1"/>
        <s v="16:08:41 à 16:36:19" u="1"/>
        <s v="16:09:29 à 16:56:18" u="1"/>
        <s v="16:39:18 à 16:56:12" u="1"/>
        <s v="12:17:48 à 13:07:53" u="1"/>
        <s v="12:17:54 à 13:47:51" u="1"/>
        <s v="13:46:48 à 16:29:30" u="1"/>
        <s v="14:35:01 à 16:38:32" u="1"/>
        <s v="09:13:38 à 09:15:06" u="1"/>
        <s v="22:41:52 à 22:44:37" u="1"/>
        <s v="22:47:40 à 22:48:46" u="1"/>
        <s v="08:01:00 à 09:42:07" u="1"/>
        <s v="09:27:35 à 09:31:04" u="1"/>
        <s v="14:38:46 à 16:14:44" u="1"/>
        <s v="14:51:03 à 15:34:03" u="1"/>
        <s v="09:00:09 à 09:55:26" u="1"/>
        <s v="10:25:20 à 11:45:07" u="1"/>
        <s v="11:02:13 à 12:30:39" u="1"/>
        <s v="11:33:42 à 12:18:52" u="1"/>
        <s v="13:21:18 à 15:09:29" u="1"/>
        <s v="09:19:33 à 09:51:25" u="1"/>
        <s v="09:39:07 à 09:39:40" u="1"/>
        <s v="10:42:24 à 12:25:50" u="1"/>
        <s v="11:33:32 à 12:50:42" u="1"/>
        <s v="11:37:06 à 11:38:25" u="1"/>
        <s v="14:26:40 à 15:18:39" u="1"/>
        <s v="09:06:55 à 10:57:01" u="1"/>
        <s v="09:47:28 à 10:56:09" u="1"/>
        <s v="11:46:18 à 12:30:51" u="1"/>
        <s v="11:51:35 à 11:54:21" u="1"/>
        <s v="10:37:06 à 11:29:45" u="1"/>
        <s v="10:42:53 à 15:30:25" u="1"/>
        <s v="11:30:01 à 11:30:27" u="1"/>
        <s v="13:42:54 à 15:01:37" u="1"/>
        <s v="09:25:53 à 10:13:10" u="1"/>
        <s v="11:50:27 à 11:58:50" u="1"/>
        <s v="11:53:42 à 11:54:41" u="1"/>
        <s v="13:50:00 à 15:41:43" u="1"/>
        <s v="08:14:20 à 10:00:13" u="1"/>
        <s v="11:29:58 à 11:34:58" u="1"/>
        <s v="18:02:47 à 18:48:41" u="1"/>
        <s v="14:00:13 à 14:55:30" u="1"/>
        <s v="14:01:34 à 14:55:30" u="1"/>
        <s v="17:08:43 à 17:59:24" u="1"/>
        <s v="05:54:00 à 07:15:15" u="1"/>
        <s v="17:10:14 à 17:59:32" u="1"/>
        <s v="23:46:53 à 23:47:23" u="1"/>
        <s v="00:39:12 à 00:40:43" u="1"/>
        <s v="05:58:40 à 07:15:35" u="1"/>
        <s v="12:25:24 à 13:17:31" u="1"/>
        <s v="22:57:25 à 22:58:04" u="1"/>
        <s v="17:25:40 à 17:55:51" u="1"/>
        <s v="23:41:14 à 23:43:44" u="1"/>
        <s v="03:30:43 à 03:40:38" u="1"/>
        <s v="11:08:49 à 12:24:09" u="1"/>
        <s v="12:03:02 à 13:13:46" u="1"/>
        <s v="16:23:12 à 17:22:53" u="1"/>
        <s v="05:53:36 à 06:59:36" u="1"/>
        <s v="11:44:40 à 12:24:11" u="1"/>
        <s v="11:55:41 à 12:00:01" u="1"/>
        <s v="14:49:58 à 16:04:23" u="1"/>
        <s v="15:47:05 à 16:33:22" u="1"/>
        <s v="11:21:47 à 12:48:33" u="1"/>
        <s v="11:23:23 à 12:04:26" u="1"/>
        <s v="18:12:51 à 21:35:04" u="1"/>
        <s v="05:40:16 à 06:59:58" u="1"/>
        <s v="11:31:36 à 12:28:42" u="1"/>
        <s v="11:44:44 à 12:28:40" u="1"/>
        <s v="12:18:42 à 12:53:36" u="1"/>
        <s v="14:25:33 à 16:20:37" u="1"/>
        <s v="14:47:18 à 16:28:51" u="1"/>
        <s v="15:19:18 à 16:37:57" u="1"/>
        <s v="08:09:57 à 09:52:17" u="1"/>
        <s v="10:40:32 à 11:15:05" u="1"/>
        <s v="11:49:29 à 12:40:31" u="1"/>
        <s v="10:55:20 à 11:55:11" u="1"/>
        <s v="14:51:26 à 16:40:50" u="1"/>
        <s v="18:48:49 à 19:17:47" u="1"/>
        <s v="20:08:29 à 21:37:23" u="1"/>
        <s v="10:25:36 à 11:15:29" u="1"/>
        <s v="10:35:05 à 11:11:18" u="1"/>
        <s v="14:39:52 à 15:28:47" u="1"/>
        <s v="14:51:17 à 15:24:34" u="1"/>
        <s v="15:35:18 à 15:53:47" u="1"/>
        <s v="15:50:48 à 18:46:17" u="1"/>
        <s v="06:26:47 à 09:10:45" u="1"/>
        <s v="08:36:51 à 09:32:52" u="1"/>
        <s v="10:24:59 à 11:39:57" u="1"/>
        <s v="19:21:41 à 20:20:18" u="1"/>
        <s v="07:13:50 à 10:09:31" u="1"/>
        <s v="11:38:40 à 11:40:47" u="1"/>
        <s v="10:58:16 à 11:51:52" u="1"/>
        <s v="13:52:18 à 14:39:46" u="1"/>
        <s v="20:31:15 à 20:33:22" u="1"/>
        <s v="23:54:48 à 23:57:01" u="1"/>
        <s v="07:42:08 à 07:43:07" u="1"/>
        <s v="13:48:01 à 14:55:48" u="1"/>
        <s v="17:22:30 à 18:05:50" u="1"/>
        <s v="17:14:42 à 17:45:24" u="1"/>
        <s v="06:44:58 à 23:24:27" u="1"/>
        <s v="12:12:57 à 13:27:23" u="1"/>
        <s v="16:13:52 à 17:12:26" u="1"/>
        <s v="06:09:41 à 07:15:30" u="1"/>
        <s v="16:15:20 à 17:12:36" u="1"/>
        <s v="23:32:05 à 23:37:46" u="1"/>
        <s v="12:13:43 à 13:03:35" u="1"/>
        <s v="16:37:07 à 17:36:50" u="1"/>
        <s v="11:07:35 à 12:18:19" u="1"/>
        <s v="15:02:53 à 16:47:29" u="1"/>
        <s v="16:50:24 à 16:52:10" u="1"/>
        <s v="17:17:22 à 17:41:55" u="1"/>
        <s v="06:56:32 à 06:58:37" u="1"/>
        <s v="10:20:41 à 12:41:05" u="1"/>
        <s v="11:34:15 à 12:38:22" u="1"/>
        <s v="12:03:25 à 12:47:28" u="1"/>
        <s v="18:59:35 à 19:27:05" u="1"/>
        <s v="08:06:09 à 09:06:09" u="1"/>
        <s v="08:36:41 à 12:03:37" u="1"/>
        <s v="11:15:42 à 13:30:54" u="1"/>
        <s v="14:26:02 à 15:38:09" u="1"/>
        <s v="14:43:33 à 16:18:42" u="1"/>
        <s v="11:42:22 à 12:34:31" u="1"/>
        <s v="12:25:56 à 12:47:44" u="1"/>
        <s v="18:56:30 à 19:03:17" u="1"/>
        <s v="10:50:36 à 12:01:31" u="1"/>
        <s v="11:54:23 à 12:30:30" u="1"/>
        <s v="15:55:04 à 16:03:52" u="1"/>
        <s v="16:30:54 à 16:32:55" u="1"/>
        <s v="11:46:36 à 12:14:52" u="1"/>
        <s v="12:06:50 à 12:43:59" u="1"/>
        <s v="18:03:04 à 19:00:22" u="1"/>
        <s v="08:34:15 à 09:26:42" u="1"/>
        <s v="08:38:09 à 09:26:42" u="1"/>
        <s v="09:55:41 à 11:12:37" u="1"/>
        <s v="11:27:26 à 11:54:28" u="1"/>
        <s v="11:47:08 à 11:50:15" u="1"/>
        <s v="10:31:02 à 11:21:28" u="1"/>
        <s v="10:47:49 à 10:49:07" u="1"/>
        <s v="12:27:02 à 19:29:59" u="1"/>
        <s v="13:49:06 à 14:45:09" u="1"/>
        <s v="14:51:59 à 15:34:44" u="1"/>
        <s v="13:56:31 à 14:45:17" u="1"/>
        <s v="09:18:33 à 10:13:23" u="1"/>
        <s v="17:21:56 à 18:15:30" u="1"/>
        <s v="07:44:07 à 08:37:43" u="1"/>
        <s v="07:55:43 à 08:53:31" u="1"/>
        <s v="10:01:39 à 10:02:13" u="1"/>
        <s v="14:02:42 à 14:55:31" u="1"/>
        <s v="14:18:08 à 14:19:40" u="1"/>
        <s v="18:24:11 à 18:24:40" u="1"/>
        <s v="07:43:03 à 20:34:43" u="1"/>
        <s v="13:43:04 à 14:45:49" u="1"/>
        <s v="17:50:10 à 18:50:49" u="1"/>
        <s v="09:15:28 à 13:26:26" u="1"/>
        <s v="13:00:40 à 13:26:16" u="1"/>
        <s v="18:34:07 à 20:21:56" u="1"/>
        <s v="21:30:42 à 00:37:52" u="1"/>
        <s v="17:01:32 à 17:35:37" u="1"/>
        <s v="10:04:40 à 10:22:52" u="1"/>
        <s v="13:18:16 à 17:19:44" u="1"/>
        <s v="16:18:16 à 17:06:46" u="1"/>
        <s v="11:20:49 à 13:08:42" u="1"/>
        <s v="12:17:03 à 12:17:08" u="1"/>
        <s v="12:13:20 à 13:17:54" u="1"/>
        <s v="12:53:46 à 16:06:11" u="1"/>
        <s v="14:22:47 à 16:44:26" u="1"/>
        <s v="15:27:41 à 16:13:28" u="1"/>
        <s v="19:46:06 à 19:46:07" u="1"/>
        <s v="08:48:00 à 09:36:00" u="1"/>
        <s v="09:43:56 à 12:02:36" u="1"/>
        <s v="11:31:44 à 12:24:24" u="1"/>
        <s v="14:30:23 à 15:08:09" u="1"/>
        <s v="05:51:34 à 06:51:39" u="1"/>
        <s v="10:54:15 à 12:15:30" u="1"/>
        <s v="14:32:06 à 15:44:08" u="1"/>
        <s v="11:14:37 à 12:04:49" u="1"/>
        <s v="15:57:35 à 16:53:50" u="1"/>
        <s v="10:46:01 à 11:11:07" u="1"/>
        <s v="15:09:19 à 15:10:11" u="1"/>
        <s v="08:22:35 à 09:12:36" u="1"/>
        <s v="11:30:20 à 12:40:54" u="1"/>
        <s v="16:58:06 à 18:39:28" u="1"/>
        <s v="08:16:33 à 10:10:04" u="1"/>
        <s v="10:41:33 à 11:39:54" u="1"/>
        <s v="10:57:35 à 14:08:18" u="1"/>
        <s v="14:37:54 à 15:24:59" u="1"/>
        <s v="17:23:58 à 18:05:21" u="1"/>
        <s v="18:18:08 à 18:30:13" u="1"/>
        <s v="09:26:33 à 10:03:22" u="1"/>
        <s v="10:53:13 à 11:35:53" u="1"/>
        <s v="11:34:39 à 11:40:48" u="1"/>
        <s v="14:01:22 à 14:05:24" u="1"/>
        <s v="09:17:56 à 10:07:43" u="1"/>
        <s v="09:31:09 à 10:03:30" u="1"/>
        <s v="12:24:45 à 14:03:20" u="1"/>
        <s v="13:04:32 à 14:12:24" u="1"/>
        <s v="16:36:08 à 17:16:02" u="1"/>
        <s v="17:10:37 à 18:05:43" u="1"/>
        <s v="19:56:29 à 20:04:43" u="1"/>
        <s v="09:15:07 à 10:07:53" u="1"/>
        <s v="10:58:42 à 10:59:45" u="1"/>
        <s v="13:14:54 à 13:56:03" u="1"/>
        <s v="15:02:00 à 18:07:54" u="1"/>
        <s v="17:27:03 à 18:01:42" u="1"/>
        <s v="17:30:32 à 17:49:20" u="1"/>
        <s v="06:40:15 à 20:35:53" u="1"/>
        <s v="10:03:24 à 14:29:51" u="1"/>
        <s v="10:54:34 à 10:55:46" u="1"/>
        <s v="11:38:54 à 20:48:52" u="1"/>
        <s v="12:28:05 à 13:47:11" u="1"/>
        <s v="16:33:50 à 17:16:22" u="1"/>
        <s v="17:20:40 à 17:41:14" u="1"/>
        <s v="07:03:38 à 07:04:22" u="1"/>
        <s v="12:28:35 à 13:47:21" u="1"/>
        <s v="17:12:38 à 17:49:44" u="1"/>
        <s v="00:29:58 à 00:30:47" u="1"/>
        <s v="07:18:40 à 07:20:20" u="1"/>
        <s v="12:28:19 à 13:07:33" u="1"/>
        <s v="15:49:04 à 16:47:02" u="1"/>
        <s v="12:14:17 à 13:07:45" u="1"/>
        <s v="13:12:25 à 13:36:44" u="1"/>
        <s v="15:21:31 à 16:07:18" u="1"/>
        <s v="09:56:34 à 13:12:50" u="1"/>
        <s v="11:48:17 à 12:34:02" u="1"/>
        <s v="22:46:56 à 22:48:28" u="1"/>
        <s v="05:57:04 à 06:49:38" u="1"/>
        <s v="11:18:10 à 12:54:17" u="1"/>
        <s v="11:46:25 à 12:38:21" u="1"/>
        <s v="15:46:11 à 16:07:34" u="1"/>
        <s v="10:27:55 à 13:21:53" u="1"/>
        <s v="11:45:55 à 13:10:50" u="1"/>
        <s v="14:22:40 à 16:54:36" u="1"/>
        <s v="15:34:10 à 16:47:54" u="1"/>
        <s v="15:37:10 à 15:47:18" u="1"/>
        <s v="15:53:28 à 16:43:41" u="1"/>
        <s v="16:20:51 à 21:47:12" u="1"/>
        <s v="09:15:10 à 09:39:36" u="1"/>
        <s v="12:19:57 à 12:47:57" u="1"/>
        <s v="09:08:37 à 09:51:29" u="1"/>
        <s v="10:43:08 à 11:29:25" u="1"/>
        <s v="14:48:04 à 15:34:27" u="1"/>
        <s v="08:54:30 à 19:29:56" u="1"/>
        <s v="09:10:45 à 11:13:30" u="1"/>
        <s v="10:54:31 à 11:41:14" u="1"/>
        <s v="11:42:02 à 12:30:53" u="1"/>
        <s v="13:41:21 à 15:25:37" u="1"/>
        <s v="13:49:33 à 15:05:38" u="1"/>
        <s v="10:23:00 à 11:29:49" u="1"/>
        <s v="10:34:41 à 11:21:29" u="1"/>
        <s v="11:27:11 à 11:58:48" u="1"/>
        <s v="14:55:56 à 15:50:35" u="1"/>
        <s v="15:43:01 à 15:43:47" u="1"/>
        <s v="17:01:37 à 18:55:13" u="1"/>
        <s v="17:25:01 à 18:11:02" u="1"/>
        <s v="19:42:42 à 19:52:58" u="1"/>
        <s v="08:43:06 à 09:22:52" u="1"/>
        <s v="11:49:58 à 11:50:36" u="1"/>
        <s v="13:43:58 à 15:01:49" u="1"/>
        <s v="18:27:28 à 18:28:40" u="1"/>
        <s v="19:36:21 à 20:50:26" u="1"/>
        <s v="07:28:46 à 08:17:49" u="1"/>
        <s v="20:46:42 à 20:47:30" u="1"/>
        <s v="03:45:43 à 03:48:06" u="1"/>
        <s v="08:21:17 à 10:28:50" u="1"/>
        <s v="05:58:23 à 07:15:17" u="1"/>
        <s v="08:28:42 à 10:24:51" u="1"/>
        <s v="13:21:57 à 14:06:50" u="1"/>
        <s v="16:13:53 à 17:26:26" u="1"/>
        <s v="20:21:58 à 20:23:46" u="1"/>
        <s v="06:52:22 à 07:20:18" u="1"/>
        <s v="16:17:23 à 17:22:27" u="1"/>
        <s v="16:26:35 à 17:42:24" u="1"/>
        <s v="12:33:36 à 13:13:22" u="1"/>
        <s v="16:10:25 à 17:26:46" u="1"/>
        <s v="16:24:09 à 16:26:08" u="1"/>
        <s v="03:08:53 à 03:25:30" u="1"/>
        <s v="07:07:56 à 07:54:40" u="1"/>
        <s v="11:43:10 à 12:28:02" u="1"/>
        <s v="13:28:25 à 13:46:42" u="1"/>
        <s v="15:48:25 à 16:33:04" u="1"/>
        <s v="16:27:01 à 17:06:55" u="1"/>
        <s v="05:58:59 à 06:55:19" u="1"/>
        <s v="11:30:45 à 12:08:15" u="1"/>
        <s v="15:30:28 à 16:13:17" u="1"/>
        <s v="15:35:25 à 16:17:26" u="1"/>
        <s v="08:05:21 à 06:27:35" u="1"/>
        <s v="10:21:52 à 12:59:24" u="1"/>
        <s v="11:39:45 à 12:40:05" u="1"/>
        <s v="12:12:13 à 12:37:28" u="1"/>
        <s v="15:36:51 à 16:37:35" u="1"/>
        <s v="11:52:08 à 12:40:11" u="1"/>
        <s v="14:20:19 à 21:59:01" u="1"/>
        <s v="16:41:24 à 16:42:34" u="1"/>
        <s v="08:42:14 à 09:16:12" u="1"/>
        <s v="10:24:14 à 12:11:28" u="1"/>
        <s v="10:52:58 à 11:39:03" u="1"/>
        <s v="11:35:42 à 16:53:34" u="1"/>
        <s v="14:55:32 à 15:48:14" u="1"/>
        <s v="15:00:44 à 15:18:10" u="1"/>
        <s v="15:34:08 à 15:57:18" u="1"/>
        <s v="12:48:15 à 16:02:45" u="1"/>
        <s v="16:22:21 à 16:22:59" u="1"/>
        <s v="18:13:11 à 19:30:10" u="1"/>
        <s v="10:37:23 à 11:19:28" u="1"/>
        <s v="10:48:28 à 11:11:08" u="1"/>
        <s v="11:04:43 à 11:05:10" u="1"/>
        <s v="11:26:27 à 12:40:47" u="1"/>
        <s v="11:01:47 à 11:21:10" u="1"/>
        <s v="18:06:04 à 18:54:04" u="1"/>
        <s v="18:53:43 à 19:17:57" u="1"/>
        <s v="10:30:10 à 11:39:47" u="1"/>
        <s v="08:28:49 à 09:12:57" u="1"/>
        <s v="08:29:52 à 09:32:56" u="1"/>
        <s v="08:34:56 à 08:56:26" u="1"/>
        <s v="09:09:48 à 10:07:26" u="1"/>
        <s v="09:37:35 à 14:12:11" u="1"/>
        <s v="14:44:57 à 15:40:48" u="1"/>
        <s v="16:54:54 à 18:59:38" u="1"/>
        <s v="11:39:02 à 11:40:49" u="1"/>
        <s v="18:05:47 à 18:10:27" u="1"/>
        <s v="18:09:39 à 18:14:36" u="1"/>
        <s v="09:09:52 à 10:07:46" u="1"/>
        <s v="10:01:15 à 10:56:21" u="1"/>
        <s v="13:15:23 à 14:56:30" u="1"/>
        <s v="16:13:51 à 20:57:48" u="1"/>
        <s v="17:00:46 à 18:01:37" u="1"/>
        <s v="17:15:52 à 18:05:44" u="1"/>
        <s v="09:15:31 à 10:43:43" u="1"/>
        <s v="10:10:12 à 14:25:31" u="1"/>
        <s v="12:37:09 à 13:27:01" u="1"/>
        <s v="13:28:45 à 14:32:30" u="1"/>
        <s v="13:58:02 à 14:39:58" u="1"/>
        <s v="17:07:32 à 17:49:37" u="1"/>
        <s v="06:51:39 à 07:38:36" u="1"/>
        <s v="12:29:18 à 13:23:14" u="1"/>
        <s v="12:37:16 à 00:30:46" u="1"/>
        <s v="22:58:52 à 23:00:17" u="1"/>
        <s v="06:06:09 à 06:59:03" u="1"/>
        <s v="10:00:36 à 10:52:52" u="1"/>
        <s v="05:45:34 à 07:09:59" u="1"/>
        <s v="10:02:49 à 12:49:09" u="1"/>
        <s v="11:33:12 à 12:18:05" u="1"/>
        <s v="15:40:15 à 16:43:04" u="1"/>
        <s v="15:54:16 à 16:43:02" u="1"/>
        <s v="05:36:15 à 06:06:10" u="1"/>
        <s v="19:08:09 à 19:57:00" u="1"/>
        <s v="06:16:28 à 06:51:23" u="1"/>
        <s v="14:58:04 à 15:58:04" u="1"/>
        <s v="15:41:45 à 15:47:07" u="1"/>
        <s v="10:44:14 à 11:49:05" u="1"/>
        <s v="12:10:34 à 12:43:39" u="1"/>
        <s v="15:42:53 à 16:27:54" u="1"/>
        <s v="15:44:55 à 16:43:44" u="1"/>
        <s v="16:27:29 à 16:32:49" u="1"/>
        <s v="10:59:52 à 12:09:51" u="1"/>
        <s v="11:52:49 à 12:38:50" u="1"/>
        <s v="18:16:00 à 19:04:21" u="1"/>
        <s v="07:37:10 à 09:33:24" u="1"/>
        <s v="09:10:10 à 09:59:46" u="1"/>
        <s v="10:58:27 à 12:05:52" u="1"/>
        <s v="08:23:57 à 09:26:46" u="1"/>
        <s v="09:10:09 à 14:26:04" u="1"/>
        <s v="17:03:37 à 18:55:04" u="1"/>
        <s v="18:11:10 à 18:44:03" u="1"/>
        <s v="08:11:53 à 11:00:32" u="1"/>
        <s v="09:19:09 à 09:55:57" u="1"/>
        <s v="10:40:12 à 11:25:37" u="1"/>
        <s v="11:02:32 à 18:57:02" u="1"/>
        <s v="09:57:36 à 15:21:59" u="1"/>
        <s v="10:54:06 à 11:45:44" u="1"/>
        <s v="13:00:37 à 14:22:05" u="1"/>
        <s v="13:11:38 à 14:02:04" u="1"/>
        <s v="17:22:21 à 18:35:21" u="1"/>
        <s v="10:56:01 à 11:45:54" u="1"/>
        <s v="12:25:16 à 14:17:20" u="1"/>
        <s v="09:20:08 à 10:57:40" u="1"/>
        <s v="10:51:16 à 11:21:56" u="1"/>
        <s v="12:28:01 à 13:17:04" u="1"/>
        <s v="17:21:55 à 18:15:52" u="1"/>
        <s v="05:52:56 à 07:11:09" u="1"/>
        <s v="13:01:23 à 14:02:46" u="1"/>
        <s v="13:12:10 à 14:06:53" u="1"/>
        <s v="16:17:03 à 17:02:19" u="1"/>
        <s v="08:30:51 à 10:20:51" u="1"/>
        <s v="13:10:13 à 14:02:54" u="1"/>
        <s v="13:18:42 à 14:02:54" u="1"/>
        <s v="17:08:26 à 17:59:47" u="1"/>
        <s v="23:06:23 à 23:08:30" u="1"/>
        <s v="00:44:23 à 00:44:53" u="1"/>
        <s v="15:27:09 à 16:17:09" u="1"/>
        <s v="15:29:36 à 16:37:08" u="1"/>
        <s v="10:26:45 à 13:59:41" u="1"/>
        <s v="12:35:21 à 12:37:05" u="1"/>
        <s v="17:00:45 à 17:51:49" u="1"/>
        <s v="17:30:15 à 17:31:44" u="1"/>
        <s v="11:34:58 à 12:04:07" u="1"/>
        <s v="12:13:18 à 13:33:46" u="1"/>
        <s v="15:39:48 à 16:57:25" u="1"/>
        <s v="16:48:00 à 17:42:51" u="1"/>
        <s v="10:55:02 à 12:39:20" u="1"/>
        <s v="15:52:49 à 16:37:32" u="1"/>
        <s v="15:56:56 à 16:33:23" u="1"/>
        <s v="10:41:41 à 12:11:15" u="1"/>
        <s v="13:48:53 à 15:39:07" u="1"/>
        <s v="14:33:51 à 16:00:29" u="1"/>
        <s v="14:53:21 à 16:00:25" u="1"/>
        <s v="05:27:12 à 06:52:31" u="1"/>
        <s v="05:46:02 à 05:56:00" u="1"/>
        <s v="07:44:55 à 09:43:02" u="1"/>
        <s v="09:19:51 à 09:49:27" u="1"/>
        <s v="10:50:40 à 11:39:04" u="1"/>
        <s v="11:34:22 à 12:40:26" u="1"/>
        <s v="11:52:08 à 12:44:31" u="1"/>
        <s v="11:55:41 à 12:44:31" u="1"/>
        <s v="14:42:59 à 16:04:46" u="1"/>
        <s v="14:55:28 à 16:04:44" u="1"/>
        <s v="15:31:27 à 16:13:48" u="1"/>
        <s v="22:58:28 à 22:58:57" u="1"/>
        <s v="08:02:33 à 19:56:21" u="1"/>
        <s v="08:57:09 à 09:52:10" u="1"/>
        <s v="10:44:02 à 11:39:16" u="1"/>
        <s v="11:33:50 à 12:20:37" u="1"/>
        <s v="15:06:15 à 15:54:10" u="1"/>
        <s v="10:55:56 à 11:19:25" u="1"/>
        <s v="07:37:58 à 09:03:36" u="1"/>
        <s v="11:35:06 à 12:20:57" u="1"/>
        <s v="09:45:06 à 09:45:52" u="1"/>
        <s v="14:56:21 à 15:48:55" u="1"/>
        <s v="19:19:57 à 19:43:50" u="1"/>
        <s v="07:20:06 à 10:49:20" u="1"/>
        <s v="08:25:35 à 08:56:29" u="1"/>
        <s v="09:17:50 à 10:03:16" u="1"/>
        <s v="09:32:35 à 10:07:21" u="1"/>
        <s v="11:00:23 à 11:01:32" u="1"/>
        <s v="11:43:00 à 11:44:47" u="1"/>
        <s v="10:56:30 à 11:51:45" u="1"/>
        <s v="14:20:38 à 14:21:22" u="1"/>
        <s v="17:34:29 à 18:05:41" u="1"/>
        <s v="18:00:41 à 18:54:45" u="1"/>
        <s v="07:38:09 à 08:47:57" u="1"/>
        <s v="13:20:00 à 13:56:03" u="1"/>
        <s v="15:48:56 à 17:23:02" u="1"/>
        <s v="16:36:44 à 17:16:14" u="1"/>
        <s v="03:13:32 à 03:15:00" u="1"/>
        <s v="12:11:55 à 13:07:17" u="1"/>
        <s v="10:21:10 à 13:45:13" u="1"/>
        <s v="15:03:38 à 17:43:39" u="1"/>
        <s v="12:10:24 à 17:16:47" u="1"/>
        <s v="12:29:03 à 13:27:44" u="1"/>
        <s v="23:09:44 à 23:10:32" u="1"/>
        <s v="11:28:09 à 12:18:18" u="1"/>
        <s v="12:12:53 à 12:47:19" u="1"/>
        <s v="12:21:43 à 13:47:53" u="1"/>
        <s v="12:26:44 à 13:23:45" u="1"/>
        <s v="16:18:22 à 17:12:59" u="1"/>
        <s v="17:21:53 à 17:21:57" u="1"/>
        <s v="06:25:42 à 06:51:12" u="1"/>
        <s v="05:26:22 à 06:06:33" u="1"/>
        <s v="11:58:40 à 12:18:32" u="1"/>
        <s v="12:48:28 à 16:56:33" u="1"/>
        <s v="10:41:11 à 11:09:08" u="1"/>
        <s v="10:54:41 à 12:21:23" u="1"/>
        <s v="15:38:47 à 16:23:48" u="1"/>
        <s v="08:54:49 à 09:46:20" u="1"/>
        <s v="11:03:59 à 11:15:01" u="1"/>
        <s v="11:22:21 à 12:34:48" u="1"/>
        <s v="11:51:17 à 12:30:33" u="1"/>
        <s v="11:59:43 à 12:34:42" u="1"/>
        <s v="14:46:51 à 16:30:46" u="1"/>
        <s v="02:24:57 à 02:26:51" u="1"/>
        <s v="08:41:02 à 09:26:33" u="1"/>
        <s v="10:48:08 à 12:05:55" u="1"/>
        <s v="13:00:18 à 15:26:21" u="1"/>
        <s v="15:46:57 à 15:47:38" u="1"/>
        <s v="09:54:52 à 09:55:40" u="1"/>
        <s v="10:53:21 à 11:41:16" u="1"/>
        <s v="11:01:29 à 11:51:10" u="1"/>
        <s v="11:49:25 à 12:50:54" u="1"/>
        <s v="18:01:21 à 18:04:08" u="1"/>
        <s v="08:38:52 à 10:28:10" u="1"/>
        <s v="07:47:34 à 08:37:26" u="1"/>
        <s v="09:35:11 à 10:37:20" u="1"/>
        <s v="11:06:32 à 11:51:30" u="1"/>
        <s v="17:32:51 à 18:31:21" u="1"/>
        <s v="17:35:45 à 18:15:31" u="1"/>
        <s v="19:40:29 à 20:10:28" u="1"/>
        <s v="08:16:11 à 10:00:27" u="1"/>
        <s v="10:29:21 à 14:51:10" u="1"/>
        <s v="13:22:20 à 14:22:22" u="1"/>
        <s v="14:56:10 à 14:58:49" u="1"/>
        <s v="17:05:37 à 17:55:09" u="1"/>
        <s v="17:17:48 à 17:19:18" u="1"/>
        <s v="05:59:33 à 07:15:09" u="1"/>
        <s v="17:08:42 à 17:55:19" u="1"/>
        <s v="13:00:31 à 13:42:09" u="1"/>
        <s v="11:41:12 à 13:24:11" u="1"/>
        <s v="12:38:58 à 13:53:12" u="1"/>
        <s v="20:22:25 à 20:23:58" u="1"/>
        <s v="12:27:47 à 13:57:33" u="1"/>
        <s v="11:39:00 à 12:08:17" u="1"/>
        <s v="11:52:48 à 12:48:11" u="1"/>
        <s v="16:26:16 à 22:37:21" u="1"/>
        <s v="16:41:37 à 16:42:16" u="1"/>
        <s v="16:40:32 à 16:42:26" u="1"/>
        <s v="08:22:07 à 09:16:08" u="1"/>
        <s v="10:52:48 à 12:11:14" u="1"/>
        <s v="14:40:50 à 15:28:09" u="1"/>
        <s v="18:04:21 à 19:14:04" u="1"/>
        <s v="05:35:31 à 06:52:30" u="1"/>
        <s v="11:34:52 à 12:28:46" u="1"/>
        <s v="11:37:07 à 12:44:36" u="1"/>
        <s v="11:39:56 à 12:20:28" u="1"/>
        <s v="11:52:00 à 12:44:32" u="1"/>
        <s v="14:53:13 à 15:04:09" u="1"/>
        <s v="15:10:00 à 15:50:00" u="1"/>
        <s v="15:57:55 à 19:22:19" u="1"/>
        <s v="07:35:45 à 09:27:35" u="1"/>
        <s v="11:30:06 à 12:20:48" u="1"/>
        <s v="07:35:41 à 09:43:35" u="1"/>
        <s v="11:00:15 à 11:25:21" u="1"/>
        <s v="11:48:34 à 15:33:29" u="1"/>
        <s v="11:57:01 à 12:40:53" u="1"/>
        <s v="14:43:21 à 15:44:39" u="1"/>
        <s v="09:35:35 à 10:23:12" u="1"/>
        <s v="10:43:34 à 11:55:47" u="1"/>
        <s v="14:22:28 à 14:25:12" u="1"/>
        <s v="18:30:15 à 20:15:29" u="1"/>
        <s v="09:10:29 à 10:03:27" u="1"/>
        <s v="09:19:04 à 10:27:35" u="1"/>
        <s v="10:09:27 à 10:32:05" u="1"/>
        <s v="10:11:31 à 10:12:04" u="1"/>
        <s v="10:51:53 à 11:31:47" u="1"/>
        <s v="04:02:33 à 04:04:20" u="1"/>
        <s v="10:04:38 à 10:56:23" u="1"/>
        <s v="14:36:32 à 20:15:38" u="1"/>
        <s v="17:13:35 à 17:29:18" u="1"/>
        <s v="20:54:59 à 20:57:30" u="1"/>
        <s v="00:38:01 à 00:38:36" u="1"/>
        <s v="16:57:02 à 17:52:00" u="1"/>
        <s v="07:58:42 à 08:43:55" u="1"/>
        <s v="08:15:07 à 10:54:54" u="1"/>
        <s v="16:56:26 à 17:36:20" u="1"/>
        <s v="12:11:05 à 13:23:18" u="1"/>
        <s v="12:45:35 à 13:43:11" u="1"/>
        <s v="13:40:19 à 18:01:50" u="1"/>
        <s v="14:37:50 à 14:41:50" u="1"/>
        <s v="16:24:37 à 17:16:37" u="1"/>
        <s v="10:06:55 à 10:52:54" u="1"/>
        <s v="16:31:14 à 17:36:44" u="1"/>
        <s v="05:56:07 à 07:09:59" u="1"/>
        <s v="12:21:22 à 13:07:46" u="1"/>
        <s v="16:35:43 à 16:36:28" u="1"/>
        <s v="12:51:40 à 16:12:15" u="1"/>
        <s v="16:54:39 à 16:56:33" u="1"/>
        <s v="08:43:51 à 09:26:04" u="1"/>
        <s v="11:43:19 à 12:30:16" u="1"/>
        <s v="11:45:41 à 12:58:33" u="1"/>
        <s v="12:25:46 à 12:27:39" u="1"/>
        <s v="13:55:33 à 15:29:07" u="1"/>
        <s v="14:50:22 à 16:14:35" u="1"/>
        <s v="22:25:21 à 22:25:31" u="1"/>
        <s v="05:22:44 à 06:22:34" u="1"/>
        <s v="09:36:11 à 09:59:24" u="1"/>
        <s v="08:27:40 à 09:46:27" u="1"/>
        <s v="15:09:32 à 15:20:04" u="1"/>
        <s v="18:18:05 à 18:28:05" u="1"/>
        <s v="21:49:49 à 21:52:10" u="1"/>
        <s v="08:26:22 à 09:22:39" u="1"/>
        <s v="09:13:12 à 10:37:05" u="1"/>
        <s v="14:50:07 à 15:38:47" u="1"/>
        <s v="15:08:26 à 15:48:41" u="1"/>
        <s v="19:51:55 à 19:52:49" u="1"/>
        <s v="07:07:58 à 08:14:01" u="1"/>
        <s v="10:04:38 à 11:06:32" u="1"/>
        <s v="17:34:26 à 18:15:12" u="1"/>
        <s v="17:06:15 à 19:31:54" u="1"/>
        <s v="08:06:52 à 10:40:18" u="1"/>
        <s v="12:26:48 à 14:17:22" u="1"/>
        <s v="09:44:56 à 10:33:30" u="1"/>
        <s v="15:37:21 à 17:17:05" u="1"/>
        <s v="17:33:11 à 18:11:33" u="1"/>
        <s v="09:30:41 à 10:13:43" u="1"/>
        <s v="17:20:34 à 17:39:26" u="1"/>
        <s v="16:45:04 à 17:22:14" u="1"/>
        <s v="12:20:47 à 13:33:26" u="1"/>
        <s v="12:33:22 à 13:57:32" u="1"/>
        <s v="17:54:53 à 17:55:40" u="1"/>
        <s v="22:57:36 à 22:58:09" u="1"/>
        <s v="08:54:21 à 12:33:06" u="1"/>
        <s v="11:33:06 à 12:08:08" u="1"/>
        <s v="06:19:25 à 06:25:16" u="1"/>
        <s v="07:50:18 à 09:07:03" u="1"/>
        <s v="08:47:57 à 12:37:47" u="1"/>
        <s v="08:43:19 à 09:32:05" u="1"/>
        <s v="14:05:45 à 16:01:31" u="1"/>
        <s v="17:50:17 à 19:28:29" u="1"/>
        <s v="10:59:08 à 11:19:17" u="1"/>
        <s v="11:23:41 à 12:28:59" u="1"/>
        <s v="10:31:18 à 12:55:56" u="1"/>
        <s v="10:51:28 à 15:04:19" u="1"/>
        <s v="14:12:17 à 15:01:13" u="1"/>
        <s v="15:03:32 à 15:58:31" u="1"/>
        <s v="08:28:52 à 09:16:49" u="1"/>
        <s v="08:55:22 à 09:52:32" u="1"/>
        <s v="15:00:14 à 15:54:32" u="1"/>
        <s v="18:03:10 à 18:54:07" u="1"/>
        <s v="13:23:31 à 14:16:03" u="1"/>
        <s v="13:27:36 à 14:36:02" u="1"/>
        <s v="14:00:11 à 14:49:15" u="1"/>
        <s v="14:39:16 à 14:41:01" u="1"/>
        <s v="09:24:56 à 10:03:36" u="1"/>
        <s v="10:12:27 à 10:56:22" u="1"/>
        <s v="14:28:52 à 17:58:05" u="1"/>
        <s v="17:36:47 à 18:45:41" u="1"/>
        <s v="07:40:28 à 08:23:49" u="1"/>
        <s v="08:14:54 à 17:56:19" u="1"/>
        <s v="08:17:05 à 10:10:38" u="1"/>
        <s v="12:49:47 à 13:07:03" u="1"/>
        <s v="14:05:02 à 14:49:55" u="1"/>
        <s v="12:37:55 à 13:47:13" u="1"/>
        <s v="13:04:51 à 13:56:19" u="1"/>
        <s v="15:24:39 à 17:43:17" u="1"/>
        <s v="17:17:24 à 18:01:58" u="1"/>
        <s v="13:28:21 à 14:12:54" u="1"/>
        <s v="16:54:49 à 17:32:22" u="1"/>
        <s v="16:55:18 à 17:16:32" u="1"/>
        <s v="06:10:28 à 06:59:04" u="1"/>
        <s v="10:22:52 à 10:52:51" u="1"/>
        <s v="14:51:47 à 17:10:23" u="1"/>
        <s v="15:54:37 à 17:23:32" u="1"/>
        <s v="11:32:39 à 12:58:06" u="1"/>
        <s v="11:54:57 à 13:18:40" u="1"/>
        <s v="14:49:05 à 16:34:37" u="1"/>
        <s v="15:04:31 à 16:04:31" u="1"/>
        <s v="05:07:41 à 06:22:39" u="1"/>
        <s v="11:55:11 à 12:30:25" u="1"/>
        <s v="07:25:37 à 09:17:29" u="1"/>
        <s v="08:24:58 à 09:26:29" u="1"/>
        <s v="02:22:17 à 02:22:44" u="1"/>
        <s v="08:43:33 à 09:46:34" u="1"/>
        <s v="09:19:55 à 09:59:49" u="1"/>
        <s v="18:29:15 à 21:21:39" u="1"/>
        <s v="08:29:59 à 10:28:14" u="1"/>
        <s v="17:24:09 à 18:11:06" u="1"/>
        <s v="09:44:17 à 10:53:10" u="1"/>
        <s v="12:27:00 à 14:13:04" u="1"/>
        <s v="13:16:07 à 14:02:07" u="1"/>
        <s v="07:58:30 à 08:17:37" u="1"/>
        <s v="10:23:47 à 10:26:12" u="1"/>
        <s v="11:04:20 à 11:51:42" u="1"/>
        <s v="08:13:55 à 10:04:38" u="1"/>
        <s v="08:24:25 à 10:44:34" u="1"/>
        <s v="08:43:18 à 10:04:32" u="1"/>
        <s v="12:43:21 à 20:27:36" u="1"/>
        <s v="17:14:14 à 17:55:09" u="1"/>
        <s v="17:27:42 à 17:55:07" u="1"/>
        <s v="18:04:44 à 18:28:58" u="1"/>
        <s v="12:05:33 à 13:57:09" u="1"/>
        <s v="14:14:59 à 14:59:53" u="1"/>
        <s v="17:19:08 à 17:59:28" u="1"/>
        <s v="20:41:04 à 20:43:35" u="1"/>
        <s v="17:55:46 à 17:59:30" u="1"/>
        <s v="11:12:15 à 14:44:54" u="1"/>
        <s v="13:08:01 à 14:02:59" u="1"/>
        <s v="16:29:39 à 17:46:37" u="1"/>
        <s v="03:21:29 à 03:25:20" u="1"/>
        <s v="23:18:27 à 23:20:22" u="1"/>
        <s v="15:35:57 à 16:57:18" u="1"/>
        <s v="12:16:36 à 13:53:48" u="1"/>
        <s v="13:46:23 à 13:46:52" u="1"/>
        <s v="16:02:42 à 16:03:12" u="1"/>
        <s v="11:33:00 à 12:24:19" u="1"/>
        <s v="12:01:34 à 12:30:00" u="1"/>
        <s v="14:42:56 à 16:04:29" u="1"/>
        <s v="10:58:57 à 12:15:25" u="1"/>
        <s v="05:27:32 à 06:52:34" u="1"/>
        <s v="12:35:46 à 12:37:48" u="1"/>
        <s v="22:15:01 à 22:15:45" u="1"/>
        <s v="08:39:27 à 09:32:18" u="1"/>
        <s v="09:12:15 à 11:47:22" u="1"/>
        <s v="11:27:45 à 15:14:00" u="1"/>
        <s v="12:57:23 à 12:57:53" u="1"/>
        <s v="15:05:08 à 15:14:15" u="1"/>
        <s v="19:22:09 à 19:43:21" u="1"/>
        <s v="11:07:56 à 11:41:03" u="1"/>
        <s v="11:08:00 à 11:09:23" u="1"/>
        <s v="11:09:15 à 11:45:12" u="1"/>
        <s v="15:03:47 à 15:50:14" u="1"/>
        <s v="08:50:57 à 09:32:34" u="1"/>
        <s v="10:55:08 à 12:11:56" u="1"/>
        <s v="18:30:01 à 18:34:03" u="1"/>
        <s v="09:38:11 à 10:23:04" u="1"/>
        <s v="09:46:17 à 10:47:10" u="1"/>
        <s v="14:05:13 à 14:45:07" u="1"/>
        <s v="14:07:59 à 14:09:18" u="1"/>
        <s v="07:39:51 à 09:43:57" u="1"/>
        <s v="08:52:54 à 09:32:54" u="1"/>
        <s v="09:13:35 à 10:23:18" u="1"/>
        <s v="14:07:04 à 14:41:08" u="1"/>
        <s v="14:56:22 à 15:44:59" u="1"/>
        <s v="17:47:00 à 18:05:22" u="1"/>
        <s v="18:03:02 à 19:30:56" u="1"/>
        <s v="19:45:56 à 20:48:37" u="1"/>
        <s v="19:48:27 à 20:08:39" u="1"/>
        <s v="07:51:42 à 08:43:27" u="1"/>
        <s v="09:16:11 à 10:07:38" u="1"/>
        <s v="09:20:20 à 10:07:36" u="1"/>
        <s v="10:50:01 à 11:35:58" u="1"/>
        <s v="13:49:20 à 18:25:20" u="1"/>
        <s v="17:23:50 à 18:41:25" u="1"/>
        <s v="17:24:49 à 18:09:45" u="1"/>
        <s v="08:01:11 à 08:57:40" u="1"/>
        <s v="10:10:49 à 10:56:23" u="1"/>
        <s v="12:38:30 à 14:43:21" u="1"/>
        <s v="09:43:48 à 10:23:42" u="1"/>
        <s v="09:47:11 à 10:27:51" u="1"/>
        <s v="15:25:00 à 18:23:45" u="1"/>
        <s v="19:18:10 à 20:01:41" u="1"/>
        <s v="07:44:03 à 08:43:59" u="1"/>
        <s v="07:53:45 à 08:43:57" u="1"/>
        <s v="16:42:23 à 17:32:15" u="1"/>
        <s v="23:52:47 à 23:53:18" u="1"/>
        <s v="05:34:56 à 07:06:20" u="1"/>
        <s v="13:34:09 à 13:36:25" u="1"/>
        <s v="17:27:23 à 17:29:48" u="1"/>
        <s v="12:37:10 à 13:23:26" u="1"/>
        <s v="16:50:21 à 17:16:43" u="1"/>
        <s v="11:44:52 à 12:38:16" u="1"/>
        <s v="15:44:34 à 16:43:18" u="1"/>
        <s v="15:59:28 à 17:43:52" u="1"/>
        <s v="16:32:21 à 16:56:29" u="1"/>
        <s v="05:22:14 à 06:26:35" u="1"/>
        <s v="16:44:34 à 16:52:38" u="1"/>
        <s v="12:03:39 à 12:04:31" u="1"/>
        <s v="05:38:23 à 06:42:43" u="1"/>
        <s v="08:43:59 à 09:42:16" u="1"/>
        <s v="09:05:07 à 11:17:26" u="1"/>
        <s v="11:22:04 à 12:58:59" u="1"/>
        <s v="15:56:53 à 16:43:56" u="1"/>
        <s v="11:18:51 à 11:19:21" u="1"/>
        <s v="15:16:34 à 16:00:51" u="1"/>
        <s v="17:39:48 à 18:19:03" u="1"/>
        <s v="09:23:42 à 10:17:06" u="1"/>
        <s v="09:34:28 à 09:35:48" u="1"/>
        <s v="11:05:33 à 11:11:15" u="1"/>
        <s v="18:02:57 à 18:44:09" u="1"/>
        <s v="08:33:31 à 09:26:58" u="1"/>
        <s v="15:12:39 à 15:20:34" u="1"/>
        <s v="18:00:08 à 18:28:29" u="1"/>
        <s v="18:07:52 à 18:28:29" u="1"/>
        <s v="14:19:14 à 15:11:44" u="1"/>
        <s v="18:42:54 à 18:44:21" u="1"/>
        <s v="18:47:59 à 18:48:30" u="1"/>
        <s v="08:51:49 à 10:04:21" u="1"/>
        <s v="09:08:57 à 10:53:29" u="1"/>
        <s v="13:03:16 à 14:26:28" u="1"/>
        <s v="13:04:01 à 14:26:28" u="1"/>
        <s v="14:26:41 à 15:31:51" u="1"/>
        <s v="17:56:57 à 17:59:01" u="1"/>
        <s v="13:16:34 à 14:06:37" u="1"/>
        <s v="14:03:50 à 14:55:37" u="1"/>
        <s v="16:50:30 à 17:26:03" u="1"/>
        <s v="12:33:53 à 14:33:32" u="1"/>
        <s v="20:01:28 à 20:04:30" u="1"/>
        <s v="07:59:06 à 08:53:57" u="1"/>
        <s v="18:13:53 à 18:40:58" u="1"/>
        <s v="06:27:57 à 07:09:32" u="1"/>
        <s v="11:41:05 à 13:40:04" u="1"/>
        <s v="13:16:51 à 14:02:58" u="1"/>
        <s v="12:15:31 à 13:57:38" u="1"/>
        <s v="06:04:18 à 06:49:18" u="1"/>
        <s v="11:54:41 à 13:24:32" u="1"/>
        <s v="11:49:37 à 12:28:17" u="1"/>
        <s v="11:54:53 à 13:24:42" u="1"/>
        <s v="10:42:25 à 12:31:08" u="1"/>
        <s v="11:38:31 à 12:28:29" u="1"/>
        <s v="16:13:09 à 16:23:20" u="1"/>
        <s v="22:13:27 à 22:15:26" u="1"/>
        <s v="05:28:34 à 06:12:27" u="1"/>
        <s v="09:35:04 à 11:27:00" u="1"/>
        <s v="09:43:55 à 09:45:06" u="1"/>
        <s v="14:53:08 à 16:00:29" u="1"/>
        <s v="16:44:19 à 16:46:48" u="1"/>
        <s v="10:07:43 à 15:09:04" u="1"/>
        <s v="11:09:38 à 12:05:31" u="1"/>
        <s v="11:45:44 à 12:28:47" u="1"/>
        <s v="11:48:24 à 12:40:28" u="1"/>
        <s v="14:14:41 à 15:45:12" u="1"/>
        <s v="14:28:33 à 15:21:02" u="1"/>
        <s v="15:14:07 à 16:10:41" u="1"/>
        <s v="15:44:35 à 16:33:59" u="1"/>
        <s v="11:50:38 à 12:40:56" u="1"/>
        <s v="10:45:47 à 11:59:49" u="1"/>
        <s v="15:05:09 à 15:50:35" u="1"/>
        <s v="08:05:29 à 08:17:23" u="1"/>
        <s v="09:29:31 à 10:07:27" u="1"/>
        <s v="09:49:58 à 10:43:12" u="1"/>
        <s v="10:06:03 à 11:16:44" u="1"/>
        <s v="11:23:43 à 14:38:13" u="1"/>
        <s v="13:42:20 à 14:36:10" u="1"/>
        <s v="17:39:37 à 18:21:15" u="1"/>
        <s v="17:48:56 à 18:41:12" u="1"/>
        <s v="17:49:10 à 18:41:12" u="1"/>
        <s v="21:42:07 à 21:42:43" u="1"/>
        <s v="23:57:43 à 00:01:08" u="1"/>
        <s v="08:10:52 à 08:13:22" u="1"/>
        <s v="10:30:47 à 10:32:02" u="1"/>
        <s v="15:15:02 à 15:30:54" u="1"/>
        <s v="17:55:45 à 18:41:20" u="1"/>
        <s v="08:16:47 à 10:50:28" u="1"/>
        <s v="20:48:45 à 20:53:26" u="1"/>
        <s v="00:09:04 à 00:15:21" u="1"/>
        <s v="10:13:05 à 10:36:35" u="1"/>
        <s v="11:57:44 à 13:18:02" u="1"/>
        <s v="16:41:51 à 17:12:07" u="1"/>
        <s v="18:49:36 à 18:50:42" u="1"/>
        <s v="23:59:33 à 00:01:38" u="1"/>
        <s v="07:25:41 à 07:28:22" u="1"/>
        <s v="09:53:43 à 17:41:15" u="1"/>
        <s v="10:48:26 à 13:05:05" u="1"/>
        <s v="16:44:25 à 17:36:25" u="1"/>
        <s v="00:37:56 à 00:38:59" u="1"/>
        <s v="07:07:09 à 07:08:37" u="1"/>
        <s v="07:12:19 à 08:40:51" u="1"/>
        <s v="09:56:30 à 17:45:34" u="1"/>
        <s v="11:55:52 à 13:14:13" u="1"/>
        <s v="16:54:07 à 17:32:34" u="1"/>
        <s v="11:12:50 à 13:58:48" u="1"/>
        <s v="11:59:02 à 13:34:32" u="1"/>
        <s v="16:07:13 à 16:17:12" u="1"/>
        <s v="16:49:36 à 17:52:45" u="1"/>
        <s v="14:18:54 à 16:31:00" u="1"/>
        <s v="14:50:49 à 16:50:07" u="1"/>
        <s v="15:16:05 à 16:04:11" u="1"/>
        <s v="05:27:19 à 06:06:27" u="1"/>
        <s v="12:06:58 à 12:08:21" u="1"/>
        <s v="12:17:39 à 12:20:00" u="1"/>
        <s v="12:31:49 à 13:43:56" u="1"/>
        <s v="16:03:26 à 16:53:21" u="1"/>
        <s v="10:42:27 à 12:09:38" u="1"/>
        <s v="02:20:18 à 02:22:26" u="1"/>
        <s v="16:51:43 à 16:52:57" u="1"/>
        <s v="18:25:28 à 18:48:05" u="1"/>
        <s v="09:44:19 à 10:57:01" u="1"/>
        <s v="11:17:06 à 11:19:32" u="1"/>
        <s v="14:26:19 à 15:39:40" u="1"/>
        <s v="17:19:50 à 18:15:09" u="1"/>
        <s v="18:00:53 à 18:48:19" u="1"/>
        <s v="08:52:30 à 09:02:47" u="1"/>
        <s v="09:52:47 à 10:17:11" u="1"/>
        <s v="09:56:36 à 10:33:01" u="1"/>
        <s v="17:33:23 à 18:31:05" u="1"/>
        <s v="09:12:10 à 10:57:37" u="1"/>
        <s v="10:21:37 à 10:22:05" u="1"/>
        <s v="14:12:37 à 14:59:35" u="1"/>
        <s v="14:21:30 à 15:11:53" u="1"/>
        <s v="17:21:34 à 18:55:35" u="1"/>
        <s v="06:16:12 à 07:29:14" u="1"/>
        <s v="08:31:49 à 10:44:44" u="1"/>
        <s v="09:59:13 à 10:37:50" u="1"/>
        <s v="00:40:02 à 00:40:29" u="1"/>
        <s v="13:36:06 à 14:06:54" u="1"/>
        <s v="17:42:25 à 18:31:53" u="1"/>
        <s v="12:46:08 à 13:37:24" u="1"/>
        <s v="13:40:25 à 13:42:25" u="1"/>
        <s v="16:42:43 à 17:26:46" u="1"/>
        <s v="15:42:59 à 17:13:47" u="1"/>
        <s v="16:13:33 à 16:27:10" u="1"/>
        <s v="16:13:00 à 16:23:11" u="1"/>
        <s v="05:40:04 à 07:12:50" u="1"/>
        <s v="09:01:32 à 12:27:33" u="1"/>
        <s v="15:51:57 à 16:33:28" u="1"/>
        <s v="06:44:54 à 06:45:32" u="1"/>
        <s v="05:43:09 à 06:56:41" u="1"/>
        <s v="08:42:16 à 09:32:08" u="1"/>
        <s v="05:25:58 à 06:36:56" u="1"/>
        <s v="05:39:07 à 06:52:44" u="1"/>
        <s v="11:51:17 à 12:44:46" u="1"/>
        <s v="14:37:56 à 15:25:10" u="1"/>
        <s v="11:24:44 à 11:25:11" u="1"/>
        <s v="15:13:35 à 15:14:25" u="1"/>
        <s v="07:52:37 à 09:03:37" u="1"/>
        <s v="09:18:23 à 11:23:36" u="1"/>
        <s v="11:05:20 à 12:01:53" u="1"/>
        <s v="11:24:40 à 11:25:21" u="1"/>
        <s v="09:24:55 à 10:43:07" u="1"/>
        <s v="09:31:14 à 10:07:16" u="1"/>
        <s v="09:37:25 à 10:47:14" u="1"/>
        <s v="11:06:44 à 11:49:43" u="1"/>
        <s v="13:45:53 à 14:36:01" u="1"/>
        <s v="15:44:47 à 21:28:55" u="1"/>
        <s v="09:51:11 à 10:27:21" u="1"/>
        <s v="17:24:17 à 18:09:37" u="1"/>
        <s v="07:35:25 à 08:00:10" u="1"/>
        <s v="10:08:02 à 10:32:09" u="1"/>
        <s v="11:10:13 à 15:14:54" u="1"/>
        <s v="14:12:06 à 15:01:56" u="1"/>
        <s v="18:38:03 à 18:38:44" u="1"/>
        <s v="16:52:07 à 17:36:04" u="1"/>
        <s v="17:36:38 à 18:21:36" u="1"/>
        <s v="14:41:20 à 14:49:50" u="1"/>
        <s v="15:52:29 à 17:27:14" u="1"/>
        <s v="17:40:36 à 17:41:07" u="1"/>
        <s v="10:37:12 à 10:52:32" u="1"/>
        <s v="12:56:39 à 13:47:12" u="1"/>
        <s v="13:30:03 à 13:32:08" u="1"/>
        <s v="13:44:54 à 14:32:42" u="1"/>
        <s v="16:45:29 à 17:36:26" u="1"/>
        <s v="17:05:47 à 17:06:20" u="1"/>
        <s v="12:42:27 à 13:07:26" u="1"/>
        <s v="15:14:01 à 23:10:16" u="1"/>
        <s v="16:37:03 à 17:32:29" u="1"/>
        <s v="15:58:07 à 16:07:09" u="1"/>
        <s v="16:08:55 à 16:17:03" u="1"/>
        <s v="16:21:44 à 17:56:49" u="1"/>
        <s v="11:48:22 à 12:18:09" u="1"/>
        <s v="14:58:35 à 16:58:16" u="1"/>
        <s v="15:56:04 à 17:07:55" u="1"/>
        <s v="16:48:32 à 17:36:56" u="1"/>
        <s v="05:28:42 à 06:26:17" u="1"/>
        <s v="05:48:33 à 07:02:41" u="1"/>
        <s v="07:21:57 à 07:44:53" u="1"/>
        <s v="10:06:53 à 12:06:02" u="1"/>
        <s v="11:49:46 à 12:38:18" u="1"/>
        <s v="12:39:47 à 13:27:57" u="1"/>
        <s v="12:56:05 à 13:43:43" u="1"/>
        <s v="16:46:40 à 17:12:58" u="1"/>
        <s v="06:05:44 à 07:11:59" u="1"/>
        <s v="12:09:02 à 13:00:40" u="1"/>
        <s v="15:07:38 à 16:00:15" u="1"/>
        <s v="05:31:07 à 06:42:25" u="1"/>
        <s v="05:47:30 à 06:22:24" u="1"/>
        <s v="09:29:10 à 11:17:04" u="1"/>
        <s v="12:42:23 à 12:43:29" u="1"/>
        <s v="14:08:06 à 15:19:06" u="1"/>
        <s v="16:03:00 à 16:57:41" u="1"/>
        <s v="22:27:10 à 22:29:44" u="1"/>
        <s v="05:22:45 à 06:02:39" u="1"/>
        <s v="05:40:33 à 06:46:42" u="1"/>
        <s v="11:06:53 à 12:55:30" u="1"/>
        <s v="13:28:08 à 15:06:03" u="1"/>
        <s v="05:36:33 à 06:46:54" u="1"/>
        <s v="11:02:24 à 11:11:07" u="1"/>
        <s v="07:56:27 à 08:57:08" u="1"/>
        <s v="08:33:30 à 10:08:06" u="1"/>
        <s v="10:21:16 à 11:06:22" u="1"/>
        <s v="14:22:54 à 15:15:33" u="1"/>
        <s v="14:26:44 à 15:11:24" u="1"/>
        <s v="15:23:01 à 15:24:33" u="1"/>
        <s v="17:58:40 à 18:39:10" u="1"/>
        <s v="09:34:23 à 10:57:14" u="1"/>
        <s v="13:47:05 à 14:26:02" u="1"/>
        <s v="15:05:35 à 15:28:56" u="1"/>
        <s v="08:21:00 à 10:20:09" u="1"/>
        <s v="08:31:32 à 11:00:44" u="1"/>
        <s v="17:35:37 à 18:35:25" u="1"/>
        <s v="17:54:37 à 18:39:30" u="1"/>
        <s v="18:20:11 à 18:20:19" u="1"/>
        <s v="14:10:35 à 14:59:36" u="1"/>
        <s v="07:51:04 à 08:37:49" u="1"/>
        <s v="10:41:36 à 10:42:11" u="1"/>
        <s v="14:12:59 à 14:15:39" u="1"/>
        <s v="06:30:27 à 07:09:12" u="1"/>
        <s v="13:22:50 à 14:46:45" u="1"/>
        <s v="13:55:39 à 14:42:30" u="1"/>
        <s v="07:47:36 à 10:51:43" u="1"/>
        <s v="10:39:40 à 18:44:43" u="1"/>
        <s v="11:48:23 à 13:24:06" u="1"/>
        <s v="12:39:01 à 14:33:44" u="1"/>
        <s v="13:18:58 à 14:06:59" u="1"/>
        <s v="17:34:26 à 18:31:56" u="1"/>
        <s v="17:58:12 à 18:51:51" u="1"/>
        <s v="15:09:45 à 17:10:21" u="1"/>
        <s v="16:05:17 à 16:07:04" u="1"/>
        <s v="11:58:13 à 12:48:06" u="1"/>
        <s v="07:15:46 à 07:54:55" u="1"/>
        <s v="12:32:14 à 13:57:56" u="1"/>
        <s v="11:16:43 à 12:05:11" u="1"/>
        <s v="15:27:13 à 16:14:20" u="1"/>
        <s v="05:42:14 à 06:32:34" u="1"/>
        <s v="11:08:54 à 12:25:32" u="1"/>
        <s v="22:39:00 à 22:39:52" u="1"/>
        <s v="05:38:29 à 06:36:55" u="1"/>
        <s v="11:01:05 à 11:29:15" u="1"/>
        <s v="11:23:49 à 11:25:02" u="1"/>
        <s v="11:20:50 à 11:25:12" u="1"/>
        <s v="14:15:51 à 15:09:35" u="1"/>
        <s v="11:20:18 à 11:25:22" u="1"/>
        <s v="15:08:18 à 15:50:27" u="1"/>
        <s v="08:33:57 à 10:18:16" u="1"/>
        <s v="10:08:39 à 11:36:35" u="1"/>
        <s v="17:18:04 à 18:49:28" u="1"/>
        <s v="19:20:11 à 20:21:01" u="1"/>
        <s v="08:03:07 à 08:53:14" u="1"/>
        <s v="08:55:25 à 09:52:56" u="1"/>
        <s v="08:58:56 à 09:32:57" u="1"/>
        <s v="14:33:11 à 15:21:42" u="1"/>
        <s v="14:44:29 à 15:01:41" u="1"/>
        <s v="02:59:21 à 08:58:27" u="1"/>
        <s v="11:00:35 à 11:01:48" u="1"/>
        <s v="12:45:44 à 20:53:19" u="1"/>
        <s v="04:07:37 à 04:08:34" u="1"/>
        <s v="08:00:26 à 08:53:34" u="1"/>
        <s v="10:19:16 à 18:38:37" u="1"/>
        <s v="13:31:45 à 14:36:34" u="1"/>
        <s v="08:45:42 à 14:47:53" u="1"/>
        <s v="10:13:33 à 10:56:36" u="1"/>
        <s v="16:48:17 à 18:52:43" u="1"/>
        <s v="17:48:03 à 17:49:46" u="1"/>
        <s v="00:15:03 à 00:15:51" u="1"/>
        <s v="07:40:21 à 07:40:21" u="1"/>
        <s v="09:31:40 à 17:49:59" u="1"/>
        <s v="12:33:13 à 13:27:38" u="1"/>
        <s v="12:34:04 à 13:43:28" u="1"/>
        <s v="00:07:54 à 00:11:54" u="1"/>
        <s v="11:44:11 à 13:10:28" u="1"/>
        <s v="14:46:32 à 17:34:47" u="1"/>
        <s v="17:06:21 à 17:06:51" u="1"/>
        <s v="15:27:58 à 16:00:02" u="1"/>
        <s v="13:55:52 à 17:41:55" u="1"/>
        <s v="06:54:17 à 06:55:31" u="1"/>
        <s v="10:04:48 à 12:06:23" u="1"/>
        <s v="12:03:05 à 12:04:24" u="1"/>
        <s v="12:04:19 à 12:48:31" u="1"/>
        <s v="08:18:23 à 09:23:00" u="1"/>
        <s v="08:14:50 à 09:07:20" u="1"/>
        <s v="09:03:53 à 11:33:19" u="1"/>
        <s v="11:41:47 à 12:54:49" u="1"/>
        <s v="12:17:47 à 12:20:32" u="1"/>
        <s v="15:14:18 à 15:24:16" u="1"/>
        <s v="07:06:24 à 11:31:19" u="1"/>
        <s v="07:28:19 à 16:20:52" u="1"/>
        <s v="10:15:04 à 16:51:40" u="1"/>
        <s v="11:50:08 à 12:34:58" u="1"/>
        <s v="09:15:38 à 10:57:09" u="1"/>
        <s v="11:19:04 à 12:11:52" u="1"/>
        <s v="14:34:27 à 15:55:30" u="1"/>
        <s v="07:27:01 à 11:39:53" u="1"/>
        <s v="09:43:41 à 10:57:13" u="1"/>
        <s v="11:03:12 à 11:51:26" u="1"/>
        <s v="15:14:25 à 15:44:45" u="1"/>
        <s v="16:13:36 à 20:28:11" u="1"/>
        <s v="17:08:18 à 19:35:58" u="1"/>
        <s v="17:50:05 à 18:39:21" u="1"/>
        <s v="18:25:15 à 18:28:28" u="1"/>
        <s v="08:05:24 à 09:03:53" u="1"/>
        <s v="08:38:21 à 11:20:44" u="1"/>
        <s v="09:27:39 à 10:37:28" u="1"/>
        <s v="10:06:03 à 11:22:37" u="1"/>
        <s v="11:01:20 à 11:35:46" u="1"/>
        <s v="11:16:33 à 11:55:43" u="1"/>
        <s v="14:11:32 à 14:51:09" u="1"/>
        <s v="15:27:44 à 18:17:28" u="1"/>
        <s v="17:29:40 à 18:19:38" u="1"/>
        <s v="18:27:44 à 18:28:38" u="1"/>
        <s v="20:41:50 à 20:43:09" u="1"/>
        <s v="11:13:47 à 11:55:53" u="1"/>
        <s v="13:03:00 à 15:22:58" u="1"/>
        <s v="18:47:46 à 18:48:43" u="1"/>
        <s v="12:52:47 à 14:37:30" u="1"/>
        <s v="13:36:47 à 14:22:26" u="1"/>
        <s v="13:51:41 à 14:46:30" u="1"/>
        <s v="16:47:43 à 17:22:09" u="1"/>
        <s v="17:25:54 à 18:15:59" u="1"/>
        <s v="17:56:14 à 17:59:24" u="1"/>
        <s v="00:19:26 à 00:21:22" u="1"/>
        <s v="06:24:40 à 07:05:16" u="1"/>
        <s v="16:53:43 à 17:22:17" u="1"/>
        <s v="16:56:27 à 17:06:27" u="1"/>
        <s v="00:48:23 à 00:48:59" u="1"/>
        <s v="10:25:38 à 10:46:55" u="1"/>
        <s v="17:03:18 à 17:52:20" u="1"/>
        <s v="11:12:39 à 12:09:01" u="1"/>
        <s v="05:34:28 à 06:56:15" u="1"/>
        <s v="06:39:43 à 07:21:44" u="1"/>
        <s v="11:57:22 à 12:44:08" u="1"/>
        <s v="15:17:31 à 16:10:04" u="1"/>
        <s v="16:21:55 à 16:23:11" u="1"/>
        <s v="10:19:10 à 12:52:00" u="1"/>
        <s v="10:56:20 à 12:15:19" u="1"/>
        <s v="12:50:43 à 13:33:55" u="1"/>
        <s v="15:24:16 à 16:10:12" u="1"/>
        <s v="16:00:43 à 16:23:25" u="1"/>
        <s v="11:59:11 à 12:44:28" u="1"/>
        <s v="15:09:51 à 16:30:25" u="1"/>
        <s v="11:00:57 à 11:29:06" u="1"/>
        <s v="11:07:26 à 11:49:05" u="1"/>
        <s v="12:11:26 à 12:50:21" u="1"/>
        <s v="14:09:18 à 15:09:18" u="1"/>
        <s v="15:24:49 à 16:14:41" u="1"/>
        <s v="05:36:42 à 06:56:55" u="1"/>
        <s v="09:07:47 à 09:42:12" u="1"/>
        <s v="09:18:01 à 11:07:28" u="1"/>
        <s v="11:28:45 à 11:29:12" u="1"/>
        <s v="11:52:12 à 12:44:48" u="1"/>
        <s v="12:16:32 à 12:54:40" u="1"/>
        <s v="14:04:29 à 15:21:09" u="1"/>
        <s v="15:05:57 à 15:50:08" u="1"/>
        <s v="10:30:22 à 11:16:11" u="1"/>
        <s v="11:15:56 à 12:05:52" u="1"/>
        <s v="14:17:41 à 15:25:26" u="1"/>
        <s v="14:40:33 à 15:01:22" u="1"/>
        <s v="09:33:08 à 10:23:08" u="1"/>
        <s v="11:06:52 à 11:21:28" u="1"/>
        <s v="14:17:16 à 15:01:38" u="1"/>
        <s v="18:30:40 à 18:34:17" u="1"/>
        <s v="08:50:28 à 09:32:58" u="1"/>
        <s v="13:20:39 à 14:16:18" u="1"/>
        <s v="13:31:54 à 14:32:16" u="1"/>
        <s v="13:42:39 à 14:16:24" u="1"/>
        <s v="09:46:47 à 10:23:36" u="1"/>
        <s v="10:31:19 à 10:32:15" u="1"/>
        <s v="07:42:54 à 07:44:01" u="1"/>
        <s v="08:10:48 à 08:13:45" u="1"/>
        <s v="14:20:51 à 14:21:39" u="1"/>
        <s v="18:21:16 à 18:50:49" u="1"/>
        <s v="07:13:24 à 07:28:37" u="1"/>
        <s v="13:15:25 à 14:52:59" u="1"/>
        <s v="16:44:19 à 17:52:28" u="1"/>
        <s v="12:53:24 à 13:43:35" u="1"/>
        <s v="13:55:53 à 13:56:44" u="1"/>
        <s v="14:21:06 à 16:35:00" u="1"/>
        <s v="15:17:21 à 16:08:13" u="1"/>
        <s v="15:50:55 à 22:38:11" u="1"/>
        <s v="15:59:37 à 16:47:19" u="1"/>
        <s v="12:10:15 à 12:48:10" u="1"/>
        <s v="12:57:05 à 13:47:54" u="1"/>
        <s v="22:37:17 à 22:41:05" u="1"/>
        <s v="08:48:20 à 09:46:09" u="1"/>
        <s v="19:30:54 à 19:33:04" u="1"/>
        <s v="06:18:38 à 06:59:59" u="1"/>
        <s v="08:14:50 à 09:07:11" u="1"/>
        <s v="08:43:13 à 09:46:19" u="1"/>
        <s v="11:16:35 à 12:15:32" u="1"/>
        <s v="16:04:52 à 16:17:55" u="1"/>
        <s v="16:11:53 à 16:53:42" u="1"/>
        <s v="08:14:41 à 09:03:12" u="1"/>
        <s v="15:25:01 à 16:24:51" u="1"/>
        <s v="15:31:52 à 16:20:40" u="1"/>
        <s v="05:32:57 à 06:42:57" u="1"/>
        <s v="06:58:56 à 11:22:10" u="1"/>
        <s v="11:14:47 à 15:24:16" u="1"/>
        <s v="14:41:22 à 15:35:20" u="1"/>
        <s v="11:05:56 à 11:11:19" u="1"/>
        <s v="11:06:58 à 11:51:17" u="1"/>
        <s v="12:05:16 à 12:40:54" u="1"/>
        <s v="18:36:04 à 19:44:43" u="1"/>
        <s v="19:27:41 à 20:55:00" u="1"/>
        <s v="11:04:54 à 11:59:45" u="1"/>
        <s v="13:23:58 à 14:46:07" u="1"/>
        <s v="15:30:51 à 18:17:17" u="1"/>
        <s v="17:52:54 à 18:39:22" u="1"/>
        <s v="19:32:42 à 19:33:54" u="1"/>
        <s v="07:21:54 à 11:55:54" u="1"/>
        <s v="08:15:03 à 09:23:51" u="1"/>
        <s v="08:18:12 à 09:03:52" u="1"/>
        <s v="09:00:14 à 09:52:52" u="1"/>
        <s v="09:49:35 à 11:13:53" u="1"/>
        <s v="09:53:58 à 10:33:14" u="1"/>
        <s v="11:10:45 à 11:11:37" u="1"/>
        <s v="09:33:29 à 10:13:29" u="1"/>
        <s v="14:12:15 à 14:39:49" u="1"/>
        <s v="10:14:46 à 10:46:38" u="1"/>
        <s v="13:30:03 à 14:42:36" u="1"/>
        <s v="16:46:25 à 17:26:19" u="1"/>
        <s v="17:36:42 à 18:15:58" u="1"/>
        <s v="17:51:50 à 17:55:16" u="1"/>
        <s v="20:04:08 à 20:08:43" u="1"/>
        <s v="13:54:40 à 14:46:51" u="1"/>
        <s v="16:43:05 à 17:42:19" u="1"/>
        <s v="17:03:08 à 17:52:11" u="1"/>
        <s v="06:21:33 à 07:29:45" u="1"/>
        <s v="16:02:48 à 16:47:04" u="1"/>
        <s v="07:14:37 à 07:54:47" u="1"/>
        <s v="12:41:22 à 13:17:48" u="1"/>
        <s v="12:45:55 à 13:37:47" u="1"/>
        <s v="12:48:18 à 13:33:38" u="1"/>
        <s v="16:01:10 à 16:43:05" u="1"/>
        <s v="15:24:49 à 16:10:03" u="1"/>
        <s v="16:52:58 à 17:22:58" u="1"/>
        <s v="11:19:34 à 12:01:04" u="1"/>
        <s v="12:08:04 à 12:58:22" u="1"/>
        <s v="11:02:50 à 12:29:33" u="1"/>
        <s v="15:02:32 à 16:18:45" u="1"/>
        <s v="08:03:48 à 09:57:21" u="1"/>
        <s v="10:39:44 à 11:36:11" u="1"/>
        <s v="15:30:02 à 16:30:50" u="1"/>
        <s v="19:00:26 à 21:09:42" u="1"/>
        <s v="10:24:37 à 11:56:22" u="1"/>
        <s v="14:11:27 à 15:41:27" u="1"/>
        <s v="14:47:51 à 14:49:13" u="1"/>
        <s v="14:49:13 à 14:49:13" u="1"/>
        <s v="07:28:51 à 09:00:41" u="1"/>
        <s v="08:01:33 à 08:57:25" u="1"/>
        <s v="08:32:18 à 08:33:11" u="1"/>
        <s v="09:46:37 à 10:07:27" u="1"/>
        <s v="11:08:40 à 11:09:58" u="1"/>
        <s v="11:32:56 à 18:03:08" u="1"/>
        <s v="14:37:59 à 15:25:53" u="1"/>
        <s v="21:02:12 à 21:03:41" u="1"/>
        <s v="11:20:18 à 11:21:45" u="1"/>
        <s v="13:46:12 à 14:36:24" u="1"/>
        <s v="01:04:17 à 01:04:52" u="1"/>
        <s v="11:01:40 à 11:21:59" u="1"/>
        <s v="18:37:55 à 18:38:57" u="1"/>
        <s v="09:44:28 à 10:27:56" u="1"/>
        <s v="09:37:59 à 10:23:59" u="1"/>
        <s v="10:48:26 à 18:54:43" u="1"/>
        <s v="05:25:18 à 07:02:18" u="1"/>
        <s v="05:36:16 à 06:26:08" u="1"/>
        <s v="09:57:01 à 17:41:49" u="1"/>
        <s v="15:16:56 à 16:44:03" u="1"/>
        <s v="23:15:40 à 23:18:56" u="1"/>
        <s v="12:05:33 à 12:08:15" u="1"/>
        <s v="16:13:51 à 17:13:51" u="1"/>
        <s v="22:40:14 à 22:41:14" u="1"/>
        <s v="05:38:46 à 06:46:37" u="1"/>
        <s v="08:19:17 à 09:07:02" u="1"/>
        <s v="16:12:34 à 16:53:33" u="1"/>
        <s v="09:58:05 à 09:59:27" u="1"/>
        <s v="11:12:01 à 12:39:41" u="1"/>
        <s v="14:19:26 à 15:19:17" u="1"/>
        <s v="15:34:49 à 16:24:40" u="1"/>
        <s v="05:30:36 à 06:26:58" u="1"/>
        <s v="05:45:55 à 06:46:55" u="1"/>
        <s v="09:53:12 à 11:13:12" u="1"/>
        <s v="10:14:59 à 11:06:07" u="1"/>
        <s v="14:25:46 à 15:15:16" u="1"/>
        <s v="01:03:45 à 01:14:02" u="1"/>
        <s v="08:55:43 à 09:46:48" u="1"/>
        <s v="11:00:02 à 11:55:27" u="1"/>
        <s v="13:37:05 à 15:06:34" u="1"/>
        <s v="14:29:55 à 15:35:35" u="1"/>
        <s v="14:42:40 à 15:31:22" u="1"/>
        <s v="14:47:13 à 15:31:22" u="1"/>
        <s v="11:18:44 à 11:51:26" u="1"/>
        <s v="17:41:32 à 18:11:08" u="1"/>
        <s v="18:55:44 à 19:24:51" u="1"/>
        <s v="00:07:48 à 00:09:05" u="1"/>
        <s v="08:30:35 à 10:28:28" u="1"/>
        <s v="10:25:15 à 10:26:08" u="1"/>
        <s v="11:29:39 à 11:31:35" u="1"/>
        <s v="16:41:06 à 18:26:26" u="1"/>
        <s v="17:53:34 à 18:15:25" u="1"/>
        <s v="08:58:19 à 10:04:26" u="1"/>
        <s v="13:45:42 à 14:26:25" u="1"/>
        <s v="14:35:03 à 15:51:53" u="1"/>
        <s v="17:38:00 à 18:39:47" u="1"/>
        <s v="18:03:42 à 18:05:30" u="1"/>
        <s v="17:00:17 à 18:12:30" u="1"/>
        <s v="00:00:49 à 00:01:17" u="1"/>
        <s v="08:59:06 à 10:28:54" u="1"/>
        <s v="00:04:33 à 00:05:36" u="1"/>
        <s v="09:14:51 à 13:27:21" u="1"/>
        <s v="12:52:08 à 18:42:43" u="1"/>
        <s v="13:51:12 à 14:42:43" u="1"/>
        <s v="17:58:36 à 17:59:36" u="1"/>
        <s v="00:24:42 à 00:25:41" u="1"/>
        <s v="08:40:57 à 10:40:57" u="1"/>
        <s v="12:44:54 à 13:57:27" u="1"/>
        <s v="16:59:17 à 17:06:39" u="1"/>
        <s v="06:20:56 à 07:05:38" u="1"/>
        <s v="12:57:17 à 13:37:36" u="1"/>
        <s v="17:02:40 à 17:52:32" u="1"/>
        <s v="14:12:22 à 16:29:13" u="1"/>
        <s v="23:38:22 à 23:40:33" u="1"/>
        <s v="13:06:50 à 13:07:52" u="1"/>
        <s v="15:08:24 à 16:10:08" u="1"/>
        <s v="16:17:15 à 17:03:52" u="1"/>
        <s v="10:21:01 à 12:12:02" u="1"/>
        <s v="12:34:12 à 16:03:11" u="1"/>
        <s v="15:12:08 à 16:38:33" u="1"/>
        <s v="16:22:46 à 16:23:23" u="1"/>
        <s v="11:26:32 à 12:21:12" u="1"/>
        <s v="12:02:18 à 12:54:24" u="1"/>
        <s v="15:17:00 à 16:10:26" u="1"/>
        <s v="16:05:55 à 16:07:47" u="1"/>
        <s v="05:40:20 à 06:36:46" u="1"/>
        <s v="13:01:33 à 19:45:09" u="1"/>
        <s v="14:20:07 à 15:05:07" u="1"/>
        <s v="14:38:02 à 15:29:13" u="1"/>
        <s v="05:43:14 à 06:52:46" u="1"/>
        <s v="11:06:30 à 11:49:17" u="1"/>
        <s v="11:18:47 à 12:25:43" u="1"/>
        <s v="14:49:42 à 15:45:11" u="1"/>
        <s v="15:13:41 à 15:54:17" u="1"/>
        <s v="05:42:20 à 06:52:56" u="1"/>
        <s v="09:58:21 à 11:43:21" u="1"/>
        <s v="10:13:33 à 11:36:16" u="1"/>
        <s v="14:49:40 à 15:49:30" u="1"/>
        <s v="15:02:13 à 15:54:29" u="1"/>
        <s v="15:14:07 à 15:14:29" u="1"/>
        <s v="11:35:33 à 11:45:22" u="1"/>
        <s v="14:33:15 à 15:45:33" u="1"/>
        <s v="14:34:39 à 15:25:34" u="1"/>
        <s v="08:50:22 à 09:52:49" u="1"/>
        <s v="09:12:17 à 09:46:51" u="1"/>
        <s v="09:39:39 à 10:43:09" u="1"/>
        <s v="13:04:47 à 15:56:48" u="1"/>
        <s v="13:44:14 à 14:16:06" u="1"/>
        <s v="15:10:22 à 15:38:57" u="1"/>
        <s v="18:11:28 à 20:52:04" u="1"/>
        <s v="08:15:09 à 08:17:26" u="1"/>
        <s v="13:44:26 à 14:32:06" u="1"/>
        <s v="13:49:29 à 15:56:50" u="1"/>
        <s v="16:36:00 à 19:52:54" u="1"/>
        <s v="18:56:43 à 18:58:33" u="1"/>
        <s v="20:14:56 à 20:18:12" u="1"/>
        <s v="14:40:02 à 14:41:16" u="1"/>
        <s v="18:40:51 à 18:58:45" u="1"/>
        <s v="19:06:00 à 20:09:47" u="1"/>
        <s v="13:43:21 à 17:49:08" u="1"/>
        <s v="15:51:31 à 18:23:35" u="1"/>
        <s v="01:19:30 à 01:20:51" u="1"/>
        <s v="09:37:56 à 10:27:59" u="1"/>
        <s v="10:31:33 à 10:32:27" u="1"/>
        <s v="00:20:49 à 00:31:22" u="1"/>
        <s v="10:33:57 à 10:52:46" u="1"/>
        <s v="12:56:57 à 13:07:28" u="1"/>
        <s v="12:03:20 à 13:00:14" u="1"/>
        <s v="07:46:32 à 07:48:52" u="1"/>
        <s v="12:42:17 à 13:27:49" u="1"/>
        <s v="14:33:51 à 16:35:00" u="1"/>
        <s v="15:37:09 à 16:28:10" u="1"/>
        <s v="13:10:15 à 13:33:40" u="1"/>
        <s v="16:16:55 à 16:17:25" u="1"/>
        <s v="16:27:14 à 16:53:12" u="1"/>
        <s v="05:57:24 à 06:46:24" u="1"/>
        <s v="15:23:51 à 16:20:14" u="1"/>
        <s v="16:04:18 à 16:33:27" u="1"/>
        <s v="19:28:26 à 19:37:07" u="1"/>
        <s v="11:23:06 à 12:15:32" u="1"/>
        <s v="15:43:33 à 15:44:02" u="1"/>
        <s v="16:12:30 à 16:53:44" u="1"/>
        <s v="14:00:43 à 16:55:55" u="1"/>
        <s v="15:19:21 à 16:04:56" u="1"/>
        <s v="19:31:24 à 19:33:26" u="1"/>
        <s v="08:23:05 à 09:07:31" u="1"/>
        <s v="08:55:41 à 09:46:39" u="1"/>
        <s v="11:25:27 à 12:15:52" u="1"/>
        <s v="13:47:50 à 15:06:23" u="1"/>
        <s v="14:13:59 à 15:15:29" u="1"/>
        <s v="14:37:34 à 15:31:15" u="1"/>
        <s v="17:47:44 à 19:19:43" u="1"/>
        <s v="07:58:25 à 10:19:05" u="1"/>
        <s v="09:07:48 à 09:56:43" u="1"/>
        <s v="10:03:10 à 11:26:29" u="1"/>
        <s v="11:33:37 à 11:51:13" u="1"/>
        <s v="14:37:43 à 15:39:43" u="1"/>
        <s v="14:42:45 à 15:39:41" u="1"/>
        <s v="15:36:32 à 15:40:25" u="1"/>
        <s v="16:40:31 à 19:06:54" u="1"/>
        <s v="07:46:47 à 08:30:01" u="1"/>
        <s v="13:49:02 à 14:42:06" u="1"/>
        <s v="09:42:28 à 10:57:36" u="1"/>
        <s v="10:22:15 à 11:06:56" u="1"/>
        <s v="10:29:15 à 11:06:56" u="1"/>
        <s v="14:23:20 à 15:11:58" u="1"/>
        <s v="07:49:21 à 08:18:40" u="1"/>
        <s v="10:15:52 à 11:02:59" u="1"/>
        <s v="00:27:58 à 00:29:31" u="1"/>
        <s v="07:24:15 à 08:14:45" u="1"/>
        <s v="08:15:24 à 08:23:47" u="1"/>
        <s v="09:38:14 à 10:57:58" u="1"/>
        <s v="10:38:54 à 10:42:27" u="1"/>
        <s v="07:10:23 à 14:01:40" u="1"/>
        <s v="08:25:16 à 08:43:54" u="1"/>
        <s v="17:57:52 à 17:59:37" u="1"/>
        <s v="07:23:55 à 08:10:56" u="1"/>
        <s v="16:12:04 à 17:43:21" u="1"/>
        <s v="07:33:49 à 07:38:55" u="1"/>
        <s v="16:05:58 à 16:07:18" u="1"/>
        <s v="16:12:36 à 16:23:16" u="1"/>
        <s v="05:36:39 à 06:52:19" u="1"/>
        <s v="15:26:54 à 16:18:33" u="1"/>
        <s v="16:16:46 à 16:27:35" u="1"/>
        <s v="05:39:06 à 06:52:29" u="1"/>
        <s v="08:49:07 à 11:38:03" u="1"/>
        <s v="16:06:49 à 16:07:48" u="1"/>
        <s v="11:02:49 à 11:49:08" u="1"/>
        <s v="11:05:38 à 12:05:37" u="1"/>
        <s v="14:00:58 à 16:45:46" u="1"/>
        <s v="15:29:23 à 15:34:17" u="1"/>
        <s v="16:03:06 à 16:03:59" u="1"/>
        <s v="09:47:21 à 11:43:24" u="1"/>
        <s v="14:40:17 à 15:29:32" u="1"/>
        <s v="15:11:38 à 15:54:28" u="1"/>
        <s v="17:58:00 à 19:41:22" u="1"/>
        <s v="05:56:11 à 05:56:38" u="1"/>
        <s v="08:06:27 à 08:57:07" u="1"/>
        <s v="08:11:13 à 09:13:34" u="1"/>
        <s v="08:18:42 à 09:13:34" u="1"/>
        <s v="08:26:14 à 09:13:32" u="1"/>
        <s v="09:08:02 à 09:46:44" u="1"/>
        <s v="11:03:29 à 11:49:38" u="1"/>
        <s v="09:41:49 à 10:07:19" u="1"/>
        <s v="11:02:09 à 11:45:39" u="1"/>
        <s v="11:39:42 à 11:41:24" u="1"/>
        <s v="12:17:04 à 15:43:38" u="1"/>
        <s v="14:39:38 à 15:25:55" u="1"/>
        <s v="17:42:52 à 18:25:28" u="1"/>
        <s v="13:50:43 à 14:52:14" u="1"/>
        <s v="12:59:17 à 14:47:33" u="1"/>
        <s v="17:52:17 à 18:21:37" u="1"/>
        <s v="20:01:18 à 20:30:16" u="1"/>
        <s v="20:10:36 à 20:18:33" u="1"/>
        <s v="05:47:48 à 07:06:05" u="1"/>
        <s v="07:12:29 à 08:00:49" u="1"/>
        <s v="12:12:42 à 13:04:02" u="1"/>
        <s v="13:07:23 à 13:57:21" u="1"/>
        <s v="13:02:06 à 13:37:32" u="1"/>
        <s v="07:48:53 à 07:48:53" u="1"/>
        <s v="15:08:34 à 17:04:45" u="1"/>
        <s v="16:24:27 à 17:13:41" u="1"/>
        <s v="12:06:08 à 13:28:52" u="1"/>
        <s v="12:14:07 à 13:00:33" u="1"/>
        <s v="16:17:11 à 17:33:52" u="1"/>
        <s v="06:50:47 à 06:51:16" u="1"/>
        <s v="15:28:30 à 16:28:43" u="1"/>
        <s v="15:30:27 à 16:40:22" u="1"/>
        <s v="11:35:12 à 12:19:40" u="1"/>
        <s v="06:46:17 à 06:51:48" u="1"/>
        <s v="08:13:41 à 09:43:13" u="1"/>
        <s v="09:08:42 à 09:56:24" u="1"/>
        <s v="09:30:57 à 09:32:10" u="1"/>
        <s v="10:38:19 à 11:06:05" u="1"/>
        <s v="11:10:14 à 11:55:07" u="1"/>
        <s v="11:18:20 à 11:19:18" u="1"/>
        <s v="14:35:45 à 15:59:23" u="1"/>
        <s v="05:44:28 à 06:42:58" u="1"/>
        <s v="11:21:57 à 12:15:53" u="1"/>
        <s v="14:32:54 à 15:15:26" u="1"/>
        <s v="18:43:24 à 19:08:45" u="1"/>
        <s v="07:45:26 à 08:38:00" u="1"/>
        <s v="08:20:37 à 09:07:42" u="1"/>
        <s v="08:39:30 à 11:20:28" u="1"/>
        <s v="09:35:34 à 10:57:09" u="1"/>
        <s v="10:14:00 à 15:19:38" u="1"/>
        <s v="10:41:24 à 11:26:22" u="1"/>
        <s v="11:14:56 à 11:55:27" u="1"/>
        <s v="13:52:05 à 15:26:31" u="1"/>
        <s v="14:39:14 à 15:55:34" u="1"/>
        <s v="07:44:55 à 08:38:10" u="1"/>
        <s v="11:10:53 à 11:55:37" u="1"/>
        <s v="13:49:54 à 14:06:08" u="1"/>
        <s v="15:46:51 à 19:57:52" u="1"/>
        <s v="17:47:17 à 18:31:09" u="1"/>
        <s v="07:03:42 à 08:18:29" u="1"/>
        <s v="08:03:47 à 09:23:56" u="1"/>
        <s v="09:00:19 à 10:30:02" u="1"/>
        <s v="13:32:47 à 15:02:47" u="1"/>
        <s v="13:36:27 à 14:26:19" u="1"/>
        <s v="11:51:40 à 14:04:16" u="1"/>
        <s v="14:03:25 à 14:16:20" u="1"/>
        <s v="14:33:11 à 14:35:29" u="1"/>
        <s v="14:54:05 à 14:55:24" u="1"/>
        <s v="07:44:41 à 08:34:31" u="1"/>
        <s v="10:02:01 à 10:03:10" u="1"/>
        <s v="10:11:29 à 11:42:58" u="1"/>
        <s v="00:00:02 à 00:05:28" u="1"/>
        <s v="07:15:20 à 07:58:19" u="1"/>
        <s v="07:42:47 à 07:58:13" u="1"/>
        <s v="09:44:06 à 10:33:49" u="1"/>
        <s v="06:45:37 à 07:25:15" u="1"/>
        <s v="12:56:11 à 14:13:46" u="1"/>
        <s v="17:54:05 à 18:51:56" u="1"/>
        <s v="17:59:21 à 18:31:57" u="1"/>
        <s v="07:25:12 à 08:10:57" u="1"/>
        <s v="12:17:25 à 13:10:03" u="1"/>
        <s v="16:17:04 à 17:07:33" u="1"/>
        <s v="03:51:52 à 04:01:50" u="1"/>
        <s v="04:46:57 à 04:50:50" u="1"/>
        <s v="12:24:59 à 13:10:21" u="1"/>
        <s v="16:25:25 à 16:27:24" u="1"/>
        <s v="16:27:56 à 17:23:51" u="1"/>
        <s v="11:26:57 à 12:09:23" u="1"/>
        <s v="11:47:44 à 12:21:00" u="1"/>
        <s v="19:45:27 à 19:47:04" u="1"/>
        <s v="09:19:27 à 09:22:05" u="1"/>
        <s v="12:06:52 à 12:38:46" u="1"/>
        <s v="17:50:18 à 15:56:11" u="1"/>
        <s v="21:53:10 à 22:06:45" u="1"/>
        <s v="10:34:41 à 11:56:03" u="1"/>
        <s v="11:16:04 à 11:25:09" u="1"/>
        <s v="11:22:41 à 12:09:53" u="1"/>
        <s v="15:45:20 à 16:14:51" u="1"/>
        <s v="18:43:41 à 19:14:26" u="1"/>
        <s v="19:41:49 à 19:43:25" u="1"/>
        <s v="19:45:22 à 19:47:34" u="1"/>
        <s v="09:10:24 à 09:26:34" u="1"/>
        <s v="09:21:50 à 09:22:23" u="1"/>
        <s v="10:29:03 à 11:12:08" u="1"/>
        <s v="11:17:57 à 12:25:55" u="1"/>
        <s v="14:59:20 à 15:45:21" u="1"/>
        <s v="18:56:47 à 18:58:05" u="1"/>
        <s v="09:11:54 à 09:46:43" u="1"/>
        <s v="09:51:08 à 10:27:07" u="1"/>
        <s v="13:32:14 à 15:56:34" u="1"/>
        <s v="15:10:40 à 15:58:48" u="1"/>
        <s v="09:20:23 à 09:42:42" u="1"/>
        <s v="09:56:14 à 11:23:44" u="1"/>
        <s v="10:38:09 à 19:50:25" u="1"/>
        <s v="14:43:06 à 14:45:07" u="1"/>
        <s v="18:03:54 à 18:51:11" u="1"/>
        <s v="10:46:39 à 11:16:53" u="1"/>
        <s v="12:52:09 à 14:03:17" u="1"/>
        <s v="13:50:45 à 14:16:26" u="1"/>
        <s v="15:27:22 à 15:50:58" u="1"/>
        <s v="16:41:11 à 18:36:38" u="1"/>
        <s v="08:09:04 à 08:53:39" u="1"/>
        <s v="09:45:57 à 10:43:39" u="1"/>
        <s v="09:00:48 à 10:40:32" u="1"/>
        <s v="09:43:06 à 10:27:59" u="1"/>
        <s v="12:18:10 à 13:08:02" u="1"/>
        <s v="17:43:39 à 23:12:06" u="1"/>
        <s v="20:11:55 à 20:14:35" u="1"/>
        <s v="05:55:05 à 07:06:14" u="1"/>
        <s v="13:07:07 à 14:17:50" u="1"/>
        <s v="17:58:08 à 18:41:57" u="1"/>
        <s v="08:07:25 à 13:44:25" u="1"/>
        <s v="09:09:12 à 10:00:54" u="1"/>
        <s v="14:07:05 à 14:42:50" u="1"/>
        <s v="20:32:56 à 20:34:50" u="1"/>
        <s v="20:28:11 à 20:30:53" u="1"/>
        <s v="00:28:55 à 00:31:54" u="1"/>
        <s v="10:27:54 à 17:15:30" u="1"/>
        <s v="15:00:49 à 16:08:19" u="1"/>
        <s v="15:21:09 à 16:08:25" u="1"/>
        <s v="15:41:52 à 16:40:01" u="1"/>
        <s v="11:26:01 à 12:11:05" u="1"/>
        <s v="14:21:25 à 16:35:24" u="1"/>
        <s v="15:59:42 à 16:20:10" u="1"/>
        <s v="11:30:57 à 12:11:13" u="1"/>
        <s v="15:48:22 à 16:44:40" u="1"/>
        <s v="19:52:26 à 19:57:22" u="1"/>
        <s v="08:16:34 à 09:07:25" u="1"/>
        <s v="10:06:05 à 12:02:39" u="1"/>
        <s v="10:53:25 à 11:26:01" u="1"/>
        <s v="12:04:10 à 12:44:47" u="1"/>
        <s v="15:10:29 à 16:20:48" u="1"/>
        <s v="09:16:55 à 09:52:24" u="1"/>
        <s v="19:23:37 à 19:53:39" u="1"/>
        <s v="19:35:56 à 19:37:47" u="1"/>
        <s v="07:30:39 à 08:18:14" u="1"/>
        <s v="11:49:47 à 11:51:23" u="1"/>
        <s v="18:54:44 à 20:06:10" u="1"/>
        <s v="00:27:50 à 00:29:03" u="1"/>
        <s v="07:38:23 à 08:30:05" u="1"/>
        <s v="07:56:05 à 08:18:20" u="1"/>
        <s v="09:03:55 à 09:52:56" u="1"/>
        <s v="11:12:08 à 11:55:48" u="1"/>
        <s v="14:35:16 à 14:59:28" u="1"/>
        <s v="14:39:56 à 15:15:57" u="1"/>
        <s v="10:22:30 à 11:02:49" u="1"/>
        <s v="13:17:23 à 14:03:20" u="1"/>
        <s v="07:36:49 à 07:38:17" u="1"/>
        <s v="09:02:37 à 10:50:32" u="1"/>
        <s v="09:17:04 à 17:56:13" u="1"/>
        <s v="06:56:05 à 07:41:04" u="1"/>
        <s v="09:23:27 à 10:10:40" u="1"/>
        <s v="12:05:13 à 13:14:05" u="1"/>
        <s v="20:24:01 à 20:24:53" u="1"/>
        <s v="23:23:30 à 23:24:28" u="1"/>
        <s v="23:39:24 à 23:40:16" u="1"/>
        <s v="23:42:39 à 23:44:23" u="1"/>
        <s v="16:06:09 à 17:07:46" u="1"/>
        <s v="17:10:43 à 17:12:35" u="1"/>
        <s v="11:21:49 à 12:09:04" u="1"/>
        <s v="12:18:00 à 13:14:33" u="1"/>
        <s v="16:27:42 à 17:23:42" u="1"/>
        <s v="16:21:59 à 16:23:16" u="1"/>
        <s v="05:40:53 à 06:52:19" u="1"/>
        <s v="08:30:28 à 13:50:50" u="1"/>
        <s v="11:24:55 à 12:01:16" u="1"/>
        <s v="15:21:23 à 16:14:36" u="1"/>
        <s v="15:38:03 à 16:18:43" u="1"/>
        <s v="05:57:14 à 06:52:37" u="1"/>
        <s v="10:42:35 à 12:12:21" u="1"/>
        <s v="11:32:35 à 12:41:22" u="1"/>
        <s v="11:44:39 à 11:49:02" u="1"/>
        <s v="12:29:41 à 12:30:25" u="1"/>
        <s v="15:58:05 à 16:10:31" u="1"/>
        <s v="16:00:13 à 16:43:49" u="1"/>
        <s v="16:42:30 à 16:43:41" u="1"/>
        <s v="05:47:46 à 06:56:58" u="1"/>
        <s v="11:31:43 à 12:45:41" u="1"/>
        <s v="12:17:24 à 12:58:54" u="1"/>
        <s v="07:26:08 à 09:08:33" u="1"/>
        <s v="12:46:33 à 15:07:25" u="1"/>
        <s v="14:59:18 à 15:45:22" u="1"/>
        <s v="10:25:26 à 11:12:19" u="1"/>
        <s v="10:29:23 à 11:52:17" u="1"/>
        <s v="11:24:58 à 11:25:28" u="1"/>
        <s v="07:40:19 à 08:24:03" u="1"/>
        <s v="08:38:20 à 09:33:41" u="1"/>
        <s v="09:56:10 à 10:43:08" u="1"/>
        <s v="10:20:31 à 11:12:29" u="1"/>
        <s v="08:10:59 à 08:57:27" u="1"/>
        <s v="09:20:01 à 10:20:00" u="1"/>
        <s v="10:37:10 à 11:12:37" u="1"/>
        <s v="10:49:24 à 11:32:34" u="1"/>
        <s v="11:24:44 à 11:25:48" u="1"/>
        <s v="17:42:17 à 18:29:39" u="1"/>
        <s v="18:09:31 à 18:39:31" u="1"/>
        <s v="08:50:00 à 10:38:37" u="1"/>
        <s v="09:01:28 à 10:04:24" u="1"/>
        <s v="09:07:06 à 10:20:24" u="1"/>
        <s v="10:32:51 à 10:56:38" u="1"/>
        <s v="15:06:15 à 17:24:06" u="1"/>
        <s v="07:59:56 à 08:00:43" u="1"/>
        <s v="09:12:25 à 10:04:52" u="1"/>
        <s v="12:12:26 à 13:24:03" u="1"/>
        <s v="13:52:42 à 14:36:56" u="1"/>
        <s v="13:57:24 à 14:56:55" u="1"/>
        <s v="12:22:30 à 13:20:02" u="1"/>
        <s v="13:51:20 à 14:32:57" u="1"/>
        <s v="13:55:25 à 13:56:29" u="1"/>
        <s v="15:16:10 à 17:04:25" u="1"/>
        <s v="16:35:14 à 17:33:20" u="1"/>
        <s v="20:08:08 à 20:10:49" u="1"/>
        <s v="00:14:29 à 00:15:57" u="1"/>
        <s v="16:35:08 à 17:13:31" u="1"/>
        <s v="17:04:54 à 17:26:46" u="1"/>
        <s v="17:19:38 à 17:26:44" u="1"/>
        <s v="06:01:05 à 06:56:01" u="1"/>
        <s v="06:15:27 à 06:16:01" u="1"/>
        <s v="10:04:06 à 13:22:25" u="1"/>
        <s v="15:04:25 à 16:44:09" u="1"/>
        <s v="05:48:43 à 06:46:19" u="1"/>
        <s v="11:20:28 à 12:39:13" u="1"/>
        <s v="12:19:40 à 13:08:53" u="1"/>
        <s v="12:24:38 à 16:57:13" u="1"/>
        <s v="16:01:37 à 17:33:56" u="1"/>
        <s v="16:33:14 à 16:33:14" u="1"/>
        <s v="13:05:57 à 13:53:54" u="1"/>
        <s v="22:43:23 à 22:45:27" u="1"/>
        <s v="10:21:37 à 12:26:24" u="1"/>
        <s v="11:28:24 à 12:15:25" u="1"/>
        <s v="15:20:07 à 16:44:35" u="1"/>
        <s v="18:37:27 à 19:08:19" u="1"/>
        <s v="09:01:42 à 09:36:17" u="1"/>
        <s v="11:25:33 à 12:55:33" u="1"/>
        <s v="12:39:30 à 12:40:23" u="1"/>
        <s v="10:53:20 à 11:46:01" u="1"/>
        <s v="11:54:10 à 11:55:01" u="1"/>
        <s v="16:09:15 à 16:53:59" u="1"/>
        <s v="22:01:42 à 22:06:51" u="1"/>
        <s v="08:15:12 à 09:07:36" u="1"/>
        <s v="08:39:23 à 09:23:22" u="1"/>
        <s v="11:37:35 à 12:15:53" u="1"/>
        <s v="14:50:32 à 15:35:23" u="1"/>
        <s v="07:44:30 à 09:14:30" u="1"/>
        <s v="08:00:25 à 09:03:39" u="1"/>
        <s v="09:09:04 à 09:52:37" u="1"/>
        <s v="13:51:29 à 15:22:24" u="1"/>
        <s v="19:09:09 à 19:10:31" u="1"/>
        <s v="09:35:22 à 09:56:50" u="1"/>
        <s v="10:30:49 à 11:46:35" u="1"/>
        <s v="15:01:00 à 15:01:30" u="1"/>
        <s v="18:40:46 à 18:48:29" u="1"/>
        <s v="18:47:03 à 18:48:29" u="1"/>
        <s v="11:14:27 à 11:55:49" u="1"/>
        <s v="11:24:52 à 11:35:48" u="1"/>
        <s v="14:08:25 à 18:09:22" u="1"/>
        <s v="15:38:29 à 15:40:48" u="1"/>
        <s v="00:28:46 à 00:29:14" u="1"/>
        <s v="08:11:47 à 10:05:22" u="1"/>
        <s v="08:57:28 à 10:24:29" u="1"/>
        <s v="10:53:18 à 11:46:51" u="1"/>
        <s v="13:11:44 à 14:03:11" u="1"/>
        <s v="16:53:59 à 20:00:12" u="1"/>
        <s v="17:56:36 à 18:39:47" u="1"/>
        <s v="19:55:06 à 20:51:20" u="1"/>
        <s v="07:24:50 à 08:10:29" u="1"/>
        <s v="10:01:59 à 10:03:12" u="1"/>
        <s v="10:50:48 à 15:51:52" u="1"/>
        <s v="10:55:21 à 11:42:52" u="1"/>
        <s v="17:29:30 à 17:56:01" u="1"/>
        <s v="04:47:52 à 04:50:22" u="1"/>
        <s v="10:06:42 à 10:27:30" u="1"/>
        <s v="13:05:26 à 13:07:06" u="1"/>
        <s v="16:39:27 à 17:23:01" u="1"/>
        <s v="13:09:42 à 14:03:43" u="1"/>
        <s v="09:22:13 à 13:07:34" u="1"/>
        <s v="12:18:15 à 13:10:15" u="1"/>
        <s v="03:28:18 à 03:29:49" u="1"/>
        <s v="05:56:15 à 07:16:45" u="1"/>
        <s v="12:00:01 à 13:14:46" u="1"/>
        <s v="10:37:14 à 12:12:04" u="1"/>
        <s v="10:44:43 à 12:12:02" u="1"/>
        <s v="11:29:32 à 12:05:16" u="1"/>
        <s v="13:27:51 à 13:43:51" u="1"/>
        <s v="15:32:49 à 16:14:25" u="1"/>
        <s v="11:12:56 à 12:41:17" u="1"/>
        <s v="11:15:38 à 12:25:27" u="1"/>
        <s v="12:08:13 à 13:30:56" u="1"/>
        <s v="14:39:07 à 16:01:26" u="1"/>
        <s v="15:04:43 à 16:38:49" u="1"/>
        <s v="15:18:14 à 16:14:39" u="1"/>
        <s v="15:43:21 à 16:34:42" u="1"/>
        <s v="16:36:18 à 16:43:44" u="1"/>
        <s v="05:50:57 à 06:56:57" u="1"/>
        <s v="05:53:12 à 06:52:48" u="1"/>
        <s v="12:58:59 à 15:07:14" u="1"/>
        <s v="15:35:07 à 16:50:44" u="1"/>
        <s v="05:57:39 à 06:52:58" u="1"/>
        <s v="08:33:30 à 09:13:23" u="1"/>
        <s v="10:57:11 à 11:52:02" u="1"/>
        <s v="11:21:28 à 11:29:28" u="1"/>
        <s v="11:26:28 à 11:29:28" u="1"/>
        <s v="15:43:09 à 16:30:53" u="1"/>
        <s v="15:53:27 à 15:54:23" u="1"/>
        <s v="01:07:50 à 01:08:26" u="1"/>
        <s v="09:00:14 à 11:40:20" u="1"/>
        <s v="09:49:09 à 11:07:48" u="1"/>
        <s v="21:26:34 à 21:27:30" u="1"/>
        <s v="08:36:45 à 08:37:15" u="1"/>
        <s v="10:55:19 à 11:32:23" u="1"/>
        <s v="12:47:38 à 18:36:09" u="1"/>
        <s v="08:43:37 à 09:33:50" u="1"/>
        <s v="15:30:41 à 15:30:49" u="1"/>
        <s v="15:43:53 à 20:29:21" u="1"/>
        <s v="08:26:27 à 10:15:20" u="1"/>
        <s v="09:22:16 à 10:20:11" u="1"/>
        <s v="09:24:06 à 10:00:12" u="1"/>
        <s v="09:37:43 à 10:00:10" u="1"/>
        <s v="12:58:03 à 20:30:00" u="1"/>
        <s v="06:34:38 à 07:19:09" u="1"/>
        <s v="07:52:44 à 08:40:22" u="1"/>
        <s v="07:54:31 à 08:44:31" u="1"/>
        <s v="10:05:34 à 10:37:20" u="1"/>
        <s v="12:18:09 à 20:50:27" u="1"/>
        <s v="12:28:05 à 13:04:03" u="1"/>
        <s v="13:11:14 à 13:57:12" u="1"/>
        <s v="17:02:22 à 17:26:27" u="1"/>
        <s v="16:04:22 à 17:37:36" u="1"/>
        <s v="03:54:14 à 03:55:33" u="1"/>
        <s v="06:57:44 à 07:35:45" u="1"/>
        <s v="16:26:05 à 17:37:52" u="1"/>
        <s v="17:19:35 à 17:26:55" u="1"/>
        <s v="03:50:04 à 03:51:34" u="1"/>
        <s v="08:41:16 à 16:33:14" u="1"/>
        <s v="14:10:16 à 17:11:46" u="1"/>
        <s v="12:15:55 à 12:44:17" u="1"/>
        <s v="12:46:32 à 13:00:40" u="1"/>
        <s v="15:43:49 à 16:40:13" u="1"/>
        <s v="23:30:10 à 23:30:58" u="1"/>
        <s v="08:17:06 à 09:27:06" u="1"/>
        <s v="15:35:53 à 16:00:27" u="1"/>
        <s v="08:12:31 à 09:07:17" u="1"/>
        <s v="11:49:00 à 12:31:22" u="1"/>
        <s v="14:32:55 à 19:28:18" u="1"/>
        <s v="14:53:58 à 15:55:03" u="1"/>
        <s v="16:04:34 à 16:57:59" u="1"/>
        <s v="08:21:43 à 09:23:15" u="1"/>
        <s v="08:40:19 à 09:23:11" u="1"/>
        <s v="10:41:10 à 16:11:33" u="1"/>
        <s v="10:57:11 à 11:06:04" u="1"/>
        <s v="12:16:21 à 12:20:39" u="1"/>
        <s v="14:45:37 à 15:39:25" u="1"/>
        <s v="06:05:13 à 06:52:53" u="1"/>
        <s v="08:26:45 à 09:23:25" u="1"/>
        <s v="09:39:17 à 11:53:29" u="1"/>
        <s v="10:49:20 à 11:26:15" u="1"/>
        <s v="11:43:48 à 12:55:50" u="1"/>
        <s v="14:23:07 à 15:39:39" u="1"/>
        <s v="15:04:29 à 15:21:10" u="1"/>
        <s v="09:03:05 à 09:36:48" u="1"/>
        <s v="11:34:39 à 11:35:37" u="1"/>
        <s v="14:50:55 à 14:51:08" u="1"/>
        <s v="19:08:50 à 19:50:50" u="1"/>
        <s v="12:54:42 à 14:37:27" u="1"/>
        <s v="13:23:14 à 20:53:15" u="1"/>
        <s v="17:26:01 à 18:16:30" u="1"/>
        <s v="19:21:54 à 20:19:47" u="1"/>
        <s v="07:58:33 à 14:28:49" u="1"/>
        <s v="08:14:41 à 10:09:42" u="1"/>
        <s v="10:34:32 à 11:02:59" u="1"/>
        <s v="16:27:35 à 17:07:04" u="1"/>
        <s v="17:50:56 à 18:35:49" u="1"/>
        <s v="05:58:06 à 07:16:06" u="1"/>
        <s v="09:24:15 à 10:10:32" u="1"/>
        <s v="09:26:37 à 10:14:41" u="1"/>
        <s v="20:07:35 à 20:08:49" u="1"/>
        <s v="20:39:54 à 20:40:23" u="1"/>
        <s v="13:10:44 à 14:03:42" u="1"/>
        <s v="14:36:18 à 17:05:12" u="1"/>
        <s v="16:16:16 à 17:27:25" u="1"/>
        <s v="16:26:37 à 17:03:15" u="1"/>
        <s v="17:07:22 à 17:52:17" u="1"/>
        <s v="04:50:48 à 04:54:50" u="1"/>
        <s v="09:25:11 à 10:10:52" u="1"/>
        <s v="13:18:00 à 14:03:52" u="1"/>
        <s v="11:46:07 à 13:01:10" u="1"/>
        <s v="06:03:55 à 06:06:05" u="1"/>
        <s v="06:43:56 à 07:21:39" u="1"/>
        <s v="11:24:13 à 12:09:06" u="1"/>
        <s v="12:34:20 à 13:14:31" u="1"/>
        <s v="05:54:31 à 06:52:09" u="1"/>
        <s v="11:18:17 à 12:09:18" u="1"/>
        <s v="12:13:31 à 12:14:09" u="1"/>
        <s v="15:31:38 à 16:10:07" u="1"/>
        <s v="15:42:31 à 17:10:51" u="1"/>
        <s v="16:42:03 à 16:43:23" u="1"/>
        <s v="11:17:26 à 12:45:27" u="1"/>
        <s v="15:41:50 à 16:30:24" u="1"/>
        <s v="16:42:57 à 16:43:33" u="1"/>
        <s v="22:15:33 à 22:16:30" u="1"/>
        <s v="07:40:58 à 09:44:10" u="1"/>
        <s v="09:04:08 à 11:44:10" u="1"/>
        <s v="09:49:04 à 11:43:18" u="1"/>
        <s v="11:23:48 à 12:29:55" u="1"/>
        <s v="07:43:18 à 12:21:55" u="1"/>
        <s v="12:33:37 à 12:34:54" u="1"/>
        <s v="08:15:18 à 09:13:38" u="1"/>
        <s v="15:33:19 à 15:34:39" u="1"/>
        <s v="18:57:39 à 18:58:18" u="1"/>
        <s v="07:31:05 à 08:28:16" u="1"/>
        <s v="11:01:11 à 11:02:20" u="1"/>
        <s v="11:35:50 à 11:45:37" u="1"/>
        <s v="05:12:29 à 05:13:47" u="1"/>
        <s v="13:40:40 à 15:16:57" u="1"/>
        <s v="10:38:21 à 11:32:48" u="1"/>
        <s v="13:34:29 à 15:32:59" u="1"/>
        <s v="18:09:32 à 18:11:26" u="1"/>
        <s v="00:37:30 à 00:51:04" u="1"/>
        <s v="07:32:08 à 08:44:36" u="1"/>
        <s v="08:33:26 à 08:53:36" u="1"/>
        <s v="09:03:10 à 10:24:35" u="1"/>
        <s v="09:17:56 à 10:08:43" u="1"/>
        <s v="18:01:30 à 18:51:34" u="1"/>
        <s v="09:03:31 à 10:20:36" u="1"/>
        <s v="09:35:57 à 10:20:30" u="1"/>
        <s v="13:23:01 à 14:13:30" u="1"/>
        <s v="16:12:45 à 18:53:41" u="1"/>
        <s v="19:35:11 à 20:01:48" u="1"/>
        <s v="12:11:08 à 13:44:04" u="1"/>
        <s v="15:34:30 à 17:04:13" u="1"/>
        <s v="09:38:18 à 10:20:50" u="1"/>
        <s v="12:00:53 à 13:28:26" u="1"/>
        <s v="13:11:35 à 13:13:16" u="1"/>
        <s v="14:04:25 à 18:31:54" u="1"/>
        <s v="20:28:52 à 20:30:46" u="1"/>
        <s v="07:46:34 à 07:48:47" u="1"/>
        <s v="10:51:46 à 10:52:57" u="1"/>
        <s v="12:26:22 à 13:20:14" u="1"/>
        <s v="15:43:37 à 16:48:02" u="1"/>
        <s v="16:31:36 à 16:57:04" u="1"/>
        <s v="10:08:12 à 17:19:46" u="1"/>
        <s v="14:56:46 à 16:55:00" u="1"/>
        <s v="16:26:42 à 17:17:54" u="1"/>
        <s v="05:28:54 à 06:43:00" u="1"/>
        <s v="05:43:19 à 16:22:05" u="1"/>
        <s v="10:58:05 à 12:26:00" u="1"/>
        <s v="11:42:48 à 12:59:10" u="1"/>
        <s v="12:17:27 à 13:08:55" u="1"/>
        <s v="12:38:52 à 13:28:50" u="1"/>
        <s v="16:32:44 à 16:33:16" u="1"/>
        <s v="02:05:57 à 02:07:14" u="1"/>
        <s v="10:37:11 à 13:42:40" u="1"/>
        <s v="12:35:49 à 13:44:50" u="1"/>
        <s v="15:35:40 à 16:24:26" u="1"/>
        <s v="08:37:53 à 12:40:27" u="1"/>
        <s v="09:21:32 à 09:56:04" u="1"/>
        <s v="11:18:32 à 12:15:29" u="1"/>
        <s v="14:20:54 à 16:59:45" u="1"/>
        <s v="11:09:38 à 12:39:49" u="1"/>
        <s v="15:22:41 à 16:04:49" u="1"/>
        <s v="16:32:58 à 16:33:46" u="1"/>
        <s v="16:33:10 à 16:33:56" u="1"/>
        <s v="10:53:36 à 11:22:05" u="1"/>
        <s v="15:40:54 à 16:40:54" u="1"/>
        <s v="08:11:42 à 09:07:48" u="1"/>
        <s v="11:44:23 à 11:59:34" u="1"/>
        <s v="07:17:02 à 09:58:55" u="1"/>
        <s v="08:20:01 à 10:05:02" u="1"/>
        <s v="09:51:40 à 11:57:55" u="1"/>
        <s v="15:44:05 à 15:44:47" u="1"/>
        <s v="18:26:49 à 18:29:20" u="1"/>
        <s v="20:24:51 à 20:28:05" u="1"/>
        <s v="07:46:23 à 08:10:07" u="1"/>
        <s v="08:28:38 à 09:23:56" u="1"/>
        <s v="09:02:43 à 14:23:16" u="1"/>
        <s v="07:19:19 à 09:10:59" u="1"/>
        <s v="10:30:39 à 11:46:57" u="1"/>
        <s v="14:03:45 à 15:32:50" u="1"/>
        <s v="17:28:08 à 18:16:31" u="1"/>
        <s v="09:19:10 à 10:34:33" u="1"/>
        <s v="09:28:41 à 10:18:41" u="1"/>
        <s v="10:08:42 à 11:03:50" u="1"/>
        <s v="10:10:10 à 14:12:12" u="1"/>
        <s v="15:28:01 à 17:58:02" u="1"/>
        <s v="08:12:43 à 10:41:33" u="1"/>
        <s v="12:24:17 à 13:58:01" u="1"/>
        <s v="16:15:50 à 18:07:53" u="1"/>
        <s v="16:32:21 à 17:03:04" u="1"/>
        <s v="08:33:59 à 08:43:57" u="1"/>
        <s v="09:37:42 à 10:30:40" u="1"/>
        <s v="15:37:27 à 17:30:03" u="1"/>
        <s v="16:29:04 à 17:43:14" u="1"/>
        <s v="05:54:47 à 07:16:27" u="1"/>
        <s v="11:52:21 à 14:40:49" u="1"/>
        <s v="12:22:59 à 13:34:13" u="1"/>
        <s v="06:07:47 à 07:02:23" u="1"/>
        <s v="08:39:06 à 13:38:42" u="1"/>
        <s v="12:42:41 à 13:14:20" u="1"/>
        <s v="13:22:17 à 13:43:23" u="1"/>
        <s v="06:05:03 à 07:02:33" u="1"/>
        <s v="11:35:44 à 12:29:04" u="1"/>
        <s v="06:07:11 à 06:42:05" u="1"/>
        <s v="11:33:37 à 13:45:50" u="1"/>
        <s v="11:38:16 à 12:45:14" u="1"/>
        <s v="11:46:06 à 12:29:22" u="1"/>
        <s v="08:56:33 à 12:50:23" u="1"/>
        <s v="14:37:52 à 16:01:38" u="1"/>
        <s v="15:37:08 à 15:38:19" u="1"/>
        <s v="15:43:43 à 16:30:35" u="1"/>
        <s v="11:33:05 à 12:41:35" u="1"/>
        <s v="12:28:02 à 12:34:47" u="1"/>
        <s v="12:30:01 à 12:30:36" u="1"/>
        <s v="15:38:04 à 16:30:47" u="1"/>
        <s v="08:22:44 à 09:17:36" u="1"/>
        <s v="10:43:24 à 11:36:16" u="1"/>
        <s v="12:37:36 à 12:50:45" u="1"/>
        <s v="09:37:13 à 09:46:43" u="1"/>
        <s v="14:48:50 à 15:29:47" u="1"/>
        <s v="18:26:57 à 18:31:02" u="1"/>
        <s v="09:38:33 à 10:04:11" u="1"/>
        <s v="07:44:32 à 08:24:26" u="1"/>
        <s v="08:14:18 à 10:11:15" u="1"/>
        <s v="10:16:19 à 10:53:00" u="1"/>
        <s v="10:36:36 à 11:32:49" u="1"/>
        <s v="17:23:20 à 18:06:32" u="1"/>
        <s v="00:18:52 à 00:19:29" u="1"/>
        <s v="07:56:47 à 08:44:33" u="1"/>
        <s v="09:03:27 à 10:00:38" u="1"/>
        <s v="13:28:30 à 14:33:30" u="1"/>
        <s v="07:35:06 à 08:24:58" u="1"/>
        <s v="09:12:40 à 10:04:55" u="1"/>
        <s v="09:35:44 à 17:22:15" u="1"/>
        <s v="13:02:49 à 13:53:07" u="1"/>
        <s v="16:47:28 à 17:37:20" u="1"/>
        <s v="18:23:44 à 18:51:51" u="1"/>
        <s v="23:08:36 à 23:11:01" u="1"/>
        <s v="03:09:54 à 03:12:02" u="1"/>
        <s v="08:35:41 à 10:31:50" u="1"/>
        <s v="12:11:10 à 13:44:15" u="1"/>
        <s v="12:38:21 à 13:24:12" u="1"/>
        <s v="16:32:40 à 17:17:33" u="1"/>
        <s v="15:23:01 à 16:28:08" u="1"/>
        <s v="16:02:59 à 17:33:39" u="1"/>
        <s v="17:20:05 à 17:22:36" u="1"/>
        <s v="12:22:57 à 13:48:42" u="1"/>
        <s v="16:29:18 à 16:37:18" u="1"/>
        <s v="16:36:00 à 16:37:16" u="1"/>
        <s v="11:42:32 à 12:59:11" u="1"/>
        <s v="11:52:22 à 12:35:01" u="1"/>
        <s v="14:50:11 à 16:19:22" u="1"/>
        <s v="15:33:33 à 16:08:37" u="1"/>
        <s v="12:43:38 à 12:44:23" u="1"/>
        <s v="14:48:49 à 15:39:07" u="1"/>
        <s v="22:20:27 à 22:22:20" u="1"/>
        <s v="11:30:55 à 11:39:08" u="1"/>
        <s v="11:44:50 à 12:39:42" u="1"/>
        <s v="13:54:35 à 15:46:05" u="1"/>
        <s v="15:04:07 à 15:45:00" u="1"/>
        <s v="18:00:53 à 19:49:20" u="1"/>
        <s v="06:10:57 à 06:12:45" u="1"/>
        <s v="08:43:52 à 09:43:12" u="1"/>
        <s v="11:53:03 à 12:35:41" u="1"/>
        <s v="21:30:09 à 21:33:01" u="1"/>
        <s v="08:30:53 à 09:27:34" u="1"/>
        <s v="10:16:56 à 12:42:49" u="1"/>
        <s v="08:24:06 à 09:23:37" u="1"/>
        <s v="11:46:20 à 12:31:54" u="1"/>
        <s v="21:32:04 à 21:33:21" u="1"/>
        <s v="10:59:09 à 11:22:26" u="1"/>
        <s v="11:04:00 à 11:16:30" u="1"/>
        <s v="11:52:49 à 11:59:43" u="1"/>
        <s v="14:53:02 à 15:31:37" u="1"/>
        <s v="15:43:04 à 15:44:48" u="1"/>
        <s v="08:22:55 à 10:05:13" u="1"/>
        <s v="18:22:39 à 19:01:50" u="1"/>
        <s v="07:57:08 à 08:54:23" u="1"/>
        <s v="09:16:57 à 11:30:51" u="1"/>
        <s v="00:38:50 à 00:41:06" u="1"/>
        <s v="09:37:49 à 10:18:40" u="1"/>
        <s v="10:32:59 à 11:42:59" u="1"/>
        <s v="12:06:56 à 13:18:08" u="1"/>
        <s v="12:13:13 à 13:38:05" u="1"/>
        <s v="16:39:57 à 17:47:12" u="1"/>
        <s v="17:18:06 à 18:12:45" u="1"/>
        <s v="17:32:09 à 18:16:50" u="1"/>
        <s v="07:56:31 à 07:58:26" u="1"/>
        <s v="09:30:12 à 10:10:42" u="1"/>
        <s v="13:18:29 à 14:03:44" u="1"/>
        <s v="14:05:49 à 14:52:44" u="1"/>
        <s v="16:47:51 à 17:43:11" u="1"/>
        <s v="17:14:20 à 17:16:28" u="1"/>
        <s v="10:09:15 à 10:43:43" u="1"/>
        <s v="12:21:29 à 13:30:05" u="1"/>
        <s v="12:39:23 à 13:30:03" u="1"/>
        <s v="14:11:37 à 14:52:52" u="1"/>
        <s v="15:21:48 à 16:38:08" u="1"/>
        <s v="17:31:30 à 17:52:33" u="1"/>
        <s v="12:05:21 à 13:14:39" u="1"/>
        <s v="15:09:05 à 17:58:57" u="1"/>
        <s v="16:44:09 à 17:03:43" u="1"/>
        <s v="11:39:02 à 12:05:07" u="1"/>
        <s v="11:34:34 à 12:29:25" u="1"/>
        <s v="12:21:02 à 12:54:17" u="1"/>
        <s v="08:35:55 à 09:37:04" u="1"/>
        <s v="10:27:23 à 12:12:19" u="1"/>
        <s v="11:38:39 à 12:41:16" u="1"/>
        <s v="11:42:53 à 12:29:33" u="1"/>
        <s v="22:50:51 à 22:51:29" u="1"/>
        <s v="02:50:49 à 02:56:39" u="1"/>
        <s v="08:27:53 à 09:33:07" u="1"/>
        <s v="15:51:53 à 16:54:42" u="1"/>
        <s v="16:40:10 à 16:43:45" u="1"/>
        <s v="08:10:55 à 09:53:18" u="1"/>
        <s v="10:34:31 à 12:12:37" u="1"/>
        <s v="11:30:49 à 12:41:36" u="1"/>
        <s v="14:55:24 à 15:45:16" u="1"/>
        <s v="21:02:29 à 21:03:09" u="1"/>
        <s v="05:09:16 à 05:57:28" u="1"/>
        <s v="05:12:47 à 05:13:19" u="1"/>
        <s v="06:02:23 à 06:02:58" u="1"/>
        <s v="11:53:27 à 12:41:42" u="1"/>
        <s v="13:44:53 à 15:32:19" u="1"/>
        <s v="08:48:32 à 09:33:33" u="1"/>
        <s v="09:03:31 à 11:00:25" u="1"/>
        <s v="11:23:47 à 12:21:59" u="1"/>
        <s v="11:28:01 à 12:21:59" u="1"/>
        <s v="15:57:00 à 15:58:45" u="1"/>
        <s v="08:54:31 à 09:53:40" u="1"/>
        <s v="11:36:39 à 11:45:39" u="1"/>
        <s v="05:17:00 à 05:17:58" u="1"/>
        <s v="09:25:13 à 10:20:04" u="1"/>
        <s v="13:59:34 à 15:12:48" u="1"/>
        <s v="15:46:14 à 15:50:49" u="1"/>
        <s v="20:40:27 à 20:54:02" u="1"/>
      </sharedItems>
    </cacheField>
    <cacheField name="Heure Entrée" numFmtId="0">
      <sharedItems containsBlank="1"/>
    </cacheField>
    <cacheField name="Durée transit2" numFmtId="0">
      <sharedItems containsDate="1" containsBlank="1" containsMixedTypes="1" minDate="1899-12-30T00:00:00" maxDate="1900-01-02T19:11:38"/>
    </cacheField>
    <cacheField name="Durée Base Départ" numFmtId="0">
      <sharedItems containsDate="1" containsBlank="1" containsMixedTypes="1" minDate="1899-12-30T00:00:05" maxDate="1900-01-02T18:21:33"/>
    </cacheField>
    <cacheField name="Transit2" numFmtId="0">
      <sharedItems containsBlank="1" count="91">
        <s v="BASE RAZEL BAGANGTE - BASE RAZEL BAGANGTE"/>
        <s v=""/>
        <s v="BASE RAZEL BAGANGTE - CARRIERE RAZEL BAGANGTE"/>
        <s v="CARRIERE RAZEL BAGANGTE - CARRIERE RAZEL BAGANGTE"/>
        <s v="CARRIERE RAZEL BAGANGTE - BASE RAZEL BAGANGTE"/>
        <s v="BASE RAZEL PREFECTURE - BASE RAZEL PREFECTURE"/>
        <s v="BASE RAZEL PREFECTURE - CARRIERE RAZEL NKOMETOU"/>
        <s v="CARRIERE RAZEL NKOMETOU - BASE RAZEL PREFECTURE"/>
        <s v="CARRIERE RAZEL LOGBADJECK - DEPOT RAZEL YASSA"/>
        <s v="DEPOT RAZEL YASSA - CARRIERE RAZEL LOGBADJECK"/>
        <s v="CARRIERE RAZEL NKOMETOU - BASE RAZEL PADY 2"/>
        <s v="BASE RAZEL PADY 2 - CARRIERE RAZEL NKOMETOU"/>
        <s v="CARRIERE RAZEL NKOMETOU - CARRIERE RAZEL NKOMETOU"/>
        <s v="CARRIERE RAZEL LOGBADJECK - CARRIERE RAZEL LOGBADJECK"/>
        <s v="BASE RAZEL OLEMBE - BASE RAZEL PADY 2"/>
        <s v="BASE RAZEL PADY 2 - BASE RAZEL PREFECTURE"/>
        <s v="BASE RAZEL PREFECTURE - BASE RAZEL OLEMBE"/>
        <s v="BASE RAZEL OLEMBE - BASE RAZEL PREFECTURE"/>
        <s v="BASE RAZEL OLEMBE - BASE RAZEL OLEMBE"/>
        <s v="BASE RAZEL PREFECTURE - BASE RAZEL PADY 2"/>
        <s v="BASE RAZEL PADY 2 - BASE RAZEL PADY 2"/>
        <s v="BASE RAZEL BAGANGTE - BASE RAZEL WOURI"/>
        <s v="BASE RAZEL WOURI - BASE RAZEL PENETRANTE EST"/>
        <s v="CARRIERE LOGBADJECK - DEPOT RAZEL YASSA"/>
        <s v="DEPOT RAZEL YASSA - CARRIERE LOGBADJECK"/>
        <s v="BASE RAZEL WOURI - AEROPORT DE DOUALA"/>
        <s v="AEROPORT DE DOUALA - BASE RAZEL AEROPORT"/>
        <s v="BASE RAZEL AEROPORT - CARRIERE LOGBADJECK"/>
        <s v="CARRIERE LOGBADJECK - BASE RAZEL AEROPORT"/>
        <s v="BASE RAZEL AEROPORT - AEROPORT DE DOUALA"/>
        <s v="AEROPORT DE DOUALA - AEROPORT DE DOUALA"/>
        <s v="BASE RAZEL OLEMBE - CARRIERE RAZEL NKOMETOU"/>
        <s v="BASE RAZEL PREFECTURE - CARRIERE LOGBADJECK"/>
        <s v="BASE RAZEL WOURI - BASE RAZEL WOURI"/>
        <s v="BASE RAZEL AEROPORT - BASE RAZEL WOURI"/>
        <s v="BASE RAZEL WOURI - BASE RAZEL AEROPORT"/>
        <s v="DEPOT RAZEL YASSA - BASE RAZEL AEROPORT"/>
        <s v="AEROPORT DE DOUALA - BASE RAZEL WOURI"/>
        <s v="CARRIERE LOGBADJECK - AEROPORT DE DOUALA"/>
        <s v="AEROPORT DE DOUALA - CARRIERE LOGBADJECK"/>
        <s v="BASE RAZEL AEROPORT - BASE RAZEL AEROPORT"/>
        <s v="BASE RAZEL WOURI - BASE RAZEL KRIBI"/>
        <m/>
        <s v="BASE RAZEL KRIBI - CARRIERE LOGBADJECK" u="1"/>
        <s v="BASE RAZEL WOURI - CARRIERE LOGBADJECK" u="1"/>
        <s v="AEROPORT DE DOUALA - DEPOT RAZEL YASSA" u="1"/>
        <s v="BASE RAZEL BANGANGTE - BASE RAZEL WOURI" u="1"/>
        <s v="BASE RAZEL KRIBI - BASE RAZEL PREFECTURE" u="1"/>
        <s v="BASE RAZEL WOURI - BASE RAZEL PREFECTURE" u="1"/>
        <s v="CARRIERE RAZEL NKOMETOU - BASE RAZEL WOURI" u="1"/>
        <s v="BASE RAZEL OLEMBE - BASE RAZEL WOURI" u="1"/>
        <s v="BASE RAZEL AEROPORT - BASE RAZEL EKOUDOU" u="1"/>
        <s v="CARRIERE LOGBADJECK - BASE RAZEL WOURI" u="1"/>
        <s v="BASE RAZEL KRIBI - DEPOT RAZEL YASSA" u="1"/>
        <s v="BASE RAZEL WOURI - DEPOT RAZEL YASSA" u="1"/>
        <s v="CARRIERE LOGBADJECK - CARRIERE LOGBADJECK" u="1"/>
        <s v="BASE RAZEL PREFECTURE - AEROPORT DE DOUALA" u="1"/>
        <s v="BASE RAZEL PREFECTURE - BASE RAZEL AEROPORT" u="1"/>
        <s v="BASE RAZEL EKOUDOU - BASE RAZEL WOURI" u="1"/>
        <s v="CARRIERE LOGBADJECK - BASE RAZEL EKOUDOU" u="1"/>
        <s v="CARRIERE RAZEL NKOMETOU - BASE RAZEL EKOUDOU" u="1"/>
        <s v="AEROPORT DE DOUALA - BASE RAZEL PREFECTURE" u="1"/>
        <s v="BASE RAZEL WOURI - BASE RAZEL EKOUDOU" u="1"/>
        <e v="#REF!" u="1"/>
        <s v="DEPOT RAZEL YASSA - AEROPORT DE DOUALA" u="1"/>
        <s v="BASE RAZEL EKOUDOU - BASE RAZEL EKOUDOU" u="1"/>
        <s v="BASE RAZEL EKOUDOU - BASE RAZEL OLEMBE" u="1"/>
        <s v="BASE RAZEL AEROPORT - BASE RAZEL PREFECTURE" u="1"/>
        <s v="CARRIERE RAZEL NKOMETOU - BASE RAZEL OLEMBE" u="1"/>
        <s v="DEPOT RAZEL YASSA - DEPOT RAZEL YASSA" u="1"/>
        <s v="BASE RAZEL BANGANGTE - BASE RAZEL BANGANGTE" u="1"/>
        <s v="BASE RAZEL KRIBI - AEROPORT DE DOUALA" u="1"/>
        <s v="BASE RAZEL OLEMBE - BASE RAZEL EKOUDOU" u="1"/>
        <s v="CARRIERE LOGBADJECK - BASE RAZEL PREFECTURE" u="1"/>
        <s v="BASE RAZEL WOURI - BASE RAZEL OLEMBE" u="1"/>
        <s v="BASE RAZEL AEROPORT - BASE RAZEL KRIBI" u="1"/>
        <s v="BASE RAZEL PREFECTURE - BASE RAZEL KRIBI" u="1"/>
        <s v="BASE RAZEL EKOUDOU - CARRIERE RAZEL NKOMETOU" u="1"/>
        <s v="BASE RAZEL KRIBI - BASE RAZEL WOURI" u="1"/>
        <s v="BASE RAZEL KRIBI - BASE RAZEL AEROPORT" u="1"/>
        <s v="CARRIERE LOGBADJECK - BASE RAZEL KRIBI" u="1"/>
        <s v="BASE RAZEL WOURI - BASE RAZEL BANGANGTE" u="1"/>
        <s v="DEPOT RAZEL YASSA - BASE RAZEL PREFECTURE" u="1"/>
        <s v="BASE RAZEL AEROPORT - CARRIERE RAZEL NKOMETOU" u="1"/>
        <s v="CARRIERE RAZEL NKOMETOU - CARRIERE LOGBADJECK" u="1"/>
        <s v="BASE RAZEL PREFECTURE - BASE RAZEL WOURI" u="1"/>
        <s v="BASE RAZEL KRIBI - BASE RAZEL KRIBI" u="1"/>
        <s v="BASE RAZEL AEROPORT - DEPOT RAZEL YASSA" u="1"/>
        <s v="CARRIERE RAZEL NKOMETOU - BASE RAZEL AEROPORT" u="1"/>
        <s v="DEPOT RAZEL YASSA - BASE RAZEL WOURI" u="1"/>
        <s v="CARRIERE LOGBADJECK - CARRIERE RAZEL NKOMETOU" u="1"/>
      </sharedItems>
    </cacheField>
  </cacheFields>
  <extLst>
    <ext xmlns:x14="http://schemas.microsoft.com/office/spreadsheetml/2009/9/main" uri="{725AE2AE-9491-48be-B2B4-4EB974FC3084}">
      <x14:pivotCacheDefinition pivotCacheId="6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FOSTER" refreshedDate="42527.838278819443" createdVersion="5" refreshedVersion="5" minRefreshableVersion="3" recordCount="265">
  <cacheSource type="worksheet">
    <worksheetSource ref="A1:J1048576" sheet="Données Hebdo"/>
  </cacheSource>
  <cacheFields count="10">
    <cacheField name="JOUR" numFmtId="0">
      <sharedItems containsBlank="1" count="9">
        <s v="Lundi"/>
        <s v="Mardi"/>
        <s v="Mercredi"/>
        <s v="Jeudi"/>
        <s v="Vendredi"/>
        <s v="Samedi"/>
        <s v="Dimanche"/>
        <m/>
        <s v="Vendredi " u="1"/>
      </sharedItems>
    </cacheField>
    <cacheField name="VEHICULE" numFmtId="0">
      <sharedItems containsBlank="1" count="67">
        <s v="BV666"/>
        <s v="BV778"/>
        <s v="BV793"/>
        <s v="BV794"/>
        <s v="BVC74"/>
        <s v="BVC82"/>
        <s v="BVT17"/>
        <s v="BVT19"/>
        <s v="BVT20"/>
        <s v="BVT24"/>
        <s v="BVT25"/>
        <s v="BVT26"/>
        <s v="BVT31"/>
        <s v="BVT37"/>
        <s v="BVT38"/>
        <s v="BVT50"/>
        <s v="BVT51"/>
        <s v="BVT58"/>
        <s v="BVT59"/>
        <s v="BVT60"/>
        <s v="BVT61"/>
        <s v="BVT62"/>
        <s v="BVT65"/>
        <s v="BVT77"/>
        <s v="BVT78"/>
        <s v="BVT79"/>
        <s v="BVT80"/>
        <s v="BVT81"/>
        <s v="BVT82"/>
        <s v="BV706"/>
        <s v="BV707"/>
        <s v="BV711"/>
        <s v="BVT39"/>
        <s v="MV700"/>
        <s v="MV701"/>
        <s v="MV702"/>
        <m/>
        <s v="BVT17 KERAX 380 (RAZEL)" u="1"/>
        <s v="BVT19 KERAX 370 (RAZEL)" u="1"/>
        <s v="BVT60 ACTROS 3335 (RAZEL)" u="1"/>
        <s v="BVT77 CAMION KERAX 440 (RAZEL)" u="1"/>
        <s v="BVT78 CAMION KERAX 440 (RAZEL)" u="1"/>
        <s v="BVT79 CAMION KERAX 440 (RAZEL)" u="1"/>
        <s v="BVT50 ACTROS 3335 (RAZEL)" u="1"/>
        <s v="BVT65 CAMION RENAULT 380 JAUNE (RAZEL)" u="1"/>
        <s v="BV793 (KERAX 400) RAZEL" u="1"/>
        <s v="BV794 (KERAX 400) RAZEL" u="1"/>
        <s v="BVT59 ACTROS 3335 JAUNE (RAZEL)" u="1"/>
        <s v="BVT24 (CAMION RENAULT) RAZEL" u="1"/>
        <s v="BVT80 KERAX 440 (RAZEL)" u="1"/>
        <s v="BVT81 KERAX 440 (RAZEL)" u="1"/>
        <s v="BVT82 KERAX 440 (RAZEL)" u="1"/>
        <s v="BVT61 MERCEDES 3335 (RAZEL)" u="1"/>
        <s v="BVC74 KERAX (RAZEL)" u="1"/>
        <s v="BVT37 CAMION KERAX 380 (RAZEL)" u="1"/>
        <s v="BVT51 MERCEDES 3335 (RAZEL)" u="1"/>
        <s v="BVT31 CAMION RENAULT (RAZEL)" u="1"/>
        <s v="BV778 KERAX 380 (RAZEL)" u="1"/>
        <s v="BVT26 RENAULT 380 (RAZEL)" u="1"/>
        <s v="BV666 KERAX 380 (RAZEL)" u="1"/>
        <s v="BVT38 KERAX 380 DXI (RAZEL)" u="1"/>
        <s v="BVT39 KERAX 380 DXI (RAZEL)" u="1"/>
        <s v="BVT58  ACTROS 3335 (RAZEL)" u="1"/>
        <s v="BVT20 KERAX 380 DXI (RAZEL)" u="1"/>
        <s v="BVT25 KERAX 380 DXI (RAZEL)" u="1"/>
        <s v="BVT62  ACTROS 3335  JAUNE (RAZEL)" u="1"/>
        <s v="BVC82 KERAX 389(RAZEL)" u="1"/>
      </sharedItems>
    </cacheField>
    <cacheField name="Durée" numFmtId="0">
      <sharedItems containsBlank="1"/>
    </cacheField>
    <cacheField name="Distance (km)" numFmtId="0">
      <sharedItems containsString="0" containsBlank="1" containsNumber="1" minValue="0" maxValue="473.46"/>
    </cacheField>
    <cacheField name="Vitesse (km/h)" numFmtId="0">
      <sharedItems containsString="0" containsBlank="1" containsNumber="1" containsInteger="1" minValue="0" maxValue="85"/>
    </cacheField>
    <cacheField name="Excés de vitesse" numFmtId="0">
      <sharedItems containsString="0" containsBlank="1" containsNumber="1" containsInteger="1" minValue="0" maxValue="28"/>
    </cacheField>
    <cacheField name="Freinage" numFmtId="0">
      <sharedItems containsString="0" containsBlank="1" containsNumber="1" containsInteger="1" minValue="0" maxValue="217"/>
    </cacheField>
    <cacheField name="Au ralenti" numFmtId="0">
      <sharedItems containsString="0" containsBlank="1" containsNumber="1" containsInteger="1" minValue="0" maxValue="12"/>
    </cacheField>
    <cacheField name="Ralenti Durée" numFmtId="165">
      <sharedItems containsBlank="1"/>
    </cacheField>
    <cacheField name="Durée Utilisation" numFmtId="164">
      <sharedItems containsDate="1" containsBlank="1" containsMixedTypes="1" minDate="1899-12-30T00:13:00" maxDate="1899-12-30T14:51:53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x v="0"/>
    <s v="BASE RAZEL BAGANGTE"/>
    <s v="2016-05-30 00:42:32"/>
    <s v="2016-05-30 06:48:50"/>
    <d v="1899-12-30T06:06:18"/>
  </r>
  <r>
    <x v="0"/>
    <s v="BASE RAZEL BAGANGTE"/>
    <s v="2016-05-30 17:49:49"/>
    <s v="2016-05-31 07:46:41"/>
    <d v="1899-12-30T13:56:52"/>
  </r>
  <r>
    <x v="1"/>
    <s v="BASE RAZEL BAGANGTE"/>
    <s v="2016-05-30 00:52:00"/>
    <s v="2016-05-30 06:48:51"/>
    <d v="1899-12-30T05:56:51"/>
  </r>
  <r>
    <x v="1"/>
    <s v="BASE RAZEL BAGANGTE"/>
    <s v="2016-05-30 17:47:42"/>
    <s v="2016-05-31 07:34:18"/>
    <d v="1899-12-30T13:46:36"/>
  </r>
  <r>
    <x v="2"/>
    <s v="BASE RAZEL BAGANGTE"/>
    <s v="2016-05-30 00:32:52"/>
    <s v="2016-05-30 08:21:54"/>
    <d v="1899-12-30T07:49:02"/>
  </r>
  <r>
    <x v="2"/>
    <s v="CARRIERE RAZEL BAGANGTE"/>
    <s v="2016-05-30 08:40:54"/>
    <s v="2016-05-30 08:50:30"/>
    <d v="1899-12-30T00:09:36"/>
  </r>
  <r>
    <x v="2"/>
    <s v="CARRIERE RAZEL BAGANGTE"/>
    <s v="2016-05-30 08:53:30"/>
    <s v="2016-05-30 09:02:30"/>
    <d v="1899-12-30T00:09:00"/>
  </r>
  <r>
    <x v="3"/>
    <s v="BASE RAZEL BAGANGTE"/>
    <s v="2016-05-30 00:31:14"/>
    <s v="2016-05-30 08:26:58"/>
    <d v="1899-12-30T07:55:44"/>
  </r>
  <r>
    <x v="3"/>
    <s v="CARRIERE RAZEL BAGANGTE"/>
    <s v="2016-05-30 11:40:58"/>
    <s v="2016-05-30 11:54:59"/>
    <d v="1899-12-30T00:14:01"/>
  </r>
  <r>
    <x v="3"/>
    <s v="BASE RAZEL BAGANGTE"/>
    <s v="2016-05-30 13:25:59"/>
    <s v="2016-05-31 07:34:08"/>
    <d v="1899-12-30T18:08:09"/>
  </r>
  <r>
    <x v="4"/>
    <s v="BASE RAZEL PREFECTURE"/>
    <s v="2016-05-30 06:57:11"/>
    <s v="2016-05-30 08:35:30"/>
    <d v="1899-12-30T01:38:19"/>
  </r>
  <r>
    <x v="4"/>
    <s v="BASE RAZEL PREFECTURE"/>
    <s v="2016-05-30 08:36:30"/>
    <s v="2016-05-30 16:52:48"/>
    <d v="1899-12-30T08:16:18"/>
  </r>
  <r>
    <x v="5"/>
    <s v="BASE RAZEL PREFECTURE"/>
    <s v="2016-05-30 00:28:57"/>
    <s v="2016-05-30 05:54:59"/>
    <d v="1899-12-30T05:26:02"/>
  </r>
  <r>
    <x v="5"/>
    <s v="CARRIERE RAZEL NKOMETOU"/>
    <s v="2016-05-30 06:32:59"/>
    <s v="2016-05-30 07:42:52"/>
    <d v="1899-12-30T01:09:53"/>
  </r>
  <r>
    <x v="5"/>
    <s v="BASE RAZEL PREFECTURE"/>
    <s v="2016-05-30 08:33:52"/>
    <s v="2016-05-30 08:38:52"/>
    <d v="1899-12-30T00:05:00"/>
  </r>
  <r>
    <x v="5"/>
    <s v="CARRIERE RAZEL NKOMETOU"/>
    <s v="2016-05-30 09:15:52"/>
    <s v="2016-05-30 09:36:54"/>
    <d v="1899-12-30T00:21:02"/>
  </r>
  <r>
    <x v="5"/>
    <s v="BASE RAZEL PREFECTURE"/>
    <s v="2016-05-30 11:09:26"/>
    <s v="2016-05-30 11:13:54"/>
    <d v="1899-12-30T00:04:28"/>
  </r>
  <r>
    <x v="5"/>
    <s v="CARRIERE RAZEL NKOMETOU"/>
    <s v="2016-05-30 11:56:54"/>
    <s v="2016-05-30 13:10:54"/>
    <d v="1899-12-30T01:14:00"/>
  </r>
  <r>
    <x v="5"/>
    <s v="BASE RAZEL PREFECTURE"/>
    <s v="2016-05-30 14:15:54"/>
    <s v="2016-05-30 14:25:54"/>
    <d v="1899-12-30T00:10:00"/>
  </r>
  <r>
    <x v="5"/>
    <s v="CARRIERE RAZEL NKOMETOU"/>
    <s v="2016-05-30 15:02:54"/>
    <s v="2016-05-30 15:34:54"/>
    <d v="1899-12-30T00:32:00"/>
  </r>
  <r>
    <x v="5"/>
    <s v="BASE RAZEL PREFECTURE"/>
    <s v="2016-05-30 16:46:54"/>
    <s v="2016-05-30 16:51:42"/>
    <d v="1899-12-30T00:04:48"/>
  </r>
  <r>
    <x v="5"/>
    <s v="CARRIERE RAZEL NKOMETOU"/>
    <s v="2016-05-30 17:31:54"/>
    <s v="2016-05-31 07:51:23"/>
    <d v="1899-12-30T14:19:29"/>
  </r>
  <r>
    <x v="6"/>
    <s v="CARRIERE RAZEL LOGBADJECK"/>
    <s v="2016-05-30 06:29:23"/>
    <s v="2016-05-30 07:42:47"/>
    <d v="1899-12-30T01:13:24"/>
  </r>
  <r>
    <x v="6"/>
    <s v="DEPOT RAZEL YASSA"/>
    <s v="2016-05-30 08:35:47"/>
    <s v="2016-05-30 08:44:47"/>
    <d v="1899-12-30T00:09:00"/>
  </r>
  <r>
    <x v="6"/>
    <s v="CARRIERE RAZEL LOGBADJECK"/>
    <s v="2016-05-30 10:19:47"/>
    <s v="2016-05-30 11:34:49"/>
    <d v="1899-12-30T01:15:02"/>
  </r>
  <r>
    <x v="6"/>
    <s v="DEPOT RAZEL YASSA"/>
    <s v="2016-05-30 12:27:49"/>
    <s v="2016-05-30 12:46:49"/>
    <d v="1899-12-30T00:19:00"/>
  </r>
  <r>
    <x v="6"/>
    <s v="CARRIERE RAZEL LOGBADJECK"/>
    <s v="2016-05-30 14:39:49"/>
    <s v="2016-05-30 15:31:49"/>
    <d v="1899-12-30T00:52:00"/>
  </r>
  <r>
    <x v="6"/>
    <s v="DEPOT RAZEL YASSA"/>
    <s v="2016-05-30 16:24:49"/>
    <s v="2016-05-30 16:30:49"/>
    <d v="1899-12-30T00:06:00"/>
  </r>
  <r>
    <x v="6"/>
    <s v="CARRIERE RAZEL LOGBADJECK"/>
    <s v="2016-05-30 17:32:49"/>
    <s v="2016-05-31 07:24:30"/>
    <d v="1899-12-30T13:51:41"/>
  </r>
  <r>
    <x v="7"/>
    <s v="CARRIERE RAZEL NKOMETOU"/>
    <s v="2016-05-30 07:52:41"/>
    <s v="2016-05-30 08:45:25"/>
    <d v="1899-12-30T00:52:44"/>
  </r>
  <r>
    <x v="7"/>
    <s v="BASE RAZEL PADY 2"/>
    <s v="2016-05-30 10:10:25"/>
    <s v="2016-05-30 10:31:08"/>
    <d v="1899-12-30T00:20:43"/>
  </r>
  <r>
    <x v="7"/>
    <s v="CARRIERE RAZEL NKOMETOU"/>
    <s v="2016-05-30 11:42:56"/>
    <s v="2016-05-30 12:38:13"/>
    <d v="1899-12-30T00:55:17"/>
  </r>
  <r>
    <x v="7"/>
    <s v="BASE RAZEL PADY 2"/>
    <s v="2016-05-30 13:49:13"/>
    <s v="2016-05-30 13:50:13"/>
    <d v="1899-12-30T00:01:00"/>
  </r>
  <r>
    <x v="7"/>
    <s v="CARRIERE RAZEL NKOMETOU"/>
    <s v="2016-05-30 14:56:13"/>
    <s v="2016-05-30 15:32:13"/>
    <d v="1899-12-30T00:36:00"/>
  </r>
  <r>
    <x v="7"/>
    <s v="BASE RAZEL PADY 2"/>
    <s v="2016-05-31 08:08:51"/>
    <s v="2016-05-31 15:50:19"/>
    <d v="1899-12-30T07:41:28"/>
  </r>
  <r>
    <x v="8"/>
    <s v="CARRIERE RAZEL NKOMETOU"/>
    <s v="2016-05-30 09:09:27"/>
    <s v="2016-05-30 09:52:27"/>
    <d v="1899-12-30T00:43:00"/>
  </r>
  <r>
    <x v="8"/>
    <s v="BASE RAZEL PADY 2"/>
    <s v="2016-05-30 11:32:27"/>
    <s v="2016-05-30 11:42:39"/>
    <d v="1899-12-30T00:10:12"/>
  </r>
  <r>
    <x v="8"/>
    <s v="CARRIERE RAZEL NKOMETOU"/>
    <s v="2016-05-30 12:50:41"/>
    <s v="2016-05-30 13:38:41"/>
    <d v="1899-12-30T00:48:00"/>
  </r>
  <r>
    <x v="8"/>
    <s v="CARRIERE RAZEL NKOMETOU"/>
    <s v="2016-05-30 15:41:41"/>
    <s v="2016-05-30 16:28:41"/>
    <d v="1899-12-30T00:47:00"/>
  </r>
  <r>
    <x v="9"/>
    <s v="BASE RAZEL PADY 2"/>
    <s v="2016-05-30 07:03:58"/>
    <s v="2016-05-30 07:20:56"/>
    <d v="1899-12-30T00:16:58"/>
  </r>
  <r>
    <x v="9"/>
    <s v="CARRIERE RAZEL NKOMETOU"/>
    <s v="2016-05-30 08:14:56"/>
    <s v="2016-05-30 08:45:00"/>
    <d v="1899-12-30T00:30:04"/>
  </r>
  <r>
    <x v="9"/>
    <s v="BASE RAZEL PADY 2"/>
    <s v="2016-05-30 10:04:00"/>
    <s v="2016-05-30 17:02:16"/>
    <d v="1899-12-30T06:58:16"/>
  </r>
  <r>
    <x v="0"/>
    <s v="BASE RAZEL BAGANGTE"/>
    <s v="2016-05-31 17:34:50"/>
    <s v="2016-06-01 06:50:54"/>
    <d v="1899-12-30T13:16:04"/>
  </r>
  <r>
    <x v="1"/>
    <s v="BASE RAZEL BAGANGTE"/>
    <s v="2016-05-31 17:55:05"/>
    <s v="2016-06-01 07:36:18"/>
    <d v="1899-12-30T13:41:13"/>
  </r>
  <r>
    <x v="2"/>
    <s v="BASE RAZEL BAGANGTE"/>
    <s v="2016-05-31 17:50:45"/>
    <s v="2016-06-01 08:51:27"/>
    <d v="1899-12-30T15:00:42"/>
  </r>
  <r>
    <x v="3"/>
    <s v="CARRIERE RAZEL BAGANGTE"/>
    <s v="2016-05-31 08:51:59"/>
    <s v="2016-05-31 08:53:59"/>
    <d v="1899-12-30T00:02:00"/>
  </r>
  <r>
    <x v="3"/>
    <s v="CARRIERE RAZEL BAGANGTE"/>
    <s v="2016-05-31 12:13:58"/>
    <s v="2016-05-31 12:28:58"/>
    <d v="1899-12-30T00:15:00"/>
  </r>
  <r>
    <x v="3"/>
    <s v="BASE RAZEL BAGANGTE"/>
    <s v="2016-05-31 13:23:58"/>
    <s v="2016-05-31 16:25:08"/>
    <d v="1899-12-30T03:01:10"/>
  </r>
  <r>
    <x v="3"/>
    <s v="BASE RAZEL BAGANGTE"/>
    <s v="2016-05-31 17:10:58"/>
    <s v="2016-06-01 08:21:08"/>
    <d v="1899-12-30T15:10:10"/>
  </r>
  <r>
    <x v="4"/>
    <s v="BASE RAZEL PADY 2"/>
    <s v="2016-05-31 07:19:30"/>
    <s v="2016-05-31 07:21:30"/>
    <d v="1899-12-30T00:02:00"/>
  </r>
  <r>
    <x v="4"/>
    <s v="CARRIERE RAZEL NKOMETOU"/>
    <s v="2016-05-31 08:32:30"/>
    <s v="2016-05-31 09:36:30"/>
    <d v="1899-12-30T01:04:00"/>
  </r>
  <r>
    <x v="4"/>
    <s v="BASE RAZEL PADY 2"/>
    <s v="2016-05-31 10:57:31"/>
    <s v="2016-05-31 10:58:31"/>
    <d v="1899-12-30T00:01:00"/>
  </r>
  <r>
    <x v="5"/>
    <s v="BASE RAZEL PREFECTURE"/>
    <s v="2016-05-31 08:44:24"/>
    <s v="2016-05-31 08:49:24"/>
    <d v="1899-12-30T00:05:00"/>
  </r>
  <r>
    <x v="5"/>
    <s v="CARRIERE RAZEL NKOMETOU"/>
    <s v="2016-05-31 09:35:24"/>
    <s v="2016-05-31 10:04:24"/>
    <d v="1899-12-30T00:29:00"/>
  </r>
  <r>
    <x v="5"/>
    <s v="BASE RAZEL PREFECTURE"/>
    <s v="2016-05-31 11:06:24"/>
    <s v="2016-05-31 11:13:24"/>
    <d v="1899-12-30T00:07:00"/>
  </r>
  <r>
    <x v="5"/>
    <s v="CARRIERE RAZEL NKOMETOU"/>
    <s v="2016-05-31 11:51:24"/>
    <s v="2016-05-31 13:45:33"/>
    <d v="1899-12-30T01:54:09"/>
  </r>
  <r>
    <x v="5"/>
    <s v="BASE RAZEL PREFECTURE"/>
    <s v="2016-05-31 18:31:33"/>
    <s v="2016-06-01 06:31:03"/>
    <d v="1899-12-30T11:59:30"/>
  </r>
  <r>
    <x v="6"/>
    <s v="DEPOT RAZEL YASSA"/>
    <s v="2016-05-31 08:16:30"/>
    <s v="2016-05-31 08:26:30"/>
    <d v="1899-12-30T00:10:00"/>
  </r>
  <r>
    <x v="6"/>
    <s v="CARRIERE RAZEL LOGBADJECK"/>
    <s v="2016-05-31 09:29:30"/>
    <s v="2016-05-31 10:23:30"/>
    <d v="1899-12-30T00:54:00"/>
  </r>
  <r>
    <x v="6"/>
    <s v="CARRIERE RAZEL LOGBADJECK"/>
    <s v="2016-05-31 16:34:30"/>
    <s v="2016-05-31 17:14:30"/>
    <d v="1899-12-30T00:40:00"/>
  </r>
  <r>
    <x v="6"/>
    <s v="DEPOT RAZEL YASSA"/>
    <s v="2016-05-31 18:12:30"/>
    <s v="2016-06-01 05:40:59"/>
    <d v="1899-12-30T11:28: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1">
  <r>
    <x v="0"/>
    <x v="0"/>
    <s v="2016-05-30 00:42:32"/>
    <s v="2016-05-30 06:48:50"/>
    <d v="1899-12-30T06:06:18"/>
    <s v="Lundi"/>
    <s v=""/>
    <s v=""/>
    <s v=""/>
  </r>
  <r>
    <x v="0"/>
    <x v="0"/>
    <s v="2016-05-30 17:49:49"/>
    <s v="2016-05-31 07:46:41"/>
    <d v="1899-12-30T13:56:52"/>
    <s v="Lundi"/>
    <d v="1899-12-30T11:00:59"/>
    <s v="BASE RAZEL BAGANGTE - BASE RAZEL BAGANGTE"/>
    <d v="1899-12-30T00:00:00"/>
  </r>
  <r>
    <x v="1"/>
    <x v="0"/>
    <s v="2016-05-30 00:52:00"/>
    <s v="2016-05-30 06:48:51"/>
    <d v="1899-12-30T05:56:51"/>
    <s v="Lundi"/>
    <s v=""/>
    <s v=""/>
    <d v="1899-12-30T00:00:00"/>
  </r>
  <r>
    <x v="1"/>
    <x v="0"/>
    <s v="2016-05-30 17:47:42"/>
    <s v="2016-05-31 07:34:18"/>
    <d v="1899-12-30T13:46:36"/>
    <s v="Lundi"/>
    <d v="1899-12-30T10:58:51"/>
    <s v="BASE RAZEL BAGANGTE - BASE RAZEL BAGANGTE"/>
    <d v="1899-12-30T00:00:00"/>
  </r>
  <r>
    <x v="2"/>
    <x v="0"/>
    <s v="2016-05-30 00:32:52"/>
    <s v="2016-05-30 08:21:54"/>
    <d v="1899-12-30T07:49:02"/>
    <s v="Lundi"/>
    <s v=""/>
    <s v=""/>
    <d v="1899-12-30T00:00:00"/>
  </r>
  <r>
    <x v="2"/>
    <x v="1"/>
    <s v="2016-05-30 08:40:54"/>
    <s v="2016-05-30 08:50:30"/>
    <d v="1899-12-30T00:09:36"/>
    <s v="Lundi"/>
    <d v="1899-12-30T00:19:00"/>
    <s v="BASE RAZEL BAGANGTE - CARRIERE RAZEL BAGANGTE"/>
    <d v="1899-12-30T00:00:00"/>
  </r>
  <r>
    <x v="2"/>
    <x v="1"/>
    <s v="2016-05-30 08:53:30"/>
    <s v="2016-05-30 09:02:30"/>
    <d v="1899-12-30T00:09:00"/>
    <s v="Lundi"/>
    <d v="1899-12-30T00:03:00"/>
    <s v="CARRIERE RAZEL BAGANGTE - CARRIERE RAZEL BAGANGTE"/>
    <d v="1899-12-30T00:00:00"/>
  </r>
  <r>
    <x v="3"/>
    <x v="0"/>
    <s v="2016-05-30 00:31:14"/>
    <s v="2016-05-30 08:26:58"/>
    <d v="1899-12-30T07:55:44"/>
    <s v="Lundi"/>
    <s v=""/>
    <s v=""/>
    <s v=""/>
  </r>
  <r>
    <x v="3"/>
    <x v="1"/>
    <s v="2016-05-30 11:40:58"/>
    <s v="2016-05-30 11:54:59"/>
    <d v="1899-12-30T00:14:01"/>
    <s v="Lundi"/>
    <d v="1899-12-30T03:14:00"/>
    <s v="BASE RAZEL BAGANGTE - CARRIERE RAZEL BAGANGTE"/>
    <s v=""/>
  </r>
  <r>
    <x v="3"/>
    <x v="0"/>
    <s v="2016-05-30 13:25:59"/>
    <s v="2016-05-31 07:34:08"/>
    <d v="1899-12-30T18:08:09"/>
    <s v="Lundi"/>
    <d v="1899-12-30T01:31:00"/>
    <s v="CARRIERE RAZEL BAGANGTE - BASE RAZEL BAGANGTE"/>
    <s v=""/>
  </r>
  <r>
    <x v="4"/>
    <x v="2"/>
    <s v="2016-05-30 06:57:11"/>
    <s v="2016-05-30 08:35:30"/>
    <d v="1899-12-30T01:38:19"/>
    <s v="Lundi"/>
    <s v=""/>
    <s v=""/>
    <d v="1899-12-30T00:00:00"/>
  </r>
  <r>
    <x v="4"/>
    <x v="2"/>
    <s v="2016-05-30 08:36:30"/>
    <s v="2016-05-30 16:52:48"/>
    <d v="1899-12-30T08:16:18"/>
    <s v="Lundi"/>
    <d v="1899-12-30T00:01:00"/>
    <s v="BASE RAZEL PREFECTURE - BASE RAZEL PREFECTURE"/>
    <d v="1899-12-30T00:00:00"/>
  </r>
  <r>
    <x v="5"/>
    <x v="2"/>
    <s v="2016-05-30 00:28:57"/>
    <s v="2016-05-30 05:54:59"/>
    <d v="1899-12-30T05:26:02"/>
    <s v="Lundi"/>
    <s v=""/>
    <s v=""/>
    <s v=""/>
  </r>
  <r>
    <x v="5"/>
    <x v="3"/>
    <s v="2016-05-30 06:32:59"/>
    <s v="2016-05-30 07:42:52"/>
    <d v="1899-12-30T01:09:53"/>
    <s v="Lundi"/>
    <d v="1899-12-30T00:38:00"/>
    <s v="BASE RAZEL PREFECTURE - CARRIERE RAZEL NKOMETOU"/>
    <s v=""/>
  </r>
  <r>
    <x v="5"/>
    <x v="2"/>
    <s v="2016-05-30 08:33:52"/>
    <s v="2016-05-30 08:38:52"/>
    <d v="1899-12-30T00:05:00"/>
    <s v="Lundi"/>
    <d v="1899-12-30T00:51:00"/>
    <s v="CARRIERE RAZEL NKOMETOU - BASE RAZEL PREFECTURE"/>
    <s v=""/>
  </r>
  <r>
    <x v="5"/>
    <x v="3"/>
    <s v="2016-05-30 09:15:52"/>
    <s v="2016-05-30 09:36:54"/>
    <d v="1899-12-30T00:21:02"/>
    <s v="Lundi"/>
    <d v="1899-12-30T00:37:00"/>
    <s v="BASE RAZEL PREFECTURE - CARRIERE RAZEL NKOMETOU"/>
    <s v=""/>
  </r>
  <r>
    <x v="5"/>
    <x v="2"/>
    <s v="2016-05-30 11:09:26"/>
    <s v="2016-05-30 11:13:54"/>
    <d v="1899-12-30T00:04:28"/>
    <s v="Lundi"/>
    <d v="1899-12-30T01:32:32"/>
    <s v="CARRIERE RAZEL NKOMETOU - BASE RAZEL PREFECTURE"/>
    <s v=""/>
  </r>
  <r>
    <x v="5"/>
    <x v="3"/>
    <s v="2016-05-30 11:56:54"/>
    <s v="2016-05-30 13:10:54"/>
    <d v="1899-12-30T01:14:00"/>
    <s v="Lundi"/>
    <d v="1899-12-30T00:43:00"/>
    <s v="BASE RAZEL PREFECTURE - CARRIERE RAZEL NKOMETOU"/>
    <s v=""/>
  </r>
  <r>
    <x v="5"/>
    <x v="2"/>
    <s v="2016-05-30 14:15:54"/>
    <s v="2016-05-30 14:25:54"/>
    <d v="1899-12-30T00:10:00"/>
    <s v="Lundi"/>
    <d v="1899-12-30T01:05:00"/>
    <s v="CARRIERE RAZEL NKOMETOU - BASE RAZEL PREFECTURE"/>
    <s v=""/>
  </r>
  <r>
    <x v="5"/>
    <x v="3"/>
    <s v="2016-05-30 15:02:54"/>
    <s v="2016-05-30 15:34:54"/>
    <d v="1899-12-30T00:32:00"/>
    <s v="Lundi"/>
    <d v="1899-12-30T00:37:00"/>
    <s v="BASE RAZEL PREFECTURE - CARRIERE RAZEL NKOMETOU"/>
    <s v=""/>
  </r>
  <r>
    <x v="5"/>
    <x v="2"/>
    <s v="2016-05-30 16:46:54"/>
    <s v="2016-05-30 16:51:42"/>
    <d v="1899-12-30T00:04:48"/>
    <s v="Lundi"/>
    <d v="1899-12-30T01:12:00"/>
    <s v="CARRIERE RAZEL NKOMETOU - BASE RAZEL PREFECTURE"/>
    <s v=""/>
  </r>
  <r>
    <x v="5"/>
    <x v="3"/>
    <s v="2016-05-30 17:31:54"/>
    <s v="2016-05-31 07:51:23"/>
    <d v="1899-12-30T14:19:29"/>
    <s v="Lundi"/>
    <d v="1899-12-30T00:40:12"/>
    <s v="BASE RAZEL PREFECTURE - CARRIERE RAZEL NKOMETOU"/>
    <s v=""/>
  </r>
  <r>
    <x v="6"/>
    <x v="4"/>
    <s v="2016-05-30 06:29:23"/>
    <s v="2016-05-30 07:42:47"/>
    <d v="1899-12-30T01:13:24"/>
    <s v="Lundi"/>
    <s v=""/>
    <s v=""/>
    <s v="03:24:50"/>
  </r>
  <r>
    <x v="6"/>
    <x v="5"/>
    <s v="2016-05-30 08:35:47"/>
    <s v="2016-05-30 08:44:47"/>
    <d v="1899-12-30T00:09:00"/>
    <s v="Lundi"/>
    <d v="1899-12-30T00:53:00"/>
    <s v="CARRIERE RAZEL LOGBADJECK - DEPOT RAZEL YASSA"/>
    <s v="03:24:50"/>
  </r>
  <r>
    <x v="6"/>
    <x v="4"/>
    <s v="2016-05-30 10:19:47"/>
    <s v="2016-05-30 11:34:49"/>
    <d v="1899-12-30T01:15:02"/>
    <s v="Lundi"/>
    <d v="1899-12-30T01:35:00"/>
    <s v="DEPOT RAZEL YASSA - CARRIERE RAZEL LOGBADJECK"/>
    <s v="03:24:50"/>
  </r>
  <r>
    <x v="6"/>
    <x v="5"/>
    <s v="2016-05-30 12:27:49"/>
    <s v="2016-05-30 12:46:49"/>
    <d v="1899-12-30T00:19:00"/>
    <s v="Lundi"/>
    <d v="1899-12-30T00:53:00"/>
    <s v="CARRIERE RAZEL LOGBADJECK - DEPOT RAZEL YASSA"/>
    <s v="03:24:50"/>
  </r>
  <r>
    <x v="6"/>
    <x v="4"/>
    <s v="2016-05-30 14:39:49"/>
    <s v="2016-05-30 15:31:49"/>
    <d v="1899-12-30T00:52:00"/>
    <s v="Lundi"/>
    <d v="1899-12-30T01:53:00"/>
    <s v="DEPOT RAZEL YASSA - CARRIERE RAZEL LOGBADJECK"/>
    <s v="03:24:50"/>
  </r>
  <r>
    <x v="6"/>
    <x v="5"/>
    <s v="2016-05-30 16:24:49"/>
    <s v="2016-05-30 16:30:49"/>
    <d v="1899-12-30T00:06:00"/>
    <s v="Lundi"/>
    <d v="1899-12-30T00:53:00"/>
    <s v="CARRIERE RAZEL LOGBADJECK - DEPOT RAZEL YASSA"/>
    <s v="03:24:50"/>
  </r>
  <r>
    <x v="6"/>
    <x v="4"/>
    <s v="2016-05-30 17:32:49"/>
    <s v="2016-05-31 07:24:30"/>
    <d v="1899-12-30T13:51:41"/>
    <s v="Lundi"/>
    <d v="1899-12-30T01:02:00"/>
    <s v="DEPOT RAZEL YASSA - CARRIERE RAZEL LOGBADJECK"/>
    <s v="03:24:50"/>
  </r>
  <r>
    <x v="7"/>
    <x v="3"/>
    <s v="2016-05-30 07:52:41"/>
    <s v="2016-05-30 08:45:25"/>
    <d v="1899-12-30T00:52:44"/>
    <s v="Lundi"/>
    <s v=""/>
    <s v=""/>
    <s v=""/>
  </r>
  <r>
    <x v="7"/>
    <x v="6"/>
    <s v="2016-05-30 10:10:25"/>
    <s v="2016-05-30 10:31:08"/>
    <d v="1899-12-30T00:20:43"/>
    <s v="Lundi"/>
    <d v="1899-12-30T01:25:00"/>
    <s v="CARRIERE RAZEL NKOMETOU - BASE RAZEL PADY 2"/>
    <s v=""/>
  </r>
  <r>
    <x v="7"/>
    <x v="3"/>
    <s v="2016-05-30 11:42:56"/>
    <s v="2016-05-30 12:38:13"/>
    <d v="1899-12-30T00:55:17"/>
    <s v="Lundi"/>
    <d v="1899-12-30T01:11:48"/>
    <s v="BASE RAZEL PADY 2 - CARRIERE RAZEL NKOMETOU"/>
    <s v=""/>
  </r>
  <r>
    <x v="7"/>
    <x v="6"/>
    <s v="2016-05-30 13:49:13"/>
    <s v="2016-05-30 13:50:13"/>
    <d v="1899-12-30T00:01:00"/>
    <s v="Lundi"/>
    <d v="1899-12-30T01:11:00"/>
    <s v="CARRIERE RAZEL NKOMETOU - BASE RAZEL PADY 2"/>
    <s v=""/>
  </r>
  <r>
    <x v="7"/>
    <x v="3"/>
    <s v="2016-05-30 14:56:13"/>
    <s v="2016-05-30 15:32:13"/>
    <d v="1899-12-30T00:36:00"/>
    <s v="Lundi"/>
    <d v="1899-12-30T01:06:00"/>
    <s v="BASE RAZEL PADY 2 - CARRIERE RAZEL NKOMETOU"/>
    <s v=""/>
  </r>
  <r>
    <x v="7"/>
    <x v="6"/>
    <s v="2016-05-31 08:08:51"/>
    <s v="2016-05-31 15:50:19"/>
    <d v="1899-12-30T07:41:28"/>
    <s v="Mardi"/>
    <d v="1899-12-30T16:36:38"/>
    <s v="CARRIERE RAZEL NKOMETOU - BASE RAZEL PADY 2"/>
    <s v=""/>
  </r>
  <r>
    <x v="8"/>
    <x v="3"/>
    <s v="2016-05-30 09:09:27"/>
    <s v="2016-05-30 09:52:27"/>
    <d v="1899-12-30T00:43:00"/>
    <s v="Lundi"/>
    <s v=""/>
    <s v=""/>
    <d v="1899-12-30T00:00:00"/>
  </r>
  <r>
    <x v="8"/>
    <x v="6"/>
    <s v="2016-05-30 11:32:27"/>
    <s v="2016-05-30 11:42:39"/>
    <d v="1899-12-30T00:10:12"/>
    <s v="Lundi"/>
    <d v="1899-12-30T01:40:00"/>
    <s v="CARRIERE RAZEL NKOMETOU - BASE RAZEL PADY 2"/>
    <s v=""/>
  </r>
  <r>
    <x v="8"/>
    <x v="3"/>
    <s v="2016-05-30 12:50:41"/>
    <s v="2016-05-30 13:38:41"/>
    <d v="1899-12-30T00:48:00"/>
    <s v="Lundi"/>
    <d v="1899-12-30T01:08:02"/>
    <s v="BASE RAZEL PADY 2 - CARRIERE RAZEL NKOMETOU"/>
    <s v=""/>
  </r>
  <r>
    <x v="8"/>
    <x v="3"/>
    <s v="2016-05-30 15:41:41"/>
    <s v="2016-05-30 16:28:41"/>
    <d v="1899-12-30T00:47:00"/>
    <s v="Lundi"/>
    <d v="1899-12-30T02:03:00"/>
    <s v="CARRIERE RAZEL NKOMETOU - CARRIERE RAZEL NKOMETOU"/>
    <s v=""/>
  </r>
  <r>
    <x v="9"/>
    <x v="6"/>
    <s v="2016-05-30 07:03:58"/>
    <s v="2016-05-30 07:20:56"/>
    <d v="1899-12-30T00:16:58"/>
    <s v="Lundi"/>
    <s v=""/>
    <s v=""/>
    <s v=""/>
  </r>
  <r>
    <x v="9"/>
    <x v="3"/>
    <s v="2016-05-30 08:14:56"/>
    <s v="2016-05-30 08:45:00"/>
    <d v="1899-12-30T00:30:04"/>
    <s v="Lundi"/>
    <d v="1899-12-30T00:54:00"/>
    <s v="BASE RAZEL PADY 2 - CARRIERE RAZEL NKOMETOU"/>
    <s v=""/>
  </r>
  <r>
    <x v="9"/>
    <x v="6"/>
    <s v="2016-05-30 10:04:00"/>
    <s v="2016-05-30 17:02:16"/>
    <d v="1899-12-30T06:58:16"/>
    <s v="Lundi"/>
    <d v="1899-12-30T01:19:00"/>
    <s v="CARRIERE RAZEL NKOMETOU - BASE RAZEL PADY 2"/>
    <s v=""/>
  </r>
  <r>
    <x v="0"/>
    <x v="0"/>
    <s v="2016-05-31 17:34:50"/>
    <s v="2016-06-01 06:50:54"/>
    <d v="1899-12-30T13:16:04"/>
    <s v="Lundi"/>
    <s v=""/>
    <s v=""/>
    <s v=""/>
  </r>
  <r>
    <x v="1"/>
    <x v="0"/>
    <s v="2016-05-31 17:55:05"/>
    <s v="2016-06-01 07:36:18"/>
    <d v="1899-12-30T13:41:13"/>
    <s v="Lundi"/>
    <s v=""/>
    <s v=""/>
    <s v=""/>
  </r>
  <r>
    <x v="2"/>
    <x v="0"/>
    <s v="2016-05-31 17:50:45"/>
    <s v="2016-06-01 08:51:27"/>
    <d v="1899-12-30T15:00:42"/>
    <s v="Lundi"/>
    <s v=""/>
    <s v=""/>
    <s v=""/>
  </r>
  <r>
    <x v="3"/>
    <x v="1"/>
    <s v="2016-05-31 08:51:59"/>
    <s v="2016-05-31 08:53:59"/>
    <d v="1899-12-30T00:02:00"/>
    <s v="Lundi"/>
    <s v=""/>
    <s v=""/>
    <s v=""/>
  </r>
  <r>
    <x v="3"/>
    <x v="1"/>
    <s v="2016-05-31 12:13:58"/>
    <s v="2016-05-31 12:28:58"/>
    <d v="1899-12-30T00:15:00"/>
    <s v="Lundi"/>
    <d v="1899-12-30T03:19:59"/>
    <s v="CARRIERE RAZEL BAGANGTE - CARRIERE RAZEL BAGANGTE"/>
    <s v=""/>
  </r>
  <r>
    <x v="3"/>
    <x v="0"/>
    <s v="2016-05-31 13:23:58"/>
    <s v="2016-05-31 16:25:08"/>
    <d v="1899-12-30T03:01:10"/>
    <s v="Lundi"/>
    <d v="1899-12-30T00:55:00"/>
    <s v="CARRIERE RAZEL BAGANGTE - BASE RAZEL BAGANGTE"/>
    <s v=""/>
  </r>
  <r>
    <x v="3"/>
    <x v="0"/>
    <s v="2016-05-31 17:10:58"/>
    <s v="2016-06-01 08:21:08"/>
    <d v="1899-12-30T15:10:10"/>
    <s v="Lundi"/>
    <d v="1899-12-30T00:45:50"/>
    <s v="BASE RAZEL BAGANGTE - BASE RAZEL BAGANGTE"/>
    <s v=""/>
  </r>
  <r>
    <x v="4"/>
    <x v="6"/>
    <s v="2016-05-31 07:19:30"/>
    <s v="2016-05-31 07:21:30"/>
    <d v="1899-12-30T00:02:00"/>
    <s v="Lundi"/>
    <s v=""/>
    <s v=""/>
    <s v=""/>
  </r>
  <r>
    <x v="4"/>
    <x v="3"/>
    <s v="2016-05-31 08:32:30"/>
    <s v="2016-05-31 09:36:30"/>
    <d v="1899-12-30T01:04:00"/>
    <s v="Lundi"/>
    <d v="1899-12-30T01:11:00"/>
    <s v="BASE RAZEL PADY 2 - CARRIERE RAZEL NKOMETOU"/>
    <s v=""/>
  </r>
  <r>
    <x v="4"/>
    <x v="6"/>
    <s v="2016-05-31 10:57:31"/>
    <s v="2016-05-31 10:58:31"/>
    <d v="1899-12-30T00:01:00"/>
    <s v="Lundi"/>
    <d v="1899-12-30T01:21:01"/>
    <s v="CARRIERE RAZEL NKOMETOU - BASE RAZEL PADY 2"/>
    <s v=""/>
  </r>
  <r>
    <x v="5"/>
    <x v="2"/>
    <s v="2016-05-31 08:44:24"/>
    <s v="2016-05-31 08:49:24"/>
    <d v="1899-12-30T00:05:00"/>
    <s v="Lundi"/>
    <s v=""/>
    <s v=""/>
    <s v=""/>
  </r>
  <r>
    <x v="5"/>
    <x v="3"/>
    <s v="2016-05-31 09:35:24"/>
    <s v="2016-05-31 10:04:24"/>
    <d v="1899-12-30T00:29:00"/>
    <s v="Lundi"/>
    <d v="1899-12-30T00:46:00"/>
    <s v="BASE RAZEL PREFECTURE - CARRIERE RAZEL NKOMETOU"/>
    <s v=""/>
  </r>
  <r>
    <x v="5"/>
    <x v="2"/>
    <s v="2016-05-31 11:06:24"/>
    <s v="2016-05-31 11:13:24"/>
    <d v="1899-12-30T00:07:00"/>
    <s v="Lundi"/>
    <d v="1899-12-30T01:02:00"/>
    <s v="CARRIERE RAZEL NKOMETOU - BASE RAZEL PREFECTURE"/>
    <s v=""/>
  </r>
  <r>
    <x v="5"/>
    <x v="3"/>
    <s v="2016-05-31 11:51:24"/>
    <s v="2016-05-31 13:45:33"/>
    <d v="1899-12-30T01:54:09"/>
    <s v="Lundi"/>
    <d v="1899-12-30T00:38:00"/>
    <s v="BASE RAZEL PREFECTURE - CARRIERE RAZEL NKOMETOU"/>
    <s v=""/>
  </r>
  <r>
    <x v="5"/>
    <x v="2"/>
    <s v="2016-05-31 18:31:33"/>
    <s v="2016-06-01 06:31:03"/>
    <d v="1899-12-30T11:59:30"/>
    <s v="Lundi"/>
    <d v="1899-12-30T04:46:00"/>
    <s v="CARRIERE RAZEL NKOMETOU - BASE RAZEL PREFECTURE"/>
    <s v=""/>
  </r>
  <r>
    <x v="6"/>
    <x v="5"/>
    <s v="2016-05-31 08:16:30"/>
    <s v="2016-05-31 08:26:30"/>
    <d v="1899-12-30T00:10:00"/>
    <s v="Lundi"/>
    <s v=""/>
    <s v=""/>
    <s v=""/>
  </r>
  <r>
    <x v="6"/>
    <x v="4"/>
    <s v="2016-05-31 09:29:30"/>
    <s v="2016-05-31 10:23:30"/>
    <d v="1899-12-30T00:54:00"/>
    <s v="Lundi"/>
    <d v="1899-12-30T01:03:00"/>
    <s v="DEPOT RAZEL YASSA - CARRIERE RAZEL LOGBADJECK"/>
    <s v=""/>
  </r>
  <r>
    <x v="6"/>
    <x v="4"/>
    <s v="2016-05-31 16:34:30"/>
    <s v="2016-05-31 17:14:30"/>
    <d v="1899-12-30T00:40:00"/>
    <s v="Lundi"/>
    <d v="1899-12-30T06:11:00"/>
    <s v="CARRIERE RAZEL LOGBADJECK - CARRIERE RAZEL LOGBADJECK"/>
    <s v=""/>
  </r>
  <r>
    <x v="6"/>
    <x v="5"/>
    <s v="2016-05-31 18:12:30"/>
    <s v="2016-06-01 05:40:59"/>
    <d v="1899-12-30T11:28:29"/>
    <s v="Lundi"/>
    <d v="1899-12-30T00:58:00"/>
    <s v="CARRIERE RAZEL LOGBADJECK - DEPOT RAZEL YASSA"/>
    <s v=""/>
  </r>
  <r>
    <x v="8"/>
    <x v="3"/>
    <s v="2016-05-31 09:32:44"/>
    <s v="2016-05-31 10:15:44"/>
    <d v="1899-12-30T00:43:00"/>
    <s v="Lundi"/>
    <s v=""/>
    <s v=""/>
    <s v=""/>
  </r>
  <r>
    <x v="9"/>
    <x v="7"/>
    <s v="2016-05-31 08:24:01"/>
    <s v="2016-05-31 08:30:01"/>
    <d v="1899-12-30T00:06:00"/>
    <s v="Lundi"/>
    <s v=""/>
    <s v=""/>
    <s v=""/>
  </r>
  <r>
    <x v="9"/>
    <x v="6"/>
    <s v="2016-05-31 09:32:01"/>
    <s v="2016-05-31 09:48:22"/>
    <d v="1899-12-30T00:16:21"/>
    <s v="Lundi"/>
    <d v="1899-12-30T01:02:00"/>
    <s v="BASE RAZEL OLEMBE - BASE RAZEL PADY 2"/>
    <s v=""/>
  </r>
  <r>
    <x v="0"/>
    <x v="0"/>
    <s v="2016-06-01 17:56:35"/>
    <s v="2016-06-02 07:03:09"/>
    <d v="1899-12-30T13:06:34"/>
    <s v="Lundi"/>
    <s v=""/>
    <s v=""/>
    <s v=""/>
  </r>
  <r>
    <x v="1"/>
    <x v="0"/>
    <s v="2016-06-01 16:35:00"/>
    <s v="2016-06-02 06:41:03"/>
    <d v="1899-12-30T14:06:03"/>
    <s v="Lundi"/>
    <s v=""/>
    <s v=""/>
    <s v=""/>
  </r>
  <r>
    <x v="2"/>
    <x v="0"/>
    <s v="2016-06-01 16:34:52"/>
    <s v="2016-06-02 06:40:17"/>
    <d v="1899-12-30T14:05:25"/>
    <s v="Lundi"/>
    <s v=""/>
    <s v=""/>
    <s v=""/>
  </r>
  <r>
    <x v="3"/>
    <x v="0"/>
    <s v="2016-06-01 10:03:58"/>
    <s v="2016-06-01 12:28:58"/>
    <d v="1899-12-30T02:25:00"/>
    <s v="Lundi"/>
    <s v=""/>
    <s v=""/>
    <s v=""/>
  </r>
  <r>
    <x v="3"/>
    <x v="0"/>
    <s v="2016-06-01 15:19:58"/>
    <s v="2016-06-02 07:34:57"/>
    <d v="1899-12-30T16:14:59"/>
    <s v="Lundi"/>
    <d v="1899-12-30T02:51:00"/>
    <s v="BASE RAZEL BAGANGTE - BASE RAZEL BAGANGTE"/>
    <s v=""/>
  </r>
  <r>
    <x v="4"/>
    <x v="6"/>
    <s v="2016-06-01 09:12:56"/>
    <s v="2016-06-01 09:13:56"/>
    <d v="1899-12-30T00:01:00"/>
    <s v="Lundi"/>
    <s v=""/>
    <s v=""/>
    <s v=""/>
  </r>
  <r>
    <x v="4"/>
    <x v="2"/>
    <s v="2016-06-01 11:18:58"/>
    <s v="2016-06-01 13:48:24"/>
    <d v="1899-12-30T02:29:26"/>
    <s v="Lundi"/>
    <d v="1899-12-30T02:05:02"/>
    <s v="BASE RAZEL PADY 2 - BASE RAZEL PREFECTURE"/>
    <s v=""/>
  </r>
  <r>
    <x v="4"/>
    <x v="7"/>
    <s v="2016-06-01 14:29:59"/>
    <s v="2016-06-01 16:26:42"/>
    <d v="1899-12-30T01:56:43"/>
    <s v="Lundi"/>
    <d v="1899-12-30T00:41:35"/>
    <s v="BASE RAZEL PREFECTURE - BASE RAZEL OLEMBE"/>
    <s v=""/>
  </r>
  <r>
    <x v="4"/>
    <x v="2"/>
    <s v="2016-06-01 17:01:05"/>
    <s v="2016-06-02 07:16:55"/>
    <d v="1899-12-30T14:15:50"/>
    <s v="Lundi"/>
    <d v="1899-12-30T00:34:23"/>
    <s v="BASE RAZEL OLEMBE - BASE RAZEL PREFECTURE"/>
    <s v=""/>
  </r>
  <r>
    <x v="5"/>
    <x v="3"/>
    <s v="2016-06-01 07:09:03"/>
    <s v="2016-06-01 08:07:41"/>
    <d v="1899-12-30T00:58:38"/>
    <s v="Lundi"/>
    <s v=""/>
    <s v=""/>
    <s v=""/>
  </r>
  <r>
    <x v="5"/>
    <x v="2"/>
    <s v="2016-06-01 08:58:41"/>
    <s v="2016-06-01 09:06:29"/>
    <d v="1899-12-30T00:07:48"/>
    <s v="Lundi"/>
    <d v="1899-12-30T00:51:00"/>
    <s v="CARRIERE RAZEL NKOMETOU - BASE RAZEL PREFECTURE"/>
    <s v=""/>
  </r>
  <r>
    <x v="5"/>
    <x v="3"/>
    <s v="2016-06-01 09:42:41"/>
    <s v="2016-06-01 10:14:41"/>
    <d v="1899-12-30T00:32:00"/>
    <s v="Lundi"/>
    <d v="1899-12-30T00:36:12"/>
    <s v="BASE RAZEL PREFECTURE - CARRIERE RAZEL NKOMETOU"/>
    <s v=""/>
  </r>
  <r>
    <x v="5"/>
    <x v="2"/>
    <s v="2016-06-01 11:05:41"/>
    <s v="2016-06-01 11:11:41"/>
    <d v="1899-12-30T00:06:00"/>
    <s v="Lundi"/>
    <d v="1899-12-30T00:51:00"/>
    <s v="CARRIERE RAZEL NKOMETOU - BASE RAZEL PREFECTURE"/>
    <s v=""/>
  </r>
  <r>
    <x v="5"/>
    <x v="3"/>
    <s v="2016-06-01 11:48:41"/>
    <s v="2016-06-01 13:17:17"/>
    <d v="1899-12-30T01:28:36"/>
    <s v="Lundi"/>
    <d v="1899-12-30T00:37:00"/>
    <s v="BASE RAZEL PREFECTURE - CARRIERE RAZEL NKOMETOU"/>
    <s v=""/>
  </r>
  <r>
    <x v="5"/>
    <x v="2"/>
    <s v="2016-06-01 18:15:23"/>
    <s v="2016-06-02 06:27:55"/>
    <d v="1899-12-30T12:12:32"/>
    <s v="Lundi"/>
    <d v="1899-12-30T04:58:06"/>
    <s v="CARRIERE RAZEL NKOMETOU - BASE RAZEL PREFECTURE"/>
    <s v=""/>
  </r>
  <r>
    <x v="6"/>
    <x v="4"/>
    <s v="2016-06-01 08:59:59"/>
    <s v="2016-06-01 10:07:09"/>
    <d v="1899-12-30T01:07:10"/>
    <s v="Lundi"/>
    <s v=""/>
    <s v=""/>
    <s v=""/>
  </r>
  <r>
    <x v="6"/>
    <x v="5"/>
    <s v="2016-06-01 14:03:12"/>
    <s v="2016-06-01 14:05:50"/>
    <d v="1899-12-30T00:02:38"/>
    <s v="Lundi"/>
    <d v="1899-12-30T03:56:03"/>
    <s v="CARRIERE RAZEL LOGBADJECK - DEPOT RAZEL YASSA"/>
    <s v=""/>
  </r>
  <r>
    <x v="6"/>
    <x v="4"/>
    <s v="2016-06-01 15:38:48"/>
    <s v="2016-06-02 07:03:55"/>
    <d v="1899-12-30T15:25:07"/>
    <s v="Lundi"/>
    <d v="1899-12-30T01:32:58"/>
    <s v="DEPOT RAZEL YASSA - CARRIERE RAZEL LOGBADJECK"/>
    <s v=""/>
  </r>
  <r>
    <x v="9"/>
    <x v="7"/>
    <s v="2016-06-01 08:08:22"/>
    <s v="2016-06-01 13:40:11"/>
    <d v="1899-12-30T05:31:49"/>
    <s v="Lundi"/>
    <s v=""/>
    <s v=""/>
    <s v=""/>
  </r>
  <r>
    <x v="9"/>
    <x v="7"/>
    <s v="2016-06-01 15:42:07"/>
    <s v="2016-06-01 15:43:54"/>
    <d v="1899-12-30T00:01:47"/>
    <s v="Lundi"/>
    <d v="1899-12-30T02:01:56"/>
    <s v="BASE RAZEL OLEMBE - BASE RAZEL OLEMBE"/>
    <s v=""/>
  </r>
  <r>
    <x v="0"/>
    <x v="0"/>
    <s v="2016-06-02 17:57:49"/>
    <s v="2016-06-03 06:43:21"/>
    <d v="1899-12-30T12:45:32"/>
    <s v="Lundi"/>
    <s v=""/>
    <s v=""/>
    <s v=""/>
  </r>
  <r>
    <x v="1"/>
    <x v="0"/>
    <s v="2016-06-02 17:56:15"/>
    <s v="2016-06-03 06:38:50"/>
    <d v="1899-12-30T12:42:35"/>
    <s v="Lundi"/>
    <s v=""/>
    <s v=""/>
    <s v=""/>
  </r>
  <r>
    <x v="2"/>
    <x v="0"/>
    <s v="2016-06-02 18:01:56"/>
    <s v="2016-06-03 06:49:30"/>
    <d v="1899-12-30T12:47:34"/>
    <s v="Lundi"/>
    <s v=""/>
    <s v=""/>
    <s v=""/>
  </r>
  <r>
    <x v="3"/>
    <x v="1"/>
    <s v="2016-06-02 10:29:57"/>
    <s v="2016-06-02 10:48:57"/>
    <d v="1899-12-30T00:19:00"/>
    <s v="Lundi"/>
    <s v=""/>
    <s v=""/>
    <s v=""/>
  </r>
  <r>
    <x v="3"/>
    <x v="0"/>
    <s v="2016-06-02 13:10:08"/>
    <s v="2016-06-02 13:32:58"/>
    <d v="1899-12-30T00:22:50"/>
    <s v="Lundi"/>
    <d v="1899-12-30T02:21:11"/>
    <s v="CARRIERE RAZEL BAGANGTE - BASE RAZEL BAGANGTE"/>
    <s v=""/>
  </r>
  <r>
    <x v="3"/>
    <x v="0"/>
    <s v="2016-06-02 14:14:58"/>
    <s v="2016-06-03 06:52:57"/>
    <d v="1899-12-30T16:37:59"/>
    <s v="Lundi"/>
    <d v="1899-12-30T00:42:00"/>
    <s v="BASE RAZEL BAGANGTE - BASE RAZEL BAGANGTE"/>
    <s v=""/>
  </r>
  <r>
    <x v="10"/>
    <x v="5"/>
    <s v="2016-06-02 19:03:59"/>
    <s v="2016-06-03 07:06:05"/>
    <d v="1899-12-30T12:02:06"/>
    <s v="Lundi"/>
    <s v=""/>
    <s v=""/>
    <s v=""/>
  </r>
  <r>
    <x v="4"/>
    <x v="2"/>
    <s v="2016-06-02 07:18:09"/>
    <s v="2016-06-02 07:20:09"/>
    <d v="1899-12-30T00:02:00"/>
    <s v="Lundi"/>
    <s v=""/>
    <s v=""/>
    <s v=""/>
  </r>
  <r>
    <x v="4"/>
    <x v="6"/>
    <s v="2016-06-02 09:01:50"/>
    <s v="2016-06-02 09:02:40"/>
    <d v="1899-12-30T00:00:50"/>
    <s v="Lundi"/>
    <d v="1899-12-30T01:41:41"/>
    <s v="BASE RAZEL PREFECTURE - BASE RAZEL PADY 2"/>
    <s v=""/>
  </r>
  <r>
    <x v="4"/>
    <x v="2"/>
    <s v="2016-06-02 09:43:32"/>
    <s v="2016-06-02 09:56:32"/>
    <d v="1899-12-30T00:13:00"/>
    <s v="Lundi"/>
    <d v="1899-12-30T00:40:52"/>
    <s v="BASE RAZEL PADY 2 - BASE RAZEL PREFECTURE"/>
    <s v=""/>
  </r>
  <r>
    <x v="4"/>
    <x v="6"/>
    <s v="2016-06-02 10:23:46"/>
    <s v="2016-06-02 10:24:46"/>
    <d v="1899-12-30T00:01:00"/>
    <s v="Lundi"/>
    <d v="1899-12-30T00:27:14"/>
    <s v="BASE RAZEL PREFECTURE - BASE RAZEL PADY 2"/>
    <s v=""/>
  </r>
  <r>
    <x v="4"/>
    <x v="6"/>
    <s v="2016-06-02 11:20:16"/>
    <s v="2016-06-02 11:20:57"/>
    <d v="1899-12-30T00:00:41"/>
    <s v="Lundi"/>
    <d v="1899-12-30T00:55:30"/>
    <s v="BASE RAZEL PADY 2 - BASE RAZEL PADY 2"/>
    <s v=""/>
  </r>
  <r>
    <x v="11"/>
    <x v="5"/>
    <s v="2016-06-02 17:47:44"/>
    <s v="2016-06-03 04:45:08"/>
    <d v="1899-12-30T10:57:24"/>
    <s v="Lundi"/>
    <s v=""/>
    <s v=""/>
    <s v=""/>
  </r>
  <r>
    <x v="5"/>
    <x v="3"/>
    <s v="2016-06-02 07:02:41"/>
    <s v="2016-06-02 07:57:47"/>
    <d v="1899-12-30T00:55:06"/>
    <s v="Lundi"/>
    <s v=""/>
    <s v=""/>
    <s v=""/>
  </r>
  <r>
    <x v="5"/>
    <x v="2"/>
    <s v="2016-06-02 08:50:27"/>
    <s v="2016-06-02 08:50:33"/>
    <d v="1899-12-30T00:00:06"/>
    <s v="Lundi"/>
    <d v="1899-12-30T00:52:40"/>
    <s v="CARRIERE RAZEL NKOMETOU - BASE RAZEL PREFECTURE"/>
    <s v=""/>
  </r>
  <r>
    <x v="5"/>
    <x v="2"/>
    <s v="2016-06-02 08:51:33"/>
    <s v="2016-06-02 08:56:02"/>
    <d v="1899-12-30T00:04:29"/>
    <s v="Lundi"/>
    <d v="1899-12-30T00:01:00"/>
    <s v="BASE RAZEL PREFECTURE - BASE RAZEL PREFECTURE"/>
    <s v=""/>
  </r>
  <r>
    <x v="5"/>
    <x v="3"/>
    <s v="2016-06-02 09:31:24"/>
    <s v="2016-06-02 10:34:50"/>
    <d v="1899-12-30T01:03:26"/>
    <s v="Lundi"/>
    <d v="1899-12-30T00:35:22"/>
    <s v="BASE RAZEL PREFECTURE - CARRIERE RAZEL NKOMETOU"/>
    <s v=""/>
  </r>
  <r>
    <x v="5"/>
    <x v="3"/>
    <s v="2016-06-02 16:01:17"/>
    <s v="2016-06-03 07:52:51"/>
    <d v="1899-12-30T15:51:34"/>
    <s v="Lundi"/>
    <d v="1899-12-30T05:26:27"/>
    <s v="CARRIERE RAZEL NKOMETOU - CARRIERE RAZEL NKOMETOU"/>
    <s v=""/>
  </r>
  <r>
    <x v="6"/>
    <x v="5"/>
    <s v="2016-06-02 07:58:11"/>
    <s v="2016-06-02 08:09:11"/>
    <d v="1899-12-30T00:11:00"/>
    <s v="Lundi"/>
    <s v=""/>
    <s v=""/>
    <s v=""/>
  </r>
  <r>
    <x v="6"/>
    <x v="4"/>
    <s v="2016-06-02 09:14:22"/>
    <s v="2016-06-02 10:14:39"/>
    <d v="1899-12-30T01:00:17"/>
    <s v="Lundi"/>
    <d v="1899-12-30T01:05:11"/>
    <s v="DEPOT RAZEL YASSA - CARRIERE RAZEL LOGBADJECK"/>
    <s v=""/>
  </r>
  <r>
    <x v="6"/>
    <x v="5"/>
    <s v="2016-06-02 11:08:50"/>
    <s v="2016-06-02 11:17:50"/>
    <d v="1899-12-30T00:09:00"/>
    <s v="Lundi"/>
    <d v="1899-12-30T00:54:11"/>
    <s v="CARRIERE RAZEL LOGBADJECK - DEPOT RAZEL YASSA"/>
    <s v=""/>
  </r>
  <r>
    <x v="6"/>
    <x v="4"/>
    <s v="2016-06-02 12:14:51"/>
    <s v="2016-06-02 12:49:22"/>
    <d v="1899-12-30T00:34:31"/>
    <s v="Lundi"/>
    <d v="1899-12-30T00:57:01"/>
    <s v="DEPOT RAZEL YASSA - CARRIERE RAZEL LOGBADJECK"/>
    <s v=""/>
  </r>
  <r>
    <x v="6"/>
    <x v="5"/>
    <s v="2016-06-02 13:44:31"/>
    <s v="2016-06-02 13:50:31"/>
    <d v="1899-12-30T00:06:00"/>
    <s v="Lundi"/>
    <d v="1899-12-30T00:55:09"/>
    <s v="CARRIERE RAZEL LOGBADJECK - DEPOT RAZEL YASSA"/>
    <s v=""/>
  </r>
  <r>
    <x v="6"/>
    <x v="4"/>
    <s v="2016-06-02 14:43:27"/>
    <s v="2016-06-02 15:33:46"/>
    <d v="1899-12-30T00:50:19"/>
    <s v="Lundi"/>
    <d v="1899-12-30T00:52:56"/>
    <s v="DEPOT RAZEL YASSA - CARRIERE RAZEL LOGBADJECK"/>
    <s v=""/>
  </r>
  <r>
    <x v="6"/>
    <x v="5"/>
    <s v="2016-06-02 16:28:23"/>
    <s v="2016-06-03 08:50:10"/>
    <d v="1899-12-30T16:21:47"/>
    <s v="Lundi"/>
    <d v="1899-12-30T00:54:37"/>
    <s v="CARRIERE RAZEL LOGBADJECK - DEPOT RAZEL YASSA"/>
    <s v=""/>
  </r>
  <r>
    <x v="9"/>
    <x v="6"/>
    <s v="2016-06-02 07:51:48"/>
    <s v="2016-06-02 15:19:54"/>
    <d v="1899-12-30T07:28:06"/>
    <s v="Lundi"/>
    <s v=""/>
    <s v=""/>
    <s v=""/>
  </r>
  <r>
    <x v="0"/>
    <x v="0"/>
    <s v="2016-06-03 18:01:43"/>
    <s v="2016-06-04 07:13:12"/>
    <d v="1899-12-30T13:11:29"/>
    <s v="Lundi"/>
    <s v=""/>
    <s v=""/>
    <s v=""/>
  </r>
  <r>
    <x v="1"/>
    <x v="0"/>
    <s v="2016-06-03 17:56:51"/>
    <s v="2016-06-04 06:51:28"/>
    <d v="1899-12-30T12:54:37"/>
    <s v="Lundi"/>
    <s v=""/>
    <s v=""/>
    <s v=""/>
  </r>
  <r>
    <x v="2"/>
    <x v="0"/>
    <s v="2016-06-03 17:49:23"/>
    <s v="2016-06-04 06:44:45"/>
    <d v="1899-12-30T12:55:22"/>
    <s v="Lundi"/>
    <s v=""/>
    <s v=""/>
    <s v=""/>
  </r>
  <r>
    <x v="3"/>
    <x v="1"/>
    <s v="2016-06-03 07:27:06"/>
    <s v="2016-06-03 08:30:46"/>
    <d v="1899-12-30T01:03:40"/>
    <s v="Lundi"/>
    <s v=""/>
    <s v=""/>
    <s v=""/>
  </r>
  <r>
    <x v="3"/>
    <x v="0"/>
    <s v="2016-06-03 09:22:56"/>
    <s v="2016-06-03 11:06:56"/>
    <d v="1899-12-30T01:44:00"/>
    <s v="Lundi"/>
    <d v="1899-12-30T00:52:10"/>
    <s v="CARRIERE RAZEL BAGANGTE - BASE RAZEL BAGANGTE"/>
    <s v=""/>
  </r>
  <r>
    <x v="3"/>
    <x v="0"/>
    <s v="2016-06-03 14:49:57"/>
    <s v="2016-06-03 15:30:57"/>
    <d v="1899-12-30T00:41:00"/>
    <s v="Lundi"/>
    <d v="1899-12-30T03:43:01"/>
    <s v="BASE RAZEL BAGANGTE - BASE RAZEL BAGANGTE"/>
    <s v=""/>
  </r>
  <r>
    <x v="3"/>
    <x v="1"/>
    <s v="2016-06-03 16:05:57"/>
    <s v="2016-06-03 16:10:07"/>
    <d v="1899-12-30T00:04:10"/>
    <s v="Lundi"/>
    <d v="1899-12-30T00:35:00"/>
    <s v="BASE RAZEL BAGANGTE - CARRIERE RAZEL BAGANGTE"/>
    <s v=""/>
  </r>
  <r>
    <x v="3"/>
    <x v="1"/>
    <s v="2016-06-03 16:20:57"/>
    <s v="2016-06-03 16:30:07"/>
    <d v="1899-12-30T00:09:10"/>
    <s v="Lundi"/>
    <d v="1899-12-30T00:10:50"/>
    <s v="CARRIERE RAZEL BAGANGTE - CARRIERE RAZEL BAGANGTE"/>
    <s v=""/>
  </r>
  <r>
    <x v="3"/>
    <x v="0"/>
    <s v="2016-06-03 17:30:57"/>
    <s v="2016-06-04 06:47:57"/>
    <d v="1899-12-30T13:17:00"/>
    <s v="Lundi"/>
    <d v="1899-12-30T01:00:50"/>
    <s v="CARRIERE RAZEL BAGANGTE - BASE RAZEL BAGANGTE"/>
    <s v=""/>
  </r>
  <r>
    <x v="10"/>
    <x v="4"/>
    <s v="2016-06-03 08:08:06"/>
    <s v="2016-06-03 09:16:54"/>
    <d v="1899-12-30T01:08:48"/>
    <s v="Lundi"/>
    <s v=""/>
    <s v=""/>
    <s v=""/>
  </r>
  <r>
    <x v="10"/>
    <x v="5"/>
    <s v="2016-06-03 10:23:54"/>
    <s v="2016-06-03 10:36:54"/>
    <d v="1899-12-30T00:13:00"/>
    <s v="Lundi"/>
    <d v="1899-12-30T01:07:00"/>
    <s v="CARRIERE RAZEL LOGBADJECK - DEPOT RAZEL YASSA"/>
    <s v=""/>
  </r>
  <r>
    <x v="10"/>
    <x v="4"/>
    <s v="2016-06-03 11:51:54"/>
    <s v="2016-06-03 12:40:19"/>
    <d v="1899-12-30T00:48:25"/>
    <s v="Lundi"/>
    <d v="1899-12-30T01:15:00"/>
    <s v="DEPOT RAZEL YASSA - CARRIERE RAZEL LOGBADJECK"/>
    <s v=""/>
  </r>
  <r>
    <x v="10"/>
    <x v="5"/>
    <s v="2016-06-03 13:48:58"/>
    <s v="2016-06-03 14:08:58"/>
    <d v="1899-12-30T00:20:00"/>
    <s v="Lundi"/>
    <d v="1899-12-30T01:08:39"/>
    <s v="CARRIERE RAZEL LOGBADJECK - DEPOT RAZEL YASSA"/>
    <s v=""/>
  </r>
  <r>
    <x v="10"/>
    <x v="4"/>
    <s v="2016-06-03 15:17:58"/>
    <s v="2016-06-03 15:59:58"/>
    <d v="1899-12-30T00:42:00"/>
    <s v="Lundi"/>
    <d v="1899-12-30T01:09:00"/>
    <s v="DEPOT RAZEL YASSA - CARRIERE RAZEL LOGBADJECK"/>
    <s v=""/>
  </r>
  <r>
    <x v="10"/>
    <x v="5"/>
    <s v="2016-06-03 17:02:58"/>
    <s v="2016-06-03 17:12:58"/>
    <d v="1899-12-30T00:10:00"/>
    <s v="Lundi"/>
    <d v="1899-12-30T01:03:00"/>
    <s v="CARRIERE RAZEL LOGBADJECK - DEPOT RAZEL YASSA"/>
    <s v=""/>
  </r>
  <r>
    <x v="10"/>
    <x v="4"/>
    <s v="2016-06-03 17:53:37"/>
    <s v="2016-06-04 07:17:50"/>
    <d v="1899-12-30T13:24:13"/>
    <s v="Lundi"/>
    <d v="1899-12-30T00:40:39"/>
    <s v="DEPOT RAZEL YASSA - CARRIERE RAZEL LOGBADJECK"/>
    <s v=""/>
  </r>
  <r>
    <x v="4"/>
    <x v="0"/>
    <s v="2016-06-03 08:56:26"/>
    <s v="2016-06-03 09:16:19"/>
    <d v="1899-12-30T00:19:53"/>
    <s v="Lundi"/>
    <s v=""/>
    <s v=""/>
    <s v=""/>
  </r>
  <r>
    <x v="4"/>
    <x v="0"/>
    <s v="2016-06-03 10:51:31"/>
    <s v="2016-06-03 11:29:29"/>
    <d v="1899-12-30T00:37:58"/>
    <s v="Lundi"/>
    <d v="1899-12-30T01:35:12"/>
    <s v="BASE RAZEL BAGANGTE - BASE RAZEL BAGANGTE"/>
    <s v=""/>
  </r>
  <r>
    <x v="4"/>
    <x v="8"/>
    <s v="2016-06-03 19:11:07"/>
    <s v="2016-06-04 08:09:34"/>
    <d v="1899-12-30T12:58:27"/>
    <s v="Lundi"/>
    <d v="1899-12-30T07:41:38"/>
    <s v="BASE RAZEL BAGANGTE - BASE RAZEL WOURI"/>
    <s v=""/>
  </r>
  <r>
    <x v="11"/>
    <x v="4"/>
    <s v="2016-06-03 05:56:51"/>
    <s v="2016-06-03 07:10:37"/>
    <d v="1899-12-30T01:13:46"/>
    <s v="Lundi"/>
    <s v=""/>
    <s v=""/>
    <s v=""/>
  </r>
  <r>
    <x v="11"/>
    <x v="5"/>
    <s v="2016-06-03 08:02:37"/>
    <s v="2016-06-03 08:11:37"/>
    <d v="1899-12-30T00:09:00"/>
    <s v="Lundi"/>
    <d v="1899-12-30T00:52:00"/>
    <s v="CARRIERE RAZEL LOGBADJECK - DEPOT RAZEL YASSA"/>
    <s v=""/>
  </r>
  <r>
    <x v="11"/>
    <x v="4"/>
    <s v="2016-06-03 09:50:37"/>
    <s v="2016-06-03 10:44:37"/>
    <d v="1899-12-30T00:54:00"/>
    <s v="Lundi"/>
    <d v="1899-12-30T01:39:00"/>
    <s v="DEPOT RAZEL YASSA - CARRIERE RAZEL LOGBADJECK"/>
    <s v=""/>
  </r>
  <r>
    <x v="11"/>
    <x v="5"/>
    <s v="2016-06-03 11:35:37"/>
    <s v="2016-06-03 11:42:37"/>
    <d v="1899-12-30T00:07:00"/>
    <s v="Lundi"/>
    <d v="1899-12-30T00:51:00"/>
    <s v="CARRIERE RAZEL LOGBADJECK - DEPOT RAZEL YASSA"/>
    <s v=""/>
  </r>
  <r>
    <x v="11"/>
    <x v="4"/>
    <s v="2016-06-03 12:28:37"/>
    <s v="2016-06-03 12:57:37"/>
    <d v="1899-12-30T00:29:00"/>
    <s v="Lundi"/>
    <d v="1899-12-30T00:46:00"/>
    <s v="DEPOT RAZEL YASSA - CARRIERE RAZEL LOGBADJECK"/>
    <s v=""/>
  </r>
  <r>
    <x v="11"/>
    <x v="5"/>
    <s v="2016-06-03 13:49:37"/>
    <s v="2016-06-03 13:57:37"/>
    <d v="1899-12-30T00:08:00"/>
    <s v="Lundi"/>
    <d v="1899-12-30T00:52:00"/>
    <s v="CARRIERE RAZEL LOGBADJECK - DEPOT RAZEL YASSA"/>
    <s v=""/>
  </r>
  <r>
    <x v="11"/>
    <x v="4"/>
    <s v="2016-06-03 14:49:37"/>
    <s v="2016-06-03 15:30:37"/>
    <d v="1899-12-30T00:41:00"/>
    <s v="Lundi"/>
    <d v="1899-12-30T00:52:00"/>
    <s v="DEPOT RAZEL YASSA - CARRIERE RAZEL LOGBADJECK"/>
    <s v=""/>
  </r>
  <r>
    <x v="11"/>
    <x v="5"/>
    <s v="2016-06-03 16:28:37"/>
    <s v="2016-06-04 04:31:57"/>
    <d v="1899-12-30T12:03:20"/>
    <s v="Lundi"/>
    <d v="1899-12-30T00:58:00"/>
    <s v="CARRIERE RAZEL LOGBADJECK - DEPOT RAZEL YASSA"/>
    <s v=""/>
  </r>
  <r>
    <x v="5"/>
    <x v="3"/>
    <s v="2016-06-03 13:10:36"/>
    <s v="2016-06-03 13:56:57"/>
    <d v="1899-12-30T00:46:21"/>
    <s v="Lundi"/>
    <s v=""/>
    <s v=""/>
    <s v=""/>
  </r>
  <r>
    <x v="5"/>
    <x v="2"/>
    <s v="2016-06-03 18:11:04"/>
    <s v="2016-06-04 06:47:59"/>
    <d v="1899-12-30T12:36:55"/>
    <s v="Lundi"/>
    <d v="1899-12-30T04:14:07"/>
    <s v="CARRIERE RAZEL NKOMETOU - BASE RAZEL PREFECTURE"/>
    <s v=""/>
  </r>
  <r>
    <x v="6"/>
    <x v="4"/>
    <s v="2016-06-03 09:50:10"/>
    <s v="2016-06-03 11:00:25"/>
    <d v="1899-12-30T01:10:15"/>
    <s v="Lundi"/>
    <s v=""/>
    <s v=""/>
    <s v=""/>
  </r>
  <r>
    <x v="6"/>
    <x v="5"/>
    <s v="2016-06-03 11:57:25"/>
    <s v="2016-06-03 12:10:25"/>
    <d v="1899-12-30T00:13:00"/>
    <s v="Lundi"/>
    <d v="1899-12-30T00:57:00"/>
    <s v="CARRIERE RAZEL LOGBADJECK - DEPOT RAZEL YASSA"/>
    <s v=""/>
  </r>
  <r>
    <x v="6"/>
    <x v="4"/>
    <s v="2016-06-03 13:18:25"/>
    <s v="2016-06-04 07:00:27"/>
    <d v="1899-12-30T17:42:02"/>
    <s v="Lundi"/>
    <d v="1899-12-30T01:08:00"/>
    <s v="DEPOT RAZEL YASSA - CARRIERE RAZEL LOGBADJECK"/>
    <s v=""/>
  </r>
  <r>
    <x v="9"/>
    <x v="7"/>
    <s v="2016-06-03 14:20:16"/>
    <s v="2016-06-03 14:25:12"/>
    <d v="1899-12-30T00:04:56"/>
    <s v="Lundi"/>
    <s v=""/>
    <s v=""/>
    <s v=""/>
  </r>
  <r>
    <x v="9"/>
    <x v="7"/>
    <s v="2016-06-03 16:09:22"/>
    <s v="2016-06-03 16:15:06"/>
    <d v="1899-12-30T00:05:44"/>
    <s v="Lundi"/>
    <d v="1899-12-30T01:44:10"/>
    <s v="BASE RAZEL OLEMBE - BASE RAZEL OLEMBE"/>
    <s v=""/>
  </r>
  <r>
    <x v="0"/>
    <x v="0"/>
    <s v="2016-06-04 11:38:25"/>
    <s v="2016-06-05 23:56:03"/>
    <d v="1899-12-31T12:17:38"/>
    <s v="Lundi"/>
    <s v=""/>
    <s v=""/>
    <s v=""/>
  </r>
  <r>
    <x v="1"/>
    <x v="0"/>
    <s v="2016-06-04 11:57:47"/>
    <s v="2016-06-05 23:59:51"/>
    <d v="1899-12-31T12:02:04"/>
    <s v="Lundi"/>
    <s v=""/>
    <s v=""/>
    <s v=""/>
  </r>
  <r>
    <x v="2"/>
    <x v="1"/>
    <s v="2016-06-04 07:10:57"/>
    <s v="2016-06-04 07:19:43"/>
    <d v="1899-12-30T00:08:46"/>
    <s v="Lundi"/>
    <s v=""/>
    <s v=""/>
    <s v=""/>
  </r>
  <r>
    <x v="2"/>
    <x v="1"/>
    <s v="2016-06-04 07:22:05"/>
    <s v="2016-06-04 07:32:29"/>
    <d v="1899-12-30T00:10:24"/>
    <s v="Lundi"/>
    <d v="1899-12-30T00:02:22"/>
    <s v="CARRIERE RAZEL BAGANGTE - CARRIERE RAZEL BAGANGTE"/>
    <s v=""/>
  </r>
  <r>
    <x v="2"/>
    <x v="1"/>
    <s v="2016-06-04 08:13:24"/>
    <s v="2016-06-04 09:03:33"/>
    <d v="1899-12-30T00:50:09"/>
    <s v="Lundi"/>
    <d v="1899-12-30T00:40:55"/>
    <s v="CARRIERE RAZEL BAGANGTE - CARRIERE RAZEL BAGANGTE"/>
    <s v=""/>
  </r>
  <r>
    <x v="2"/>
    <x v="1"/>
    <s v="2016-06-04 09:08:41"/>
    <s v="2016-06-04 09:14:13"/>
    <d v="1899-12-30T00:05:32"/>
    <s v="Lundi"/>
    <d v="1899-12-30T00:05:08"/>
    <s v="CARRIERE RAZEL BAGANGTE - CARRIERE RAZEL BAGANGTE"/>
    <s v=""/>
  </r>
  <r>
    <x v="2"/>
    <x v="1"/>
    <s v="2016-06-04 09:18:22"/>
    <s v="2016-06-04 09:25:13"/>
    <d v="1899-12-30T00:06:51"/>
    <s v="Lundi"/>
    <d v="1899-12-30T00:04:09"/>
    <s v="CARRIERE RAZEL BAGANGTE - CARRIERE RAZEL BAGANGTE"/>
    <s v=""/>
  </r>
  <r>
    <x v="2"/>
    <x v="1"/>
    <s v="2016-06-04 09:28:04"/>
    <s v="2016-06-04 09:34:01"/>
    <d v="1899-12-30T00:05:57"/>
    <s v="Lundi"/>
    <d v="1899-12-30T00:02:51"/>
    <s v="CARRIERE RAZEL BAGANGTE - CARRIERE RAZEL BAGANGTE"/>
    <s v=""/>
  </r>
  <r>
    <x v="2"/>
    <x v="1"/>
    <s v="2016-06-04 09:36:52"/>
    <s v="2016-06-04 09:40:51"/>
    <d v="1899-12-30T00:03:59"/>
    <s v="Lundi"/>
    <d v="1899-12-30T00:02:51"/>
    <s v="CARRIERE RAZEL BAGANGTE - CARRIERE RAZEL BAGANGTE"/>
    <s v=""/>
  </r>
  <r>
    <x v="2"/>
    <x v="1"/>
    <s v="2016-06-04 09:43:51"/>
    <s v="2016-06-04 09:48:21"/>
    <d v="1899-12-30T00:04:30"/>
    <s v="Lundi"/>
    <d v="1899-12-30T00:03:00"/>
    <s v="CARRIERE RAZEL BAGANGTE - CARRIERE RAZEL BAGANGTE"/>
    <s v=""/>
  </r>
  <r>
    <x v="2"/>
    <x v="1"/>
    <s v="2016-06-04 09:52:15"/>
    <s v="2016-06-04 09:56:17"/>
    <d v="1899-12-30T00:04:02"/>
    <s v="Lundi"/>
    <d v="1899-12-30T00:03:54"/>
    <s v="CARRIERE RAZEL BAGANGTE - CARRIERE RAZEL BAGANGTE"/>
    <s v=""/>
  </r>
  <r>
    <x v="2"/>
    <x v="1"/>
    <s v="2016-06-04 09:59:27"/>
    <s v="2016-06-04 10:15:44"/>
    <d v="1899-12-30T00:16:17"/>
    <s v="Lundi"/>
    <d v="1899-12-30T00:03:10"/>
    <s v="CARRIERE RAZEL BAGANGTE - CARRIERE RAZEL BAGANGTE"/>
    <s v=""/>
  </r>
  <r>
    <x v="2"/>
    <x v="1"/>
    <s v="2016-06-04 10:27:35"/>
    <s v="2016-06-04 10:28:35"/>
    <d v="1899-12-30T00:01:00"/>
    <s v="Lundi"/>
    <d v="1899-12-30T00:11:51"/>
    <s v="CARRIERE RAZEL BAGANGTE - CARRIERE RAZEL BAGANGTE"/>
    <s v=""/>
  </r>
  <r>
    <x v="2"/>
    <x v="1"/>
    <s v="2016-06-04 10:35:00"/>
    <s v="2016-06-04 10:36:03"/>
    <d v="1899-12-30T00:01:03"/>
    <s v="Lundi"/>
    <d v="1899-12-30T00:06:25"/>
    <s v="CARRIERE RAZEL BAGANGTE - CARRIERE RAZEL BAGANGTE"/>
    <s v=""/>
  </r>
  <r>
    <x v="2"/>
    <x v="1"/>
    <s v="2016-06-04 10:38:00"/>
    <s v="2016-06-04 10:38:10"/>
    <d v="1899-12-30T00:00:10"/>
    <s v="Lundi"/>
    <d v="1899-12-30T00:01:57"/>
    <s v="CARRIERE RAZEL BAGANGTE - CARRIERE RAZEL BAGANGTE"/>
    <s v=""/>
  </r>
  <r>
    <x v="2"/>
    <x v="1"/>
    <s v="2016-06-04 10:43:57"/>
    <s v="2016-06-04 10:45:44"/>
    <d v="1899-12-30T00:01:47"/>
    <s v="Lundi"/>
    <d v="1899-12-30T00:05:47"/>
    <s v="CARRIERE RAZEL BAGANGTE - CARRIERE RAZEL BAGANGTE"/>
    <s v=""/>
  </r>
  <r>
    <x v="2"/>
    <x v="1"/>
    <s v="2016-06-04 10:51:22"/>
    <s v="2016-06-04 10:54:18"/>
    <d v="1899-12-30T00:02:56"/>
    <s v="Lundi"/>
    <d v="1899-12-30T00:05:38"/>
    <s v="CARRIERE RAZEL BAGANGTE - CARRIERE RAZEL BAGANGTE"/>
    <s v=""/>
  </r>
  <r>
    <x v="2"/>
    <x v="1"/>
    <s v="2016-06-04 10:58:52"/>
    <s v="2016-06-04 11:00:43"/>
    <d v="1899-12-30T00:01:51"/>
    <s v="Lundi"/>
    <d v="1899-12-30T00:04:34"/>
    <s v="CARRIERE RAZEL BAGANGTE - CARRIERE RAZEL BAGANGTE"/>
    <s v=""/>
  </r>
  <r>
    <x v="2"/>
    <x v="1"/>
    <s v="2016-06-04 11:05:35"/>
    <s v="2016-06-04 11:07:24"/>
    <d v="1899-12-30T00:01:49"/>
    <s v="Lundi"/>
    <d v="1899-12-30T00:04:52"/>
    <s v="CARRIERE RAZEL BAGANGTE - CARRIERE RAZEL BAGANGTE"/>
    <s v=""/>
  </r>
  <r>
    <x v="2"/>
    <x v="1"/>
    <s v="2016-06-04 11:11:37"/>
    <s v="2016-06-04 11:16:04"/>
    <d v="1899-12-30T00:04:27"/>
    <s v="Lundi"/>
    <d v="1899-12-30T00:04:13"/>
    <s v="CARRIERE RAZEL BAGANGTE - CARRIERE RAZEL BAGANGTE"/>
    <s v=""/>
  </r>
  <r>
    <x v="2"/>
    <x v="1"/>
    <s v="2016-06-04 11:20:13"/>
    <s v="2016-06-04 11:22:41"/>
    <d v="1899-12-30T00:02:28"/>
    <s v="Lundi"/>
    <d v="1899-12-30T00:04:09"/>
    <s v="CARRIERE RAZEL BAGANGTE - CARRIERE RAZEL BAGANGTE"/>
    <s v=""/>
  </r>
  <r>
    <x v="2"/>
    <x v="1"/>
    <s v="2016-06-04 11:29:31"/>
    <s v="2016-06-04 11:33:32"/>
    <d v="1899-12-30T00:04:01"/>
    <s v="Lundi"/>
    <d v="1899-12-30T00:06:50"/>
    <s v="CARRIERE RAZEL BAGANGTE - CARRIERE RAZEL BAGANGTE"/>
    <s v=""/>
  </r>
  <r>
    <x v="2"/>
    <x v="1"/>
    <s v="2016-06-04 11:43:42"/>
    <s v="2016-06-04 11:48:48"/>
    <d v="1899-12-30T00:05:06"/>
    <s v="Lundi"/>
    <d v="1899-12-30T00:10:10"/>
    <s v="CARRIERE RAZEL BAGANGTE - CARRIERE RAZEL BAGANGTE"/>
    <s v=""/>
  </r>
  <r>
    <x v="2"/>
    <x v="0"/>
    <s v="2016-06-04 12:20:49"/>
    <s v="2016-06-05 23:59:39"/>
    <d v="1899-12-31T11:38:50"/>
    <s v="Lundi"/>
    <d v="1899-12-30T00:32:01"/>
    <s v="CARRIERE RAZEL BAGANGTE - BASE RAZEL BAGANGTE"/>
    <s v=""/>
  </r>
  <r>
    <x v="3"/>
    <x v="1"/>
    <s v="2016-06-04 07:56:57"/>
    <s v="2016-06-04 08:25:47"/>
    <d v="1899-12-30T00:28:50"/>
    <s v="Mardi"/>
    <s v=""/>
    <s v=""/>
    <s v=""/>
  </r>
  <r>
    <x v="3"/>
    <x v="1"/>
    <s v="2016-06-04 08:28:47"/>
    <s v="2016-06-04 08:56:57"/>
    <d v="1899-12-30T00:28:10"/>
    <s v="Mardi"/>
    <d v="1899-12-30T00:03:00"/>
    <s v="CARRIERE RAZEL BAGANGTE - CARRIERE RAZEL BAGANGTE"/>
    <s v=""/>
  </r>
  <r>
    <x v="3"/>
    <x v="0"/>
    <s v="2016-06-04 09:30:57"/>
    <s v="2016-06-04 09:34:57"/>
    <d v="1899-12-30T00:04:00"/>
    <s v="Mardi"/>
    <d v="1899-12-30T00:34:00"/>
    <s v="CARRIERE RAZEL BAGANGTE - BASE RAZEL BAGANGTE"/>
    <s v=""/>
  </r>
  <r>
    <x v="3"/>
    <x v="0"/>
    <s v="2016-06-04 10:42:56"/>
    <s v="2016-06-04 10:53:07"/>
    <d v="1899-12-30T00:10:11"/>
    <s v="Mardi"/>
    <d v="1899-12-30T01:07:59"/>
    <s v="BASE RAZEL BAGANGTE - BASE RAZEL BAGANGTE"/>
    <s v=""/>
  </r>
  <r>
    <x v="3"/>
    <x v="0"/>
    <s v="2016-06-04 10:57:07"/>
    <s v="2016-06-05 23:59:41"/>
    <d v="1899-12-31T13:02:34"/>
    <s v="Mardi"/>
    <d v="1899-12-30T00:04:00"/>
    <s v="BASE RAZEL BAGANGTE - BASE RAZEL BAGANGTE"/>
    <s v=""/>
  </r>
  <r>
    <x v="10"/>
    <x v="5"/>
    <s v="2016-06-04 08:23:54"/>
    <s v="2016-06-04 08:36:54"/>
    <d v="1899-12-30T00:13:00"/>
    <s v="Mardi"/>
    <s v=""/>
    <s v=""/>
    <s v=""/>
  </r>
  <r>
    <x v="10"/>
    <x v="4"/>
    <s v="2016-06-04 09:40:54"/>
    <s v="2016-06-04 10:13:54"/>
    <d v="1899-12-30T00:33:00"/>
    <s v="Mardi"/>
    <d v="1899-12-30T01:04:00"/>
    <s v="DEPOT RAZEL YASSA - CARRIERE RAZEL LOGBADJECK"/>
    <s v=""/>
  </r>
  <r>
    <x v="10"/>
    <x v="5"/>
    <s v="2016-06-04 11:12:54"/>
    <s v="2016-06-04 11:22:56"/>
    <d v="1899-12-30T00:10:02"/>
    <s v="Mardi"/>
    <d v="1899-12-30T00:59:00"/>
    <s v="CARRIERE RAZEL LOGBADJECK - DEPOT RAZEL YASSA"/>
    <s v=""/>
  </r>
  <r>
    <x v="10"/>
    <x v="4"/>
    <s v="2016-06-04 12:22:56"/>
    <s v="2016-06-04 12:59:56"/>
    <d v="1899-12-30T00:37:00"/>
    <s v="Mardi"/>
    <d v="1899-12-30T01:00:00"/>
    <s v="DEPOT RAZEL YASSA - CARRIERE RAZEL LOGBADJECK"/>
    <s v=""/>
  </r>
  <r>
    <x v="10"/>
    <x v="5"/>
    <s v="2016-06-04 13:55:56"/>
    <s v="2016-06-04 14:07:56"/>
    <d v="1899-12-30T00:12:00"/>
    <s v="Mardi"/>
    <d v="1899-12-30T00:56:00"/>
    <s v="CARRIERE RAZEL LOGBADJECK - DEPOT RAZEL YASSA"/>
    <s v=""/>
  </r>
  <r>
    <x v="10"/>
    <x v="4"/>
    <s v="2016-06-04 15:12:56"/>
    <s v="2016-06-04 15:41:56"/>
    <d v="1899-12-30T00:29:00"/>
    <s v="Mardi"/>
    <d v="1899-12-30T01:05:00"/>
    <s v="DEPOT RAZEL YASSA - CARRIERE RAZEL LOGBADJECK"/>
    <s v=""/>
  </r>
  <r>
    <x v="10"/>
    <x v="5"/>
    <s v="2016-06-04 16:45:56"/>
    <s v="2016-06-04 16:59:56"/>
    <d v="1899-12-30T00:14:00"/>
    <s v="Mardi"/>
    <d v="1899-12-30T01:04:00"/>
    <s v="CARRIERE RAZEL LOGBADJECK - DEPOT RAZEL YASSA"/>
    <s v=""/>
  </r>
  <r>
    <x v="10"/>
    <x v="4"/>
    <s v="2016-06-04 17:45:56"/>
    <s v="2016-06-05 23:59:38"/>
    <d v="1899-12-31T06:13:42"/>
    <s v="Mardi"/>
    <d v="1899-12-30T00:46:00"/>
    <s v="DEPOT RAZEL YASSA - CARRIERE RAZEL LOGBADJECK"/>
    <s v=""/>
  </r>
  <r>
    <x v="4"/>
    <x v="8"/>
    <s v="2016-06-04 08:40:26"/>
    <s v="2016-06-04 09:57:50"/>
    <d v="1899-12-30T01:17:24"/>
    <s v="Mardi"/>
    <s v=""/>
    <s v=""/>
    <s v=""/>
  </r>
  <r>
    <x v="4"/>
    <x v="9"/>
    <s v="2016-06-04 10:47:10"/>
    <s v="2016-06-04 12:10:16"/>
    <d v="1899-12-30T01:23:06"/>
    <s v="Mardi"/>
    <d v="1899-12-30T00:49:20"/>
    <s v="BASE RAZEL WOURI - BASE RAZEL PENETRANTE EST"/>
    <s v=""/>
  </r>
  <r>
    <x v="11"/>
    <x v="4"/>
    <s v="2016-06-04 05:40:07"/>
    <s v="2016-06-04 06:55:22"/>
    <d v="1899-12-30T01:15:15"/>
    <s v="Mardi"/>
    <s v=""/>
    <s v=""/>
    <s v=""/>
  </r>
  <r>
    <x v="11"/>
    <x v="5"/>
    <s v="2016-06-04 07:52:22"/>
    <s v="2016-06-04 08:02:22"/>
    <d v="1899-12-30T00:10:00"/>
    <s v="Mardi"/>
    <d v="1899-12-30T00:57:00"/>
    <s v="CARRIERE RAZEL LOGBADJECK - DEPOT RAZEL YASSA"/>
    <s v=""/>
  </r>
  <r>
    <x v="11"/>
    <x v="4"/>
    <s v="2016-06-04 09:36:22"/>
    <s v="2016-06-04 10:06:22"/>
    <d v="1899-12-30T00:30:00"/>
    <s v="Mardi"/>
    <d v="1899-12-30T01:34:00"/>
    <s v="DEPOT RAZEL YASSA - CARRIERE RAZEL LOGBADJECK"/>
    <s v=""/>
  </r>
  <r>
    <x v="11"/>
    <x v="5"/>
    <s v="2016-06-04 11:01:22"/>
    <s v="2016-06-04 11:08:22"/>
    <d v="1899-12-30T00:07:00"/>
    <s v="Mardi"/>
    <d v="1899-12-30T00:55:00"/>
    <s v="CARRIERE RAZEL LOGBADJECK - DEPOT RAZEL YASSA"/>
    <s v=""/>
  </r>
  <r>
    <x v="11"/>
    <x v="4"/>
    <s v="2016-06-04 11:56:22"/>
    <s v="2016-06-04 12:22:24"/>
    <d v="1899-12-30T00:26:02"/>
    <s v="Mardi"/>
    <d v="1899-12-30T00:48:00"/>
    <s v="DEPOT RAZEL YASSA - CARRIERE RAZEL LOGBADJECK"/>
    <s v=""/>
  </r>
  <r>
    <x v="11"/>
    <x v="5"/>
    <s v="2016-06-04 13:19:24"/>
    <s v="2016-06-04 13:28:24"/>
    <d v="1899-12-30T00:09:00"/>
    <s v="Mardi"/>
    <d v="1899-12-30T00:57:00"/>
    <s v="CARRIERE RAZEL LOGBADJECK - DEPOT RAZEL YASSA"/>
    <s v=""/>
  </r>
  <r>
    <x v="11"/>
    <x v="4"/>
    <s v="2016-06-04 14:29:24"/>
    <s v="2016-06-04 15:01:24"/>
    <d v="1899-12-30T00:32:00"/>
    <s v="Mardi"/>
    <d v="1899-12-30T01:01:00"/>
    <s v="DEPOT RAZEL YASSA - CARRIERE RAZEL LOGBADJECK"/>
    <s v=""/>
  </r>
  <r>
    <x v="11"/>
    <x v="5"/>
    <s v="2016-06-04 15:55:24"/>
    <s v="2016-06-05 23:42:41"/>
    <d v="1899-12-31T07:47:17"/>
    <s v="Mardi"/>
    <d v="1899-12-30T00:54:00"/>
    <s v="CARRIERE RAZEL LOGBADJECK - DEPOT RAZEL YASSA"/>
    <s v=""/>
  </r>
  <r>
    <x v="5"/>
    <x v="3"/>
    <s v="2016-06-04 07:22:39"/>
    <s v="2016-06-04 08:26:47"/>
    <d v="1899-12-30T01:04:08"/>
    <s v="Mardi"/>
    <s v=""/>
    <s v=""/>
    <s v=""/>
  </r>
  <r>
    <x v="5"/>
    <x v="2"/>
    <s v="2016-06-04 09:30:58"/>
    <s v="2016-06-04 09:43:47"/>
    <d v="1899-12-30T00:12:49"/>
    <s v="Mardi"/>
    <d v="1899-12-30T01:04:11"/>
    <s v="CARRIERE RAZEL NKOMETOU - BASE RAZEL PREFECTURE"/>
    <s v=""/>
  </r>
  <r>
    <x v="5"/>
    <x v="3"/>
    <s v="2016-06-04 10:23:12"/>
    <s v="2016-06-04 10:50:58"/>
    <d v="1899-12-30T00:27:46"/>
    <s v="Mardi"/>
    <d v="1899-12-30T00:39:25"/>
    <s v="BASE RAZEL PREFECTURE - CARRIERE RAZEL NKOMETOU"/>
    <s v=""/>
  </r>
  <r>
    <x v="5"/>
    <x v="2"/>
    <s v="2016-06-04 11:37:56"/>
    <s v="2016-06-04 11:52:56"/>
    <d v="1899-12-30T00:15:00"/>
    <s v="Mardi"/>
    <d v="1899-12-30T00:46:58"/>
    <s v="CARRIERE RAZEL NKOMETOU - BASE RAZEL PREFECTURE"/>
    <s v=""/>
  </r>
  <r>
    <x v="5"/>
    <x v="3"/>
    <s v="2016-06-04 12:41:04"/>
    <s v="2016-06-04 13:07:21"/>
    <d v="1899-12-30T00:26:17"/>
    <s v="Mardi"/>
    <d v="1899-12-30T00:48:08"/>
    <s v="BASE RAZEL PREFECTURE - CARRIERE RAZEL NKOMETOU"/>
    <s v=""/>
  </r>
  <r>
    <x v="5"/>
    <x v="2"/>
    <s v="2016-06-04 13:53:36"/>
    <s v="2016-06-05 23:56:36"/>
    <d v="1899-12-31T10:03:00"/>
    <s v="Mardi"/>
    <d v="1899-12-30T00:46:15"/>
    <s v="CARRIERE RAZEL NKOMETOU - BASE RAZEL PREFECTURE"/>
    <s v=""/>
  </r>
  <r>
    <x v="6"/>
    <x v="5"/>
    <s v="2016-06-04 07:54:27"/>
    <s v="2016-06-04 08:04:27"/>
    <d v="1899-12-30T00:10:00"/>
    <s v="Mardi"/>
    <s v=""/>
    <s v=""/>
    <s v=""/>
  </r>
  <r>
    <x v="6"/>
    <x v="4"/>
    <s v="2016-06-04 09:18:27"/>
    <s v="2016-06-04 10:07:27"/>
    <d v="1899-12-30T00:49:00"/>
    <s v="Mardi"/>
    <d v="1899-12-30T01:14:00"/>
    <s v="DEPOT RAZEL YASSA - CARRIERE RAZEL LOGBADJECK"/>
    <s v=""/>
  </r>
  <r>
    <x v="6"/>
    <x v="5"/>
    <s v="2016-06-04 11:06:27"/>
    <s v="2016-06-04 11:17:27"/>
    <d v="1899-12-30T00:11:00"/>
    <s v="Mardi"/>
    <d v="1899-12-30T00:59:00"/>
    <s v="CARRIERE RAZEL LOGBADJECK - DEPOT RAZEL YASSA"/>
    <s v=""/>
  </r>
  <r>
    <x v="6"/>
    <x v="4"/>
    <s v="2016-06-04 12:24:28"/>
    <s v="2016-06-04 13:07:28"/>
    <d v="1899-12-30T00:43:00"/>
    <s v="Mardi"/>
    <d v="1899-12-30T01:07:01"/>
    <s v="DEPOT RAZEL YASSA - CARRIERE RAZEL LOGBADJECK"/>
    <s v=""/>
  </r>
  <r>
    <x v="6"/>
    <x v="5"/>
    <s v="2016-06-04 14:10:28"/>
    <s v="2016-06-04 14:23:28"/>
    <d v="1899-12-30T00:13:00"/>
    <s v="Mardi"/>
    <d v="1899-12-30T01:03:00"/>
    <s v="CARRIERE RAZEL LOGBADJECK - DEPOT RAZEL YASSA"/>
    <s v=""/>
  </r>
  <r>
    <x v="6"/>
    <x v="4"/>
    <s v="2016-06-04 15:58:29"/>
    <s v="2016-06-05 02:10:27"/>
    <d v="1899-12-30T10:11:58"/>
    <s v="Mardi"/>
    <d v="1899-12-30T01:35:01"/>
    <s v="DEPOT RAZEL YASSA - CARRIERE RAZEL LOGBADJECK"/>
    <s v=""/>
  </r>
  <r>
    <x v="9"/>
    <x v="7"/>
    <s v="2016-06-04 07:36:31"/>
    <s v="2016-06-04 07:44:15"/>
    <d v="1899-12-30T00:07:44"/>
    <s v="Mardi"/>
    <s v=""/>
    <s v=""/>
    <s v=""/>
  </r>
  <r>
    <x v="9"/>
    <x v="7"/>
    <s v="2016-06-04 08:16:08"/>
    <s v="2016-06-04 08:16:48"/>
    <d v="1899-12-30T00:00:40"/>
    <s v="Mardi"/>
    <d v="1899-12-30T00:31:53"/>
    <s v="BASE RAZEL OLEMBE - BASE RAZEL OLEMBE"/>
    <s v=""/>
  </r>
  <r>
    <x v="12"/>
    <x v="3"/>
    <s v="2016-05-28 15:09:51"/>
    <s v="2016-05-30 08:48:43"/>
    <d v="1899-12-31T17:38:52"/>
    <s v="Mardi"/>
    <s v=""/>
    <s v=""/>
    <s v=""/>
  </r>
  <r>
    <x v="12"/>
    <x v="2"/>
    <s v="2016-05-30 09:39:15"/>
    <s v="2016-05-30 09:45:57"/>
    <d v="1899-12-30T00:06:42"/>
    <s v="Mardi"/>
    <d v="1899-12-30T00:50:32"/>
    <s v="CARRIERE RAZEL NKOMETOU - BASE RAZEL PREFECTURE"/>
    <s v=""/>
  </r>
  <r>
    <x v="12"/>
    <x v="3"/>
    <s v="2016-05-30 10:19:06"/>
    <s v="2016-05-30 10:42:44"/>
    <d v="1899-12-30T00:23:38"/>
    <s v="Mardi"/>
    <d v="1899-12-30T00:33:09"/>
    <s v="BASE RAZEL PREFECTURE - CARRIERE RAZEL NKOMETOU"/>
    <s v=""/>
  </r>
  <r>
    <x v="12"/>
    <x v="2"/>
    <s v="2016-05-30 12:09:38"/>
    <s v="2016-05-30 12:14:06"/>
    <d v="1899-12-30T00:04:28"/>
    <s v="Mardi"/>
    <d v="1899-12-30T01:26:54"/>
    <s v="CARRIERE RAZEL NKOMETOU - BASE RAZEL PREFECTURE"/>
    <s v=""/>
  </r>
  <r>
    <x v="12"/>
    <x v="2"/>
    <s v="2016-05-30 12:14:36"/>
    <s v="2016-05-30 12:15:08"/>
    <d v="1899-12-30T00:00:32"/>
    <s v="Mardi"/>
    <d v="1899-12-30T00:00:30"/>
    <s v="BASE RAZEL PREFECTURE - BASE RAZEL PREFECTURE"/>
    <s v=""/>
  </r>
  <r>
    <x v="12"/>
    <x v="3"/>
    <s v="2016-05-30 13:18:37"/>
    <s v="2016-05-30 14:09:24"/>
    <d v="1899-12-30T00:50:47"/>
    <s v="Mardi"/>
    <d v="1899-12-30T01:03:29"/>
    <s v="BASE RAZEL PREFECTURE - CARRIERE RAZEL NKOMETOU"/>
    <s v=""/>
  </r>
  <r>
    <x v="12"/>
    <x v="2"/>
    <s v="2016-05-30 14:59:24"/>
    <s v="2016-05-30 15:04:17"/>
    <d v="1899-12-30T00:04:53"/>
    <s v="Mardi"/>
    <d v="1899-12-30T00:50:00"/>
    <s v="CARRIERE RAZEL NKOMETOU - BASE RAZEL PREFECTURE"/>
    <s v=""/>
  </r>
  <r>
    <x v="12"/>
    <x v="3"/>
    <s v="2016-05-30 15:58:47"/>
    <s v="2016-05-30 16:38:34"/>
    <d v="1899-12-30T00:39:47"/>
    <s v="Mardi"/>
    <d v="1899-12-30T00:54:30"/>
    <s v="BASE RAZEL PREFECTURE - CARRIERE RAZEL NKOMETOU"/>
    <s v="02:27:07"/>
  </r>
  <r>
    <x v="12"/>
    <x v="2"/>
    <s v="2016-05-30 17:22:01"/>
    <s v="2016-05-30 17:27:57"/>
    <d v="1899-12-30T00:05:56"/>
    <s v="Mardi"/>
    <d v="1899-12-30T00:43:27"/>
    <s v="CARRIERE RAZEL NKOMETOU - BASE RAZEL PREFECTURE"/>
    <s v="02:27:07"/>
  </r>
  <r>
    <x v="12"/>
    <x v="3"/>
    <s v="2016-05-30 18:08:08"/>
    <s v="2016-05-31 08:38:55"/>
    <d v="1899-12-30T14:30:47"/>
    <s v="Mardi"/>
    <d v="1899-12-30T00:40:11"/>
    <s v="BASE RAZEL PREFECTURE - CARRIERE RAZEL NKOMETOU"/>
    <s v="02:27:07"/>
  </r>
  <r>
    <x v="13"/>
    <x v="10"/>
    <s v="2016-05-28 12:47:46"/>
    <s v="2016-05-30 12:53:32"/>
    <d v="1900-01-01T00:05:46"/>
    <s v="Mardi"/>
    <s v=""/>
    <s v=""/>
    <s v="01:19:33"/>
  </r>
  <r>
    <x v="13"/>
    <x v="5"/>
    <s v="2016-05-30 13:59:09"/>
    <s v="2016-05-30 14:36:02"/>
    <d v="1899-12-30T00:36:53"/>
    <s v="Mardi"/>
    <d v="1899-12-30T01:05:37"/>
    <s v="CARRIERE LOGBADJECK - DEPOT RAZEL YASSA"/>
    <s v="01:19:33"/>
  </r>
  <r>
    <x v="13"/>
    <x v="10"/>
    <s v="2016-05-30 15:35:05"/>
    <s v="2016-05-30 16:34:53"/>
    <d v="1899-12-30T00:59:48"/>
    <s v="Mardi"/>
    <d v="1899-12-30T00:59:03"/>
    <s v="DEPOT RAZEL YASSA - CARRIERE LOGBADJECK"/>
    <s v="01:19:33"/>
  </r>
  <r>
    <x v="13"/>
    <x v="5"/>
    <s v="2016-05-30 17:36:12"/>
    <s v="2016-05-30 17:45:35"/>
    <d v="1899-12-30T00:09:23"/>
    <s v="Mardi"/>
    <d v="1899-12-30T01:01:19"/>
    <s v="CARRIERE LOGBADJECK - DEPOT RAZEL YASSA"/>
    <s v="01:19:33"/>
  </r>
  <r>
    <x v="13"/>
    <x v="10"/>
    <s v="2016-05-30 18:38:56"/>
    <s v="2016-05-31 08:28:33"/>
    <d v="1899-12-30T13:49:37"/>
    <s v="Mardi"/>
    <d v="1899-12-30T00:53:21"/>
    <s v="DEPOT RAZEL YASSA - CARRIERE LOGBADJECK"/>
    <s v="01:19:33"/>
  </r>
  <r>
    <x v="14"/>
    <x v="8"/>
    <s v="2016-05-28 13:54:50"/>
    <s v="2016-05-31 08:31:02"/>
    <d v="1900-01-01T18:36:12"/>
    <s v="Mardi"/>
    <s v=""/>
    <s v=""/>
    <s v="00:29:40"/>
  </r>
  <r>
    <x v="15"/>
    <x v="8"/>
    <s v="2016-05-27 19:42:59"/>
    <s v="2016-05-30 07:41:24"/>
    <d v="1900-01-01T11:58:25"/>
    <s v="Mardi"/>
    <s v=""/>
    <s v=""/>
    <s v=""/>
  </r>
  <r>
    <x v="16"/>
    <x v="8"/>
    <s v="2016-05-28 14:41:25"/>
    <s v="2016-05-30 08:28:08"/>
    <d v="1899-12-31T17:46:43"/>
    <s v="Mardi"/>
    <s v=""/>
    <s v=""/>
    <s v=""/>
  </r>
  <r>
    <x v="16"/>
    <x v="11"/>
    <s v="2016-05-30 08:50:18"/>
    <s v="2016-05-30 08:50:47"/>
    <d v="1899-12-30T00:00:29"/>
    <s v="Mardi"/>
    <d v="1899-12-30T00:22:10"/>
    <s v="BASE RAZEL WOURI - AEROPORT DE DOUALA"/>
    <s v=""/>
  </r>
  <r>
    <x v="16"/>
    <x v="12"/>
    <s v="2016-05-30 19:02:16"/>
    <s v="2016-05-31 08:54:30"/>
    <d v="1899-12-30T13:52:14"/>
    <s v="Mardi"/>
    <d v="1899-12-30T10:11:29"/>
    <s v="AEROPORT DE DOUALA - BASE RAZEL AEROPORT"/>
    <s v=""/>
  </r>
  <r>
    <x v="17"/>
    <x v="12"/>
    <s v="2016-05-28 12:45:21"/>
    <s v="2016-05-30 05:23:59"/>
    <d v="1899-12-31T16:38:38"/>
    <s v="Mardi"/>
    <s v=""/>
    <s v=""/>
    <s v=""/>
  </r>
  <r>
    <x v="17"/>
    <x v="10"/>
    <s v="2016-05-30 06:42:02"/>
    <s v="2016-05-30 08:56:18"/>
    <d v="1899-12-30T02:14:16"/>
    <s v="Mardi"/>
    <d v="1899-12-30T01:18:03"/>
    <s v="BASE RAZEL AEROPORT - CARRIERE LOGBADJECK"/>
    <s v=""/>
  </r>
  <r>
    <x v="17"/>
    <x v="12"/>
    <s v="2016-05-30 10:52:21"/>
    <s v="2016-05-30 10:54:42"/>
    <d v="1899-12-30T00:02:21"/>
    <s v="Mardi"/>
    <d v="1899-12-30T01:56:03"/>
    <s v="CARRIERE LOGBADJECK - BASE RAZEL AEROPORT"/>
    <s v=""/>
  </r>
  <r>
    <x v="17"/>
    <x v="11"/>
    <s v="2016-05-30 10:56:13"/>
    <s v="2016-05-30 10:59:51"/>
    <d v="1899-12-30T00:03:38"/>
    <s v="Mardi"/>
    <d v="1899-12-30T00:01:31"/>
    <s v="BASE RAZEL AEROPORT - AEROPORT DE DOUALA"/>
    <s v=""/>
  </r>
  <r>
    <x v="17"/>
    <x v="11"/>
    <s v="2016-05-30 11:08:04"/>
    <s v="2016-05-30 11:31:31"/>
    <d v="1899-12-30T00:23:27"/>
    <s v="Mardi"/>
    <d v="1899-12-30T00:08:13"/>
    <s v="AEROPORT DE DOUALA - AEROPORT DE DOUALA"/>
    <s v=""/>
  </r>
  <r>
    <x v="17"/>
    <x v="11"/>
    <s v="2016-05-30 11:40:03"/>
    <s v="2016-05-30 11:40:36"/>
    <d v="1899-12-30T00:00:33"/>
    <s v="Mardi"/>
    <d v="1899-12-30T00:08:32"/>
    <s v="AEROPORT DE DOUALA - AEROPORT DE DOUALA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95">
  <r>
    <x v="0"/>
    <x v="0"/>
    <s v="2016-05-30 00:42:32"/>
    <s v="2016-05-30 06:48:50"/>
    <d v="1899-12-30T06:06:18"/>
    <x v="0"/>
    <s v=""/>
    <x v="0"/>
    <s v=""/>
    <x v="0"/>
    <s v="2016-05-30 17:49:49"/>
    <d v="1899-12-30T11:00:59"/>
    <d v="1899-12-30T06:06:18"/>
    <x v="0"/>
  </r>
  <r>
    <x v="0"/>
    <x v="0"/>
    <s v="2016-05-30 17:49:49"/>
    <s v="2016-05-31 07:46:41"/>
    <d v="1899-12-30T13:56:52"/>
    <x v="0"/>
    <d v="1899-12-30T11:00:59"/>
    <x v="1"/>
    <d v="1899-12-30T00:00:00"/>
    <x v="1"/>
    <s v=""/>
    <s v=""/>
    <s v=""/>
    <x v="1"/>
  </r>
  <r>
    <x v="1"/>
    <x v="0"/>
    <s v="2016-05-30 00:52:00"/>
    <s v="2016-05-30 06:48:51"/>
    <d v="1899-12-30T05:56:51"/>
    <x v="0"/>
    <s v=""/>
    <x v="0"/>
    <d v="1899-12-30T00:00:00"/>
    <x v="2"/>
    <s v="2016-05-30 17:47:42"/>
    <d v="1899-12-30T10:58:51"/>
    <d v="1899-12-30T05:56:51"/>
    <x v="0"/>
  </r>
  <r>
    <x v="1"/>
    <x v="0"/>
    <s v="2016-05-30 17:47:42"/>
    <s v="2016-05-31 07:34:18"/>
    <d v="1899-12-30T13:46:36"/>
    <x v="0"/>
    <d v="1899-12-30T10:58:51"/>
    <x v="1"/>
    <d v="1899-12-30T00:00:00"/>
    <x v="1"/>
    <s v=""/>
    <s v=""/>
    <s v=""/>
    <x v="1"/>
  </r>
  <r>
    <x v="2"/>
    <x v="0"/>
    <s v="2016-05-30 00:32:52"/>
    <s v="2016-05-30 08:21:54"/>
    <d v="1899-12-30T07:49:02"/>
    <x v="0"/>
    <s v=""/>
    <x v="0"/>
    <d v="1899-12-30T00:00:00"/>
    <x v="3"/>
    <s v="2016-05-30 08:40:54"/>
    <d v="1899-12-30T00:19:00"/>
    <d v="1899-12-30T07:49:02"/>
    <x v="2"/>
  </r>
  <r>
    <x v="2"/>
    <x v="1"/>
    <s v="2016-05-30 08:40:54"/>
    <s v="2016-05-30 08:50:30"/>
    <d v="1899-12-30T00:09:36"/>
    <x v="0"/>
    <d v="1899-12-30T00:19:00"/>
    <x v="2"/>
    <d v="1899-12-30T00:00:00"/>
    <x v="4"/>
    <s v="2016-05-30 08:53:30"/>
    <d v="1899-12-30T00:03:00"/>
    <d v="1899-12-30T00:09:36"/>
    <x v="3"/>
  </r>
  <r>
    <x v="2"/>
    <x v="1"/>
    <s v="2016-05-30 08:53:30"/>
    <s v="2016-05-30 09:02:30"/>
    <d v="1899-12-30T00:09:00"/>
    <x v="0"/>
    <d v="1899-12-30T00:03:00"/>
    <x v="3"/>
    <d v="1899-12-30T00:00:00"/>
    <x v="1"/>
    <s v=""/>
    <s v=""/>
    <s v=""/>
    <x v="1"/>
  </r>
  <r>
    <x v="3"/>
    <x v="0"/>
    <s v="2016-05-30 00:31:14"/>
    <s v="2016-05-30 08:26:58"/>
    <d v="1899-12-30T07:55:44"/>
    <x v="0"/>
    <s v=""/>
    <x v="0"/>
    <s v=""/>
    <x v="5"/>
    <s v="2016-05-30 11:40:58"/>
    <d v="1899-12-30T03:14:00"/>
    <d v="1899-12-30T07:55:44"/>
    <x v="2"/>
  </r>
  <r>
    <x v="3"/>
    <x v="1"/>
    <s v="2016-05-30 11:40:58"/>
    <s v="2016-05-30 11:54:59"/>
    <d v="1899-12-30T00:14:01"/>
    <x v="0"/>
    <d v="1899-12-30T03:14:00"/>
    <x v="2"/>
    <s v=""/>
    <x v="6"/>
    <s v="2016-05-30 13:25:59"/>
    <d v="1899-12-30T01:31:00"/>
    <d v="1899-12-30T00:14:01"/>
    <x v="4"/>
  </r>
  <r>
    <x v="3"/>
    <x v="0"/>
    <s v="2016-05-30 13:25:59"/>
    <s v="2016-05-31 07:34:08"/>
    <d v="1899-12-30T18:08:09"/>
    <x v="0"/>
    <d v="1899-12-30T01:31:00"/>
    <x v="4"/>
    <s v=""/>
    <x v="1"/>
    <s v=""/>
    <s v=""/>
    <s v=""/>
    <x v="1"/>
  </r>
  <r>
    <x v="4"/>
    <x v="2"/>
    <s v="2016-05-30 06:57:11"/>
    <s v="2016-05-30 08:35:30"/>
    <d v="1899-12-30T01:38:19"/>
    <x v="0"/>
    <s v=""/>
    <x v="0"/>
    <d v="1899-12-30T00:00:00"/>
    <x v="7"/>
    <s v="2016-05-30 08:36:30"/>
    <d v="1899-12-30T00:01:00"/>
    <d v="1899-12-30T01:38:19"/>
    <x v="5"/>
  </r>
  <r>
    <x v="4"/>
    <x v="2"/>
    <s v="2016-05-30 08:36:30"/>
    <s v="2016-05-30 16:52:48"/>
    <d v="1899-12-30T08:16:18"/>
    <x v="0"/>
    <d v="1899-12-30T00:01:00"/>
    <x v="5"/>
    <d v="1899-12-30T00:00:00"/>
    <x v="1"/>
    <s v=""/>
    <s v=""/>
    <s v=""/>
    <x v="1"/>
  </r>
  <r>
    <x v="5"/>
    <x v="2"/>
    <s v="2016-05-30 00:28:57"/>
    <s v="2016-05-30 05:54:59"/>
    <d v="1899-12-30T05:26:02"/>
    <x v="0"/>
    <s v=""/>
    <x v="0"/>
    <s v=""/>
    <x v="8"/>
    <s v="2016-05-30 06:32:59"/>
    <d v="1899-12-30T00:38:00"/>
    <d v="1899-12-30T05:26:02"/>
    <x v="6"/>
  </r>
  <r>
    <x v="5"/>
    <x v="3"/>
    <s v="2016-05-30 06:32:59"/>
    <s v="2016-05-30 07:42:52"/>
    <d v="1899-12-30T01:09:53"/>
    <x v="0"/>
    <d v="1899-12-30T00:38:00"/>
    <x v="6"/>
    <s v=""/>
    <x v="9"/>
    <s v="2016-05-30 08:33:52"/>
    <d v="1899-12-30T00:51:00"/>
    <d v="1899-12-30T01:09:53"/>
    <x v="7"/>
  </r>
  <r>
    <x v="5"/>
    <x v="2"/>
    <s v="2016-05-30 08:33:52"/>
    <s v="2016-05-30 08:38:52"/>
    <d v="1899-12-30T00:05:00"/>
    <x v="0"/>
    <d v="1899-12-30T00:51:00"/>
    <x v="7"/>
    <s v=""/>
    <x v="10"/>
    <s v="2016-05-30 09:15:52"/>
    <d v="1899-12-30T00:37:00"/>
    <d v="1899-12-30T00:05:00"/>
    <x v="6"/>
  </r>
  <r>
    <x v="5"/>
    <x v="3"/>
    <s v="2016-05-30 09:15:52"/>
    <s v="2016-05-30 09:36:54"/>
    <d v="1899-12-30T00:21:02"/>
    <x v="0"/>
    <d v="1899-12-30T00:37:00"/>
    <x v="6"/>
    <s v=""/>
    <x v="11"/>
    <s v="2016-05-30 11:09:26"/>
    <d v="1899-12-30T01:32:32"/>
    <d v="1899-12-30T00:21:02"/>
    <x v="7"/>
  </r>
  <r>
    <x v="5"/>
    <x v="2"/>
    <s v="2016-05-30 11:09:26"/>
    <s v="2016-05-30 11:13:54"/>
    <d v="1899-12-30T00:04:28"/>
    <x v="0"/>
    <d v="1899-12-30T01:32:32"/>
    <x v="7"/>
    <s v=""/>
    <x v="12"/>
    <s v="2016-05-30 11:56:54"/>
    <d v="1899-12-30T00:43:00"/>
    <d v="1899-12-30T00:04:28"/>
    <x v="6"/>
  </r>
  <r>
    <x v="5"/>
    <x v="3"/>
    <s v="2016-05-30 11:56:54"/>
    <s v="2016-05-30 13:10:54"/>
    <d v="1899-12-30T01:14:00"/>
    <x v="0"/>
    <d v="1899-12-30T00:43:00"/>
    <x v="6"/>
    <s v=""/>
    <x v="13"/>
    <s v="2016-05-30 14:15:54"/>
    <d v="1899-12-30T01:05:00"/>
    <d v="1899-12-30T01:14:00"/>
    <x v="7"/>
  </r>
  <r>
    <x v="5"/>
    <x v="2"/>
    <s v="2016-05-30 14:15:54"/>
    <s v="2016-05-30 14:25:54"/>
    <d v="1899-12-30T00:10:00"/>
    <x v="0"/>
    <d v="1899-12-30T01:05:00"/>
    <x v="7"/>
    <s v=""/>
    <x v="14"/>
    <s v="2016-05-30 15:02:54"/>
    <d v="1899-12-30T00:37:00"/>
    <d v="1899-12-30T00:10:00"/>
    <x v="6"/>
  </r>
  <r>
    <x v="5"/>
    <x v="3"/>
    <s v="2016-05-30 15:02:54"/>
    <s v="2016-05-30 15:34:54"/>
    <d v="1899-12-30T00:32:00"/>
    <x v="0"/>
    <d v="1899-12-30T00:37:00"/>
    <x v="6"/>
    <s v=""/>
    <x v="15"/>
    <s v="2016-05-30 16:46:54"/>
    <d v="1899-12-30T01:12:00"/>
    <d v="1899-12-30T00:32:00"/>
    <x v="7"/>
  </r>
  <r>
    <x v="5"/>
    <x v="2"/>
    <s v="2016-05-30 16:46:54"/>
    <s v="2016-05-30 16:51:42"/>
    <d v="1899-12-30T00:04:48"/>
    <x v="0"/>
    <d v="1899-12-30T01:12:00"/>
    <x v="7"/>
    <s v=""/>
    <x v="16"/>
    <s v="2016-05-30 17:31:54"/>
    <d v="1899-12-30T00:40:12"/>
    <d v="1899-12-30T00:04:48"/>
    <x v="6"/>
  </r>
  <r>
    <x v="5"/>
    <x v="3"/>
    <s v="2016-05-30 17:31:54"/>
    <s v="2016-05-31 07:51:23"/>
    <d v="1899-12-30T14:19:29"/>
    <x v="0"/>
    <d v="1899-12-30T00:40:12"/>
    <x v="6"/>
    <s v=""/>
    <x v="1"/>
    <s v=""/>
    <s v=""/>
    <s v=""/>
    <x v="1"/>
  </r>
  <r>
    <x v="6"/>
    <x v="4"/>
    <s v="2016-05-30 06:29:23"/>
    <s v="2016-05-30 07:42:47"/>
    <d v="1899-12-30T01:13:24"/>
    <x v="0"/>
    <s v=""/>
    <x v="0"/>
    <s v="03:24:50"/>
    <x v="17"/>
    <s v="2016-05-30 08:35:47"/>
    <d v="1899-12-30T00:53:00"/>
    <d v="1899-12-30T01:13:24"/>
    <x v="8"/>
  </r>
  <r>
    <x v="6"/>
    <x v="5"/>
    <s v="2016-05-30 08:35:47"/>
    <s v="2016-05-30 08:44:47"/>
    <d v="1899-12-30T00:09:00"/>
    <x v="0"/>
    <d v="1899-12-30T00:53:00"/>
    <x v="8"/>
    <s v="03:24:50"/>
    <x v="18"/>
    <s v="2016-05-30 10:19:47"/>
    <d v="1899-12-30T01:35:00"/>
    <d v="1899-12-30T00:09:00"/>
    <x v="9"/>
  </r>
  <r>
    <x v="6"/>
    <x v="4"/>
    <s v="2016-05-30 10:19:47"/>
    <s v="2016-05-30 11:34:49"/>
    <d v="1899-12-30T01:15:02"/>
    <x v="0"/>
    <d v="1899-12-30T01:35:00"/>
    <x v="9"/>
    <s v="03:24:50"/>
    <x v="19"/>
    <s v="2016-05-30 12:27:49"/>
    <d v="1899-12-30T00:53:00"/>
    <d v="1899-12-30T01:15:02"/>
    <x v="8"/>
  </r>
  <r>
    <x v="6"/>
    <x v="5"/>
    <s v="2016-05-30 12:27:49"/>
    <s v="2016-05-30 12:46:49"/>
    <d v="1899-12-30T00:19:00"/>
    <x v="0"/>
    <d v="1899-12-30T00:53:00"/>
    <x v="8"/>
    <s v="03:24:50"/>
    <x v="20"/>
    <s v="2016-05-30 14:39:49"/>
    <d v="1899-12-30T01:53:00"/>
    <d v="1899-12-30T00:19:00"/>
    <x v="9"/>
  </r>
  <r>
    <x v="6"/>
    <x v="4"/>
    <s v="2016-05-30 14:39:49"/>
    <s v="2016-05-30 15:31:49"/>
    <d v="1899-12-30T00:52:00"/>
    <x v="0"/>
    <d v="1899-12-30T01:53:00"/>
    <x v="9"/>
    <s v="03:24:50"/>
    <x v="21"/>
    <s v="2016-05-30 16:24:49"/>
    <d v="1899-12-30T00:53:00"/>
    <d v="1899-12-30T00:52:00"/>
    <x v="8"/>
  </r>
  <r>
    <x v="6"/>
    <x v="5"/>
    <s v="2016-05-30 16:24:49"/>
    <s v="2016-05-30 16:30:49"/>
    <d v="1899-12-30T00:06:00"/>
    <x v="0"/>
    <d v="1899-12-30T00:53:00"/>
    <x v="8"/>
    <s v="03:24:50"/>
    <x v="22"/>
    <s v="2016-05-30 17:32:49"/>
    <d v="1899-12-30T01:02:00"/>
    <d v="1899-12-30T00:06:00"/>
    <x v="9"/>
  </r>
  <r>
    <x v="6"/>
    <x v="4"/>
    <s v="2016-05-30 17:32:49"/>
    <s v="2016-05-31 07:24:30"/>
    <d v="1899-12-30T13:51:41"/>
    <x v="0"/>
    <d v="1899-12-30T01:02:00"/>
    <x v="9"/>
    <s v="03:24:50"/>
    <x v="1"/>
    <s v=""/>
    <s v=""/>
    <s v=""/>
    <x v="1"/>
  </r>
  <r>
    <x v="7"/>
    <x v="3"/>
    <s v="2016-05-30 07:52:41"/>
    <s v="2016-05-30 08:45:25"/>
    <d v="1899-12-30T00:52:44"/>
    <x v="0"/>
    <s v=""/>
    <x v="0"/>
    <s v=""/>
    <x v="23"/>
    <s v="2016-05-30 10:10:25"/>
    <d v="1899-12-30T01:25:00"/>
    <d v="1899-12-30T00:52:44"/>
    <x v="10"/>
  </r>
  <r>
    <x v="7"/>
    <x v="6"/>
    <s v="2016-05-30 10:10:25"/>
    <s v="2016-05-30 10:31:08"/>
    <d v="1899-12-30T00:20:43"/>
    <x v="0"/>
    <d v="1899-12-30T01:25:00"/>
    <x v="10"/>
    <s v=""/>
    <x v="24"/>
    <s v="2016-05-30 11:42:56"/>
    <d v="1899-12-30T01:11:48"/>
    <d v="1899-12-30T00:20:43"/>
    <x v="11"/>
  </r>
  <r>
    <x v="7"/>
    <x v="3"/>
    <s v="2016-05-30 11:42:56"/>
    <s v="2016-05-30 12:38:13"/>
    <d v="1899-12-30T00:55:17"/>
    <x v="0"/>
    <d v="1899-12-30T01:11:48"/>
    <x v="11"/>
    <s v=""/>
    <x v="25"/>
    <s v="2016-05-30 13:49:13"/>
    <d v="1899-12-30T01:11:00"/>
    <d v="1899-12-30T00:55:17"/>
    <x v="10"/>
  </r>
  <r>
    <x v="7"/>
    <x v="6"/>
    <s v="2016-05-30 13:49:13"/>
    <s v="2016-05-30 13:50:13"/>
    <d v="1899-12-30T00:01:00"/>
    <x v="0"/>
    <d v="1899-12-30T01:11:00"/>
    <x v="10"/>
    <s v=""/>
    <x v="26"/>
    <s v="2016-05-30 14:56:13"/>
    <d v="1899-12-30T01:06:00"/>
    <d v="1899-12-30T00:01:00"/>
    <x v="11"/>
  </r>
  <r>
    <x v="7"/>
    <x v="3"/>
    <s v="2016-05-30 14:56:13"/>
    <s v="2016-05-30 15:32:13"/>
    <d v="1899-12-30T00:36:00"/>
    <x v="0"/>
    <d v="1899-12-30T01:06:00"/>
    <x v="11"/>
    <s v=""/>
    <x v="27"/>
    <s v="2016-05-31 08:08:51"/>
    <d v="1899-12-30T16:36:38"/>
    <d v="1899-12-30T00:36:00"/>
    <x v="10"/>
  </r>
  <r>
    <x v="7"/>
    <x v="6"/>
    <s v="2016-05-31 08:08:51"/>
    <s v="2016-05-31 15:50:19"/>
    <d v="1899-12-30T07:41:28"/>
    <x v="1"/>
    <d v="1899-12-30T16:36:38"/>
    <x v="10"/>
    <s v=""/>
    <x v="1"/>
    <s v=""/>
    <s v=""/>
    <s v=""/>
    <x v="1"/>
  </r>
  <r>
    <x v="8"/>
    <x v="3"/>
    <s v="2016-05-30 09:09:27"/>
    <s v="2016-05-30 09:52:27"/>
    <d v="1899-12-30T00:43:00"/>
    <x v="0"/>
    <s v=""/>
    <x v="0"/>
    <d v="1899-12-30T00:00:00"/>
    <x v="28"/>
    <s v="2016-05-30 11:32:27"/>
    <d v="1899-12-30T01:40:00"/>
    <d v="1899-12-30T00:43:00"/>
    <x v="10"/>
  </r>
  <r>
    <x v="8"/>
    <x v="6"/>
    <s v="2016-05-30 11:32:27"/>
    <s v="2016-05-30 11:42:39"/>
    <d v="1899-12-30T00:10:12"/>
    <x v="0"/>
    <d v="1899-12-30T01:40:00"/>
    <x v="10"/>
    <s v=""/>
    <x v="29"/>
    <s v="2016-05-30 12:50:41"/>
    <d v="1899-12-30T01:08:02"/>
    <d v="1899-12-30T00:10:12"/>
    <x v="11"/>
  </r>
  <r>
    <x v="8"/>
    <x v="3"/>
    <s v="2016-05-30 12:50:41"/>
    <s v="2016-05-30 13:38:41"/>
    <d v="1899-12-30T00:48:00"/>
    <x v="0"/>
    <d v="1899-12-30T01:08:02"/>
    <x v="11"/>
    <s v=""/>
    <x v="30"/>
    <s v="2016-05-30 15:41:41"/>
    <d v="1899-12-30T02:03:00"/>
    <d v="1899-12-30T00:48:00"/>
    <x v="12"/>
  </r>
  <r>
    <x v="8"/>
    <x v="3"/>
    <s v="2016-05-30 15:41:41"/>
    <s v="2016-05-30 16:28:41"/>
    <d v="1899-12-30T00:47:00"/>
    <x v="0"/>
    <d v="1899-12-30T02:03:00"/>
    <x v="12"/>
    <s v=""/>
    <x v="1"/>
    <s v=""/>
    <s v=""/>
    <s v=""/>
    <x v="1"/>
  </r>
  <r>
    <x v="9"/>
    <x v="6"/>
    <s v="2016-05-30 07:03:58"/>
    <s v="2016-05-30 07:20:56"/>
    <d v="1899-12-30T00:16:58"/>
    <x v="0"/>
    <s v=""/>
    <x v="0"/>
    <s v=""/>
    <x v="31"/>
    <s v="2016-05-30 08:14:56"/>
    <d v="1899-12-30T00:54:00"/>
    <d v="1899-12-30T00:16:58"/>
    <x v="11"/>
  </r>
  <r>
    <x v="9"/>
    <x v="3"/>
    <s v="2016-05-30 08:14:56"/>
    <s v="2016-05-30 08:45:00"/>
    <d v="1899-12-30T00:30:04"/>
    <x v="0"/>
    <d v="1899-12-30T00:54:00"/>
    <x v="11"/>
    <s v=""/>
    <x v="32"/>
    <s v="2016-05-30 10:04:00"/>
    <d v="1899-12-30T01:19:00"/>
    <d v="1899-12-30T00:30:04"/>
    <x v="10"/>
  </r>
  <r>
    <x v="9"/>
    <x v="6"/>
    <s v="2016-05-30 10:04:00"/>
    <s v="2016-05-30 17:02:16"/>
    <d v="1899-12-30T06:58:16"/>
    <x v="0"/>
    <d v="1899-12-30T01:19:00"/>
    <x v="10"/>
    <s v=""/>
    <x v="1"/>
    <s v=""/>
    <s v=""/>
    <s v=""/>
    <x v="1"/>
  </r>
  <r>
    <x v="0"/>
    <x v="0"/>
    <s v="2016-05-31 17:34:50"/>
    <s v="2016-06-01 06:50:54"/>
    <d v="1899-12-30T13:16:04"/>
    <x v="0"/>
    <s v=""/>
    <x v="0"/>
    <s v=""/>
    <x v="1"/>
    <s v=""/>
    <s v=""/>
    <s v=""/>
    <x v="1"/>
  </r>
  <r>
    <x v="1"/>
    <x v="0"/>
    <s v="2016-05-31 17:55:05"/>
    <s v="2016-06-01 07:36:18"/>
    <d v="1899-12-30T13:41:13"/>
    <x v="0"/>
    <s v=""/>
    <x v="0"/>
    <s v=""/>
    <x v="1"/>
    <s v=""/>
    <s v=""/>
    <s v=""/>
    <x v="1"/>
  </r>
  <r>
    <x v="2"/>
    <x v="0"/>
    <s v="2016-05-31 17:50:45"/>
    <s v="2016-06-01 08:51:27"/>
    <d v="1899-12-30T15:00:42"/>
    <x v="0"/>
    <s v=""/>
    <x v="0"/>
    <s v=""/>
    <x v="1"/>
    <s v=""/>
    <s v=""/>
    <s v=""/>
    <x v="1"/>
  </r>
  <r>
    <x v="3"/>
    <x v="1"/>
    <s v="2016-05-31 08:51:59"/>
    <s v="2016-05-31 08:53:59"/>
    <d v="1899-12-30T00:02:00"/>
    <x v="0"/>
    <s v=""/>
    <x v="0"/>
    <s v=""/>
    <x v="33"/>
    <s v="2016-05-31 12:13:58"/>
    <d v="1899-12-30T03:19:59"/>
    <d v="1899-12-30T00:02:00"/>
    <x v="3"/>
  </r>
  <r>
    <x v="3"/>
    <x v="1"/>
    <s v="2016-05-31 12:13:58"/>
    <s v="2016-05-31 12:28:58"/>
    <d v="1899-12-30T00:15:00"/>
    <x v="0"/>
    <d v="1899-12-30T03:19:59"/>
    <x v="3"/>
    <s v=""/>
    <x v="34"/>
    <s v="2016-05-31 13:23:58"/>
    <d v="1899-12-30T00:55:00"/>
    <d v="1899-12-30T00:15:00"/>
    <x v="4"/>
  </r>
  <r>
    <x v="3"/>
    <x v="0"/>
    <s v="2016-05-31 13:23:58"/>
    <s v="2016-05-31 16:25:08"/>
    <d v="1899-12-30T03:01:10"/>
    <x v="0"/>
    <d v="1899-12-30T00:55:00"/>
    <x v="4"/>
    <s v=""/>
    <x v="35"/>
    <s v="2016-05-31 17:10:58"/>
    <d v="1899-12-30T00:45:50"/>
    <d v="1899-12-30T03:01:10"/>
    <x v="0"/>
  </r>
  <r>
    <x v="3"/>
    <x v="0"/>
    <s v="2016-05-31 17:10:58"/>
    <s v="2016-06-01 08:21:08"/>
    <d v="1899-12-30T15:10:10"/>
    <x v="0"/>
    <d v="1899-12-30T00:45:50"/>
    <x v="1"/>
    <s v=""/>
    <x v="1"/>
    <s v=""/>
    <s v=""/>
    <s v=""/>
    <x v="1"/>
  </r>
  <r>
    <x v="4"/>
    <x v="6"/>
    <s v="2016-05-31 07:19:30"/>
    <s v="2016-05-31 07:21:30"/>
    <d v="1899-12-30T00:02:00"/>
    <x v="0"/>
    <s v=""/>
    <x v="0"/>
    <s v=""/>
    <x v="36"/>
    <s v="2016-05-31 08:32:30"/>
    <d v="1899-12-30T01:11:00"/>
    <d v="1899-12-30T00:02:00"/>
    <x v="11"/>
  </r>
  <r>
    <x v="4"/>
    <x v="3"/>
    <s v="2016-05-31 08:32:30"/>
    <s v="2016-05-31 09:36:30"/>
    <d v="1899-12-30T01:04:00"/>
    <x v="0"/>
    <d v="1899-12-30T01:11:00"/>
    <x v="11"/>
    <s v=""/>
    <x v="37"/>
    <s v="2016-05-31 10:57:31"/>
    <d v="1899-12-30T01:21:01"/>
    <d v="1899-12-30T01:04:00"/>
    <x v="10"/>
  </r>
  <r>
    <x v="4"/>
    <x v="6"/>
    <s v="2016-05-31 10:57:31"/>
    <s v="2016-05-31 10:58:31"/>
    <d v="1899-12-30T00:01:00"/>
    <x v="0"/>
    <d v="1899-12-30T01:21:01"/>
    <x v="10"/>
    <s v=""/>
    <x v="1"/>
    <s v=""/>
    <s v=""/>
    <s v=""/>
    <x v="1"/>
  </r>
  <r>
    <x v="5"/>
    <x v="2"/>
    <s v="2016-05-31 08:44:24"/>
    <s v="2016-05-31 08:49:24"/>
    <d v="1899-12-30T00:05:00"/>
    <x v="0"/>
    <s v=""/>
    <x v="0"/>
    <s v=""/>
    <x v="38"/>
    <s v="2016-05-31 09:35:24"/>
    <d v="1899-12-30T00:46:00"/>
    <d v="1899-12-30T00:05:00"/>
    <x v="6"/>
  </r>
  <r>
    <x v="5"/>
    <x v="3"/>
    <s v="2016-05-31 09:35:24"/>
    <s v="2016-05-31 10:04:24"/>
    <d v="1899-12-30T00:29:00"/>
    <x v="0"/>
    <d v="1899-12-30T00:46:00"/>
    <x v="6"/>
    <s v=""/>
    <x v="39"/>
    <s v="2016-05-31 11:06:24"/>
    <d v="1899-12-30T01:02:00"/>
    <d v="1899-12-30T00:29:00"/>
    <x v="7"/>
  </r>
  <r>
    <x v="5"/>
    <x v="2"/>
    <s v="2016-05-31 11:06:24"/>
    <s v="2016-05-31 11:13:24"/>
    <d v="1899-12-30T00:07:00"/>
    <x v="0"/>
    <d v="1899-12-30T01:02:00"/>
    <x v="7"/>
    <s v=""/>
    <x v="40"/>
    <s v="2016-05-31 11:51:24"/>
    <d v="1899-12-30T00:38:00"/>
    <d v="1899-12-30T00:07:00"/>
    <x v="6"/>
  </r>
  <r>
    <x v="5"/>
    <x v="3"/>
    <s v="2016-05-31 11:51:24"/>
    <s v="2016-05-31 13:45:33"/>
    <d v="1899-12-30T01:54:09"/>
    <x v="0"/>
    <d v="1899-12-30T00:38:00"/>
    <x v="6"/>
    <s v=""/>
    <x v="41"/>
    <s v="2016-05-31 18:31:33"/>
    <d v="1899-12-30T04:46:00"/>
    <d v="1899-12-30T01:54:09"/>
    <x v="7"/>
  </r>
  <r>
    <x v="5"/>
    <x v="2"/>
    <s v="2016-05-31 18:31:33"/>
    <s v="2016-06-01 06:31:03"/>
    <d v="1899-12-30T11:59:30"/>
    <x v="0"/>
    <d v="1899-12-30T04:46:00"/>
    <x v="7"/>
    <s v=""/>
    <x v="1"/>
    <s v=""/>
    <s v=""/>
    <s v=""/>
    <x v="1"/>
  </r>
  <r>
    <x v="6"/>
    <x v="5"/>
    <s v="2016-05-31 08:16:30"/>
    <s v="2016-05-31 08:26:30"/>
    <d v="1899-12-30T00:10:00"/>
    <x v="0"/>
    <s v=""/>
    <x v="0"/>
    <s v=""/>
    <x v="42"/>
    <s v="2016-05-31 09:29:30"/>
    <d v="1899-12-30T01:03:00"/>
    <d v="1899-12-30T00:10:00"/>
    <x v="9"/>
  </r>
  <r>
    <x v="6"/>
    <x v="4"/>
    <s v="2016-05-31 09:29:30"/>
    <s v="2016-05-31 10:23:30"/>
    <d v="1899-12-30T00:54:00"/>
    <x v="0"/>
    <d v="1899-12-30T01:03:00"/>
    <x v="9"/>
    <s v=""/>
    <x v="43"/>
    <s v="2016-05-31 16:34:30"/>
    <d v="1899-12-30T06:11:00"/>
    <d v="1899-12-30T00:54:00"/>
    <x v="13"/>
  </r>
  <r>
    <x v="6"/>
    <x v="4"/>
    <s v="2016-05-31 16:34:30"/>
    <s v="2016-05-31 17:14:30"/>
    <d v="1899-12-30T00:40:00"/>
    <x v="0"/>
    <d v="1899-12-30T06:11:00"/>
    <x v="13"/>
    <s v=""/>
    <x v="44"/>
    <s v="2016-05-31 18:12:30"/>
    <d v="1899-12-30T00:58:00"/>
    <d v="1899-12-30T00:40:00"/>
    <x v="8"/>
  </r>
  <r>
    <x v="6"/>
    <x v="5"/>
    <s v="2016-05-31 18:12:30"/>
    <s v="2016-06-01 05:40:59"/>
    <d v="1899-12-30T11:28:29"/>
    <x v="0"/>
    <d v="1899-12-30T00:58:00"/>
    <x v="8"/>
    <s v=""/>
    <x v="1"/>
    <s v=""/>
    <s v=""/>
    <s v=""/>
    <x v="1"/>
  </r>
  <r>
    <x v="8"/>
    <x v="3"/>
    <s v="2016-05-31 09:32:44"/>
    <s v="2016-05-31 10:15:44"/>
    <d v="1899-12-30T00:43:00"/>
    <x v="0"/>
    <s v=""/>
    <x v="0"/>
    <s v=""/>
    <x v="1"/>
    <s v=""/>
    <s v=""/>
    <s v=""/>
    <x v="1"/>
  </r>
  <r>
    <x v="9"/>
    <x v="7"/>
    <s v="2016-05-31 08:24:01"/>
    <s v="2016-05-31 08:30:01"/>
    <d v="1899-12-30T00:06:00"/>
    <x v="0"/>
    <s v=""/>
    <x v="0"/>
    <s v=""/>
    <x v="45"/>
    <s v="2016-05-31 09:32:01"/>
    <d v="1899-12-30T01:02:00"/>
    <d v="1899-12-30T00:06:00"/>
    <x v="14"/>
  </r>
  <r>
    <x v="9"/>
    <x v="6"/>
    <s v="2016-05-31 09:32:01"/>
    <s v="2016-05-31 09:48:22"/>
    <d v="1899-12-30T00:16:21"/>
    <x v="0"/>
    <d v="1899-12-30T01:02:00"/>
    <x v="14"/>
    <s v=""/>
    <x v="1"/>
    <s v=""/>
    <s v=""/>
    <s v=""/>
    <x v="1"/>
  </r>
  <r>
    <x v="0"/>
    <x v="0"/>
    <s v="2016-06-01 17:56:35"/>
    <s v="2016-06-02 07:03:09"/>
    <d v="1899-12-30T13:06:34"/>
    <x v="0"/>
    <s v=""/>
    <x v="0"/>
    <s v=""/>
    <x v="1"/>
    <s v=""/>
    <s v=""/>
    <s v=""/>
    <x v="1"/>
  </r>
  <r>
    <x v="1"/>
    <x v="0"/>
    <s v="2016-06-01 16:35:00"/>
    <s v="2016-06-02 06:41:03"/>
    <d v="1899-12-30T14:06:03"/>
    <x v="0"/>
    <s v=""/>
    <x v="0"/>
    <s v=""/>
    <x v="1"/>
    <s v=""/>
    <s v=""/>
    <s v=""/>
    <x v="1"/>
  </r>
  <r>
    <x v="2"/>
    <x v="0"/>
    <s v="2016-06-01 16:34:52"/>
    <s v="2016-06-02 06:40:17"/>
    <d v="1899-12-30T14:05:25"/>
    <x v="0"/>
    <s v=""/>
    <x v="0"/>
    <s v=""/>
    <x v="1"/>
    <s v=""/>
    <s v=""/>
    <s v=""/>
    <x v="1"/>
  </r>
  <r>
    <x v="3"/>
    <x v="0"/>
    <s v="2016-06-01 10:03:58"/>
    <s v="2016-06-01 12:28:58"/>
    <d v="1899-12-30T02:25:00"/>
    <x v="0"/>
    <s v=""/>
    <x v="0"/>
    <s v=""/>
    <x v="46"/>
    <s v="2016-06-01 15:19:58"/>
    <d v="1899-12-30T02:51:00"/>
    <d v="1899-12-30T02:25:00"/>
    <x v="0"/>
  </r>
  <r>
    <x v="3"/>
    <x v="0"/>
    <s v="2016-06-01 15:19:58"/>
    <s v="2016-06-02 07:34:57"/>
    <d v="1899-12-30T16:14:59"/>
    <x v="0"/>
    <d v="1899-12-30T02:51:00"/>
    <x v="1"/>
    <s v=""/>
    <x v="1"/>
    <s v=""/>
    <s v=""/>
    <s v=""/>
    <x v="1"/>
  </r>
  <r>
    <x v="4"/>
    <x v="6"/>
    <s v="2016-06-01 09:12:56"/>
    <s v="2016-06-01 09:13:56"/>
    <d v="1899-12-30T00:01:00"/>
    <x v="0"/>
    <s v=""/>
    <x v="0"/>
    <s v=""/>
    <x v="47"/>
    <s v="2016-06-01 11:18:58"/>
    <d v="1899-12-30T02:05:02"/>
    <d v="1899-12-30T00:01:00"/>
    <x v="15"/>
  </r>
  <r>
    <x v="4"/>
    <x v="2"/>
    <s v="2016-06-01 11:18:58"/>
    <s v="2016-06-01 13:48:24"/>
    <d v="1899-12-30T02:29:26"/>
    <x v="0"/>
    <d v="1899-12-30T02:05:02"/>
    <x v="15"/>
    <s v=""/>
    <x v="48"/>
    <s v="2016-06-01 14:29:59"/>
    <d v="1899-12-30T00:41:35"/>
    <d v="1899-12-30T02:29:26"/>
    <x v="16"/>
  </r>
  <r>
    <x v="4"/>
    <x v="7"/>
    <s v="2016-06-01 14:29:59"/>
    <s v="2016-06-01 16:26:42"/>
    <d v="1899-12-30T01:56:43"/>
    <x v="0"/>
    <d v="1899-12-30T00:41:35"/>
    <x v="16"/>
    <s v=""/>
    <x v="49"/>
    <s v="2016-06-01 17:01:05"/>
    <d v="1899-12-30T00:34:23"/>
    <d v="1899-12-30T01:56:43"/>
    <x v="17"/>
  </r>
  <r>
    <x v="4"/>
    <x v="2"/>
    <s v="2016-06-01 17:01:05"/>
    <s v="2016-06-02 07:16:55"/>
    <d v="1899-12-30T14:15:50"/>
    <x v="0"/>
    <d v="1899-12-30T00:34:23"/>
    <x v="17"/>
    <s v=""/>
    <x v="1"/>
    <s v=""/>
    <s v=""/>
    <s v=""/>
    <x v="1"/>
  </r>
  <r>
    <x v="5"/>
    <x v="3"/>
    <s v="2016-06-01 07:09:03"/>
    <s v="2016-06-01 08:07:41"/>
    <d v="1899-12-30T00:58:38"/>
    <x v="0"/>
    <s v=""/>
    <x v="0"/>
    <s v=""/>
    <x v="50"/>
    <s v="2016-06-01 08:58:41"/>
    <d v="1899-12-30T00:51:00"/>
    <d v="1899-12-30T00:58:38"/>
    <x v="7"/>
  </r>
  <r>
    <x v="5"/>
    <x v="2"/>
    <s v="2016-06-01 08:58:41"/>
    <s v="2016-06-01 09:06:29"/>
    <d v="1899-12-30T00:07:48"/>
    <x v="0"/>
    <d v="1899-12-30T00:51:00"/>
    <x v="7"/>
    <s v=""/>
    <x v="51"/>
    <s v="2016-06-01 09:42:41"/>
    <d v="1899-12-30T00:36:12"/>
    <d v="1899-12-30T00:07:48"/>
    <x v="6"/>
  </r>
  <r>
    <x v="5"/>
    <x v="3"/>
    <s v="2016-06-01 09:42:41"/>
    <s v="2016-06-01 10:14:41"/>
    <d v="1899-12-30T00:32:00"/>
    <x v="0"/>
    <d v="1899-12-30T00:36:12"/>
    <x v="6"/>
    <s v=""/>
    <x v="52"/>
    <s v="2016-06-01 11:05:41"/>
    <d v="1899-12-30T00:51:00"/>
    <d v="1899-12-30T00:32:00"/>
    <x v="7"/>
  </r>
  <r>
    <x v="5"/>
    <x v="2"/>
    <s v="2016-06-01 11:05:41"/>
    <s v="2016-06-01 11:11:41"/>
    <d v="1899-12-30T00:06:00"/>
    <x v="0"/>
    <d v="1899-12-30T00:51:00"/>
    <x v="7"/>
    <s v=""/>
    <x v="53"/>
    <s v="2016-06-01 11:48:41"/>
    <d v="1899-12-30T00:37:00"/>
    <d v="1899-12-30T00:06:00"/>
    <x v="6"/>
  </r>
  <r>
    <x v="5"/>
    <x v="3"/>
    <s v="2016-06-01 11:48:41"/>
    <s v="2016-06-01 13:17:17"/>
    <d v="1899-12-30T01:28:36"/>
    <x v="0"/>
    <d v="1899-12-30T00:37:00"/>
    <x v="6"/>
    <s v=""/>
    <x v="54"/>
    <s v="2016-06-01 18:15:23"/>
    <d v="1899-12-30T04:58:06"/>
    <d v="1899-12-30T01:28:36"/>
    <x v="7"/>
  </r>
  <r>
    <x v="5"/>
    <x v="2"/>
    <s v="2016-06-01 18:15:23"/>
    <s v="2016-06-02 06:27:55"/>
    <d v="1899-12-30T12:12:32"/>
    <x v="0"/>
    <d v="1899-12-30T04:58:06"/>
    <x v="7"/>
    <s v=""/>
    <x v="1"/>
    <s v=""/>
    <s v=""/>
    <s v=""/>
    <x v="1"/>
  </r>
  <r>
    <x v="6"/>
    <x v="4"/>
    <s v="2016-06-01 08:59:59"/>
    <s v="2016-06-01 10:07:09"/>
    <d v="1899-12-30T01:07:10"/>
    <x v="0"/>
    <s v=""/>
    <x v="0"/>
    <s v=""/>
    <x v="55"/>
    <s v="2016-06-01 14:03:12"/>
    <d v="1899-12-30T03:56:03"/>
    <d v="1899-12-30T01:07:10"/>
    <x v="8"/>
  </r>
  <r>
    <x v="6"/>
    <x v="5"/>
    <s v="2016-06-01 14:03:12"/>
    <s v="2016-06-01 14:05:50"/>
    <d v="1899-12-30T00:02:38"/>
    <x v="0"/>
    <d v="1899-12-30T03:56:03"/>
    <x v="8"/>
    <s v=""/>
    <x v="56"/>
    <s v="2016-06-01 15:38:48"/>
    <d v="1899-12-30T01:32:58"/>
    <d v="1899-12-30T00:02:38"/>
    <x v="9"/>
  </r>
  <r>
    <x v="6"/>
    <x v="4"/>
    <s v="2016-06-01 15:38:48"/>
    <s v="2016-06-02 07:03:55"/>
    <d v="1899-12-30T15:25:07"/>
    <x v="0"/>
    <d v="1899-12-30T01:32:58"/>
    <x v="9"/>
    <s v=""/>
    <x v="1"/>
    <s v=""/>
    <s v=""/>
    <s v=""/>
    <x v="1"/>
  </r>
  <r>
    <x v="9"/>
    <x v="7"/>
    <s v="2016-06-01 08:08:22"/>
    <s v="2016-06-01 13:40:11"/>
    <d v="1899-12-30T05:31:49"/>
    <x v="0"/>
    <s v=""/>
    <x v="0"/>
    <s v=""/>
    <x v="57"/>
    <s v="2016-06-01 15:42:07"/>
    <d v="1899-12-30T02:01:56"/>
    <d v="1899-12-30T05:31:49"/>
    <x v="18"/>
  </r>
  <r>
    <x v="9"/>
    <x v="7"/>
    <s v="2016-06-01 15:42:07"/>
    <s v="2016-06-01 15:43:54"/>
    <d v="1899-12-30T00:01:47"/>
    <x v="0"/>
    <d v="1899-12-30T02:01:56"/>
    <x v="18"/>
    <s v=""/>
    <x v="1"/>
    <s v=""/>
    <s v=""/>
    <s v=""/>
    <x v="1"/>
  </r>
  <r>
    <x v="0"/>
    <x v="0"/>
    <s v="2016-06-02 17:57:49"/>
    <s v="2016-06-03 06:43:21"/>
    <d v="1899-12-30T12:45:32"/>
    <x v="0"/>
    <s v=""/>
    <x v="0"/>
    <s v=""/>
    <x v="1"/>
    <s v=""/>
    <s v=""/>
    <s v=""/>
    <x v="1"/>
  </r>
  <r>
    <x v="1"/>
    <x v="0"/>
    <s v="2016-06-02 17:56:15"/>
    <s v="2016-06-03 06:38:50"/>
    <d v="1899-12-30T12:42:35"/>
    <x v="0"/>
    <s v=""/>
    <x v="0"/>
    <s v=""/>
    <x v="1"/>
    <s v=""/>
    <s v=""/>
    <s v=""/>
    <x v="1"/>
  </r>
  <r>
    <x v="2"/>
    <x v="0"/>
    <s v="2016-06-02 18:01:56"/>
    <s v="2016-06-03 06:49:30"/>
    <d v="1899-12-30T12:47:34"/>
    <x v="0"/>
    <s v=""/>
    <x v="0"/>
    <s v=""/>
    <x v="1"/>
    <s v=""/>
    <s v=""/>
    <s v=""/>
    <x v="1"/>
  </r>
  <r>
    <x v="3"/>
    <x v="1"/>
    <s v="2016-06-02 10:29:57"/>
    <s v="2016-06-02 10:48:57"/>
    <d v="1899-12-30T00:19:00"/>
    <x v="0"/>
    <s v=""/>
    <x v="0"/>
    <s v=""/>
    <x v="58"/>
    <s v="2016-06-02 13:10:08"/>
    <d v="1899-12-30T02:21:11"/>
    <d v="1899-12-30T00:19:00"/>
    <x v="4"/>
  </r>
  <r>
    <x v="3"/>
    <x v="0"/>
    <s v="2016-06-02 13:10:08"/>
    <s v="2016-06-02 13:32:58"/>
    <d v="1899-12-30T00:22:50"/>
    <x v="0"/>
    <d v="1899-12-30T02:21:11"/>
    <x v="4"/>
    <s v=""/>
    <x v="59"/>
    <s v="2016-06-02 14:14:58"/>
    <d v="1899-12-30T00:42:00"/>
    <d v="1899-12-30T00:22:50"/>
    <x v="0"/>
  </r>
  <r>
    <x v="3"/>
    <x v="0"/>
    <s v="2016-06-02 14:14:58"/>
    <s v="2016-06-03 06:52:57"/>
    <d v="1899-12-30T16:37:59"/>
    <x v="0"/>
    <d v="1899-12-30T00:42:00"/>
    <x v="1"/>
    <s v=""/>
    <x v="1"/>
    <s v=""/>
    <s v=""/>
    <s v=""/>
    <x v="1"/>
  </r>
  <r>
    <x v="10"/>
    <x v="5"/>
    <s v="2016-06-02 19:03:59"/>
    <s v="2016-06-03 07:06:05"/>
    <d v="1899-12-30T12:02:06"/>
    <x v="0"/>
    <s v=""/>
    <x v="0"/>
    <s v=""/>
    <x v="1"/>
    <s v=""/>
    <s v=""/>
    <s v=""/>
    <x v="1"/>
  </r>
  <r>
    <x v="4"/>
    <x v="2"/>
    <s v="2016-06-02 07:18:09"/>
    <s v="2016-06-02 07:20:09"/>
    <d v="1899-12-30T00:02:00"/>
    <x v="0"/>
    <s v=""/>
    <x v="0"/>
    <s v=""/>
    <x v="60"/>
    <s v="2016-06-02 09:01:50"/>
    <d v="1899-12-30T01:41:41"/>
    <d v="1899-12-30T00:02:00"/>
    <x v="19"/>
  </r>
  <r>
    <x v="4"/>
    <x v="6"/>
    <s v="2016-06-02 09:01:50"/>
    <s v="2016-06-02 09:02:40"/>
    <d v="1899-12-30T00:00:50"/>
    <x v="0"/>
    <d v="1899-12-30T01:41:41"/>
    <x v="19"/>
    <s v=""/>
    <x v="61"/>
    <s v="2016-06-02 09:43:32"/>
    <d v="1899-12-30T00:40:52"/>
    <d v="1899-12-30T00:00:50"/>
    <x v="15"/>
  </r>
  <r>
    <x v="4"/>
    <x v="2"/>
    <s v="2016-06-02 09:43:32"/>
    <s v="2016-06-02 09:56:32"/>
    <d v="1899-12-30T00:13:00"/>
    <x v="0"/>
    <d v="1899-12-30T00:40:52"/>
    <x v="15"/>
    <s v=""/>
    <x v="62"/>
    <s v="2016-06-02 10:23:46"/>
    <d v="1899-12-30T00:27:14"/>
    <d v="1899-12-30T00:13:00"/>
    <x v="19"/>
  </r>
  <r>
    <x v="4"/>
    <x v="6"/>
    <s v="2016-06-02 10:23:46"/>
    <s v="2016-06-02 10:24:46"/>
    <d v="1899-12-30T00:01:00"/>
    <x v="0"/>
    <d v="1899-12-30T00:27:14"/>
    <x v="19"/>
    <s v=""/>
    <x v="63"/>
    <s v="2016-06-02 11:20:16"/>
    <d v="1899-12-30T00:55:30"/>
    <d v="1899-12-30T00:01:00"/>
    <x v="20"/>
  </r>
  <r>
    <x v="4"/>
    <x v="6"/>
    <s v="2016-06-02 11:20:16"/>
    <s v="2016-06-02 11:20:57"/>
    <d v="1899-12-30T00:00:41"/>
    <x v="0"/>
    <d v="1899-12-30T00:55:30"/>
    <x v="20"/>
    <s v=""/>
    <x v="1"/>
    <s v=""/>
    <s v=""/>
    <s v=""/>
    <x v="1"/>
  </r>
  <r>
    <x v="11"/>
    <x v="5"/>
    <s v="2016-06-02 17:47:44"/>
    <s v="2016-06-03 04:45:08"/>
    <d v="1899-12-30T10:57:24"/>
    <x v="0"/>
    <s v=""/>
    <x v="0"/>
    <s v=""/>
    <x v="1"/>
    <s v=""/>
    <s v=""/>
    <s v=""/>
    <x v="1"/>
  </r>
  <r>
    <x v="5"/>
    <x v="3"/>
    <s v="2016-06-02 07:02:41"/>
    <s v="2016-06-02 07:57:47"/>
    <d v="1899-12-30T00:55:06"/>
    <x v="0"/>
    <s v=""/>
    <x v="0"/>
    <s v=""/>
    <x v="64"/>
    <s v="2016-06-02 08:50:27"/>
    <d v="1899-12-30T00:52:40"/>
    <d v="1899-12-30T00:55:06"/>
    <x v="7"/>
  </r>
  <r>
    <x v="5"/>
    <x v="2"/>
    <s v="2016-06-02 08:50:27"/>
    <s v="2016-06-02 08:50:33"/>
    <d v="1899-12-30T00:00:06"/>
    <x v="0"/>
    <d v="1899-12-30T00:52:40"/>
    <x v="7"/>
    <s v=""/>
    <x v="65"/>
    <s v="2016-06-02 08:51:33"/>
    <d v="1899-12-30T00:01:00"/>
    <d v="1899-12-30T00:00:06"/>
    <x v="5"/>
  </r>
  <r>
    <x v="5"/>
    <x v="2"/>
    <s v="2016-06-02 08:51:33"/>
    <s v="2016-06-02 08:56:02"/>
    <d v="1899-12-30T00:04:29"/>
    <x v="0"/>
    <d v="1899-12-30T00:01:00"/>
    <x v="5"/>
    <s v=""/>
    <x v="66"/>
    <s v="2016-06-02 09:31:24"/>
    <d v="1899-12-30T00:35:22"/>
    <d v="1899-12-30T00:04:29"/>
    <x v="6"/>
  </r>
  <r>
    <x v="5"/>
    <x v="3"/>
    <s v="2016-06-02 09:31:24"/>
    <s v="2016-06-02 10:34:50"/>
    <d v="1899-12-30T01:03:26"/>
    <x v="0"/>
    <d v="1899-12-30T00:35:22"/>
    <x v="6"/>
    <s v=""/>
    <x v="67"/>
    <s v="2016-06-02 16:01:17"/>
    <d v="1899-12-30T05:26:27"/>
    <d v="1899-12-30T01:03:26"/>
    <x v="12"/>
  </r>
  <r>
    <x v="5"/>
    <x v="3"/>
    <s v="2016-06-02 16:01:17"/>
    <s v="2016-06-03 07:52:51"/>
    <d v="1899-12-30T15:51:34"/>
    <x v="0"/>
    <d v="1899-12-30T05:26:27"/>
    <x v="12"/>
    <s v=""/>
    <x v="1"/>
    <s v=""/>
    <s v=""/>
    <s v=""/>
    <x v="1"/>
  </r>
  <r>
    <x v="6"/>
    <x v="5"/>
    <s v="2016-06-02 07:58:11"/>
    <s v="2016-06-02 08:09:11"/>
    <d v="1899-12-30T00:11:00"/>
    <x v="0"/>
    <s v=""/>
    <x v="0"/>
    <s v=""/>
    <x v="68"/>
    <s v="2016-06-02 09:14:22"/>
    <d v="1899-12-30T01:05:11"/>
    <d v="1899-12-30T00:11:00"/>
    <x v="9"/>
  </r>
  <r>
    <x v="6"/>
    <x v="4"/>
    <s v="2016-06-02 09:14:22"/>
    <s v="2016-06-02 10:14:39"/>
    <d v="1899-12-30T01:00:17"/>
    <x v="0"/>
    <d v="1899-12-30T01:05:11"/>
    <x v="9"/>
    <s v=""/>
    <x v="69"/>
    <s v="2016-06-02 11:08:50"/>
    <d v="1899-12-30T00:54:11"/>
    <d v="1899-12-30T01:00:17"/>
    <x v="8"/>
  </r>
  <r>
    <x v="6"/>
    <x v="5"/>
    <s v="2016-06-02 11:08:50"/>
    <s v="2016-06-02 11:17:50"/>
    <d v="1899-12-30T00:09:00"/>
    <x v="0"/>
    <d v="1899-12-30T00:54:11"/>
    <x v="8"/>
    <s v=""/>
    <x v="70"/>
    <s v="2016-06-02 12:14:51"/>
    <d v="1899-12-30T00:57:01"/>
    <d v="1899-12-30T00:09:00"/>
    <x v="9"/>
  </r>
  <r>
    <x v="6"/>
    <x v="4"/>
    <s v="2016-06-02 12:14:51"/>
    <s v="2016-06-02 12:49:22"/>
    <d v="1899-12-30T00:34:31"/>
    <x v="0"/>
    <d v="1899-12-30T00:57:01"/>
    <x v="9"/>
    <s v=""/>
    <x v="71"/>
    <s v="2016-06-02 13:44:31"/>
    <d v="1899-12-30T00:55:09"/>
    <d v="1899-12-30T00:34:31"/>
    <x v="8"/>
  </r>
  <r>
    <x v="6"/>
    <x v="5"/>
    <s v="2016-06-02 13:44:31"/>
    <s v="2016-06-02 13:50:31"/>
    <d v="1899-12-30T00:06:00"/>
    <x v="0"/>
    <d v="1899-12-30T00:55:09"/>
    <x v="8"/>
    <s v=""/>
    <x v="72"/>
    <s v="2016-06-02 14:43:27"/>
    <d v="1899-12-30T00:52:56"/>
    <d v="1899-12-30T00:06:00"/>
    <x v="9"/>
  </r>
  <r>
    <x v="6"/>
    <x v="4"/>
    <s v="2016-06-02 14:43:27"/>
    <s v="2016-06-02 15:33:46"/>
    <d v="1899-12-30T00:50:19"/>
    <x v="0"/>
    <d v="1899-12-30T00:52:56"/>
    <x v="9"/>
    <s v=""/>
    <x v="73"/>
    <s v="2016-06-02 16:28:23"/>
    <d v="1899-12-30T00:54:37"/>
    <d v="1899-12-30T00:50:19"/>
    <x v="8"/>
  </r>
  <r>
    <x v="6"/>
    <x v="5"/>
    <s v="2016-06-02 16:28:23"/>
    <s v="2016-06-03 08:50:10"/>
    <d v="1899-12-30T16:21:47"/>
    <x v="0"/>
    <d v="1899-12-30T00:54:37"/>
    <x v="8"/>
    <s v=""/>
    <x v="1"/>
    <s v=""/>
    <s v=""/>
    <s v=""/>
    <x v="1"/>
  </r>
  <r>
    <x v="9"/>
    <x v="6"/>
    <s v="2016-06-02 07:51:48"/>
    <s v="2016-06-02 15:19:54"/>
    <d v="1899-12-30T07:28:06"/>
    <x v="0"/>
    <s v=""/>
    <x v="0"/>
    <s v=""/>
    <x v="1"/>
    <s v=""/>
    <s v=""/>
    <s v=""/>
    <x v="1"/>
  </r>
  <r>
    <x v="0"/>
    <x v="0"/>
    <s v="2016-06-03 18:01:43"/>
    <s v="2016-06-04 07:13:12"/>
    <d v="1899-12-30T13:11:29"/>
    <x v="0"/>
    <s v=""/>
    <x v="0"/>
    <s v=""/>
    <x v="1"/>
    <s v=""/>
    <s v=""/>
    <s v=""/>
    <x v="1"/>
  </r>
  <r>
    <x v="1"/>
    <x v="0"/>
    <s v="2016-06-03 17:56:51"/>
    <s v="2016-06-04 06:51:28"/>
    <d v="1899-12-30T12:54:37"/>
    <x v="0"/>
    <s v=""/>
    <x v="0"/>
    <s v=""/>
    <x v="1"/>
    <s v=""/>
    <s v=""/>
    <s v=""/>
    <x v="1"/>
  </r>
  <r>
    <x v="2"/>
    <x v="0"/>
    <s v="2016-06-03 17:49:23"/>
    <s v="2016-06-04 06:44:45"/>
    <d v="1899-12-30T12:55:22"/>
    <x v="0"/>
    <s v=""/>
    <x v="0"/>
    <s v=""/>
    <x v="1"/>
    <s v=""/>
    <s v=""/>
    <s v=""/>
    <x v="1"/>
  </r>
  <r>
    <x v="3"/>
    <x v="1"/>
    <s v="2016-06-03 07:27:06"/>
    <s v="2016-06-03 08:30:46"/>
    <d v="1899-12-30T01:03:40"/>
    <x v="0"/>
    <s v=""/>
    <x v="0"/>
    <s v=""/>
    <x v="74"/>
    <s v="2016-06-03 09:22:56"/>
    <d v="1899-12-30T00:52:10"/>
    <d v="1899-12-30T01:03:40"/>
    <x v="4"/>
  </r>
  <r>
    <x v="3"/>
    <x v="0"/>
    <s v="2016-06-03 09:22:56"/>
    <s v="2016-06-03 11:06:56"/>
    <d v="1899-12-30T01:44:00"/>
    <x v="0"/>
    <d v="1899-12-30T00:52:10"/>
    <x v="4"/>
    <s v=""/>
    <x v="75"/>
    <s v="2016-06-03 14:49:57"/>
    <d v="1899-12-30T03:43:01"/>
    <d v="1899-12-30T01:44:00"/>
    <x v="0"/>
  </r>
  <r>
    <x v="3"/>
    <x v="0"/>
    <s v="2016-06-03 14:49:57"/>
    <s v="2016-06-03 15:30:57"/>
    <d v="1899-12-30T00:41:00"/>
    <x v="0"/>
    <d v="1899-12-30T03:43:01"/>
    <x v="1"/>
    <s v=""/>
    <x v="76"/>
    <s v="2016-06-03 16:05:57"/>
    <d v="1899-12-30T00:35:00"/>
    <d v="1899-12-30T00:41:00"/>
    <x v="2"/>
  </r>
  <r>
    <x v="3"/>
    <x v="1"/>
    <s v="2016-06-03 16:05:57"/>
    <s v="2016-06-03 16:10:07"/>
    <d v="1899-12-30T00:04:10"/>
    <x v="0"/>
    <d v="1899-12-30T00:35:00"/>
    <x v="2"/>
    <s v=""/>
    <x v="77"/>
    <s v="2016-06-03 16:20:57"/>
    <d v="1899-12-30T00:10:50"/>
    <d v="1899-12-30T00:04:10"/>
    <x v="3"/>
  </r>
  <r>
    <x v="3"/>
    <x v="1"/>
    <s v="2016-06-03 16:20:57"/>
    <s v="2016-06-03 16:30:07"/>
    <d v="1899-12-30T00:09:10"/>
    <x v="0"/>
    <d v="1899-12-30T00:10:50"/>
    <x v="3"/>
    <s v=""/>
    <x v="78"/>
    <s v="2016-06-03 17:30:57"/>
    <d v="1899-12-30T01:00:50"/>
    <d v="1899-12-30T00:09:10"/>
    <x v="4"/>
  </r>
  <r>
    <x v="3"/>
    <x v="0"/>
    <s v="2016-06-03 17:30:57"/>
    <s v="2016-06-04 06:47:57"/>
    <d v="1899-12-30T13:17:00"/>
    <x v="0"/>
    <d v="1899-12-30T01:00:50"/>
    <x v="4"/>
    <s v=""/>
    <x v="1"/>
    <s v=""/>
    <s v=""/>
    <s v=""/>
    <x v="1"/>
  </r>
  <r>
    <x v="10"/>
    <x v="4"/>
    <s v="2016-06-03 08:08:06"/>
    <s v="2016-06-03 09:16:54"/>
    <d v="1899-12-30T01:08:48"/>
    <x v="0"/>
    <s v=""/>
    <x v="0"/>
    <s v=""/>
    <x v="79"/>
    <s v="2016-06-03 10:23:54"/>
    <d v="1899-12-30T01:07:00"/>
    <d v="1899-12-30T01:08:48"/>
    <x v="8"/>
  </r>
  <r>
    <x v="10"/>
    <x v="5"/>
    <s v="2016-06-03 10:23:54"/>
    <s v="2016-06-03 10:36:54"/>
    <d v="1899-12-30T00:13:00"/>
    <x v="0"/>
    <d v="1899-12-30T01:07:00"/>
    <x v="8"/>
    <s v=""/>
    <x v="80"/>
    <s v="2016-06-03 11:51:54"/>
    <d v="1899-12-30T01:15:00"/>
    <d v="1899-12-30T00:13:00"/>
    <x v="9"/>
  </r>
  <r>
    <x v="10"/>
    <x v="4"/>
    <s v="2016-06-03 11:51:54"/>
    <s v="2016-06-03 12:40:19"/>
    <d v="1899-12-30T00:48:25"/>
    <x v="0"/>
    <d v="1899-12-30T01:15:00"/>
    <x v="9"/>
    <s v=""/>
    <x v="81"/>
    <s v="2016-06-03 13:48:58"/>
    <d v="1899-12-30T01:08:39"/>
    <d v="1899-12-30T00:48:25"/>
    <x v="8"/>
  </r>
  <r>
    <x v="10"/>
    <x v="5"/>
    <s v="2016-06-03 13:48:58"/>
    <s v="2016-06-03 14:08:58"/>
    <d v="1899-12-30T00:20:00"/>
    <x v="0"/>
    <d v="1899-12-30T01:08:39"/>
    <x v="8"/>
    <s v=""/>
    <x v="82"/>
    <s v="2016-06-03 15:17:58"/>
    <d v="1899-12-30T01:09:00"/>
    <d v="1899-12-30T00:20:00"/>
    <x v="9"/>
  </r>
  <r>
    <x v="10"/>
    <x v="4"/>
    <s v="2016-06-03 15:17:58"/>
    <s v="2016-06-03 15:59:58"/>
    <d v="1899-12-30T00:42:00"/>
    <x v="0"/>
    <d v="1899-12-30T01:09:00"/>
    <x v="9"/>
    <s v=""/>
    <x v="83"/>
    <s v="2016-06-03 17:02:58"/>
    <d v="1899-12-30T01:03:00"/>
    <d v="1899-12-30T00:42:00"/>
    <x v="8"/>
  </r>
  <r>
    <x v="10"/>
    <x v="5"/>
    <s v="2016-06-03 17:02:58"/>
    <s v="2016-06-03 17:12:58"/>
    <d v="1899-12-30T00:10:00"/>
    <x v="0"/>
    <d v="1899-12-30T01:03:00"/>
    <x v="8"/>
    <s v=""/>
    <x v="84"/>
    <s v="2016-06-03 17:53:37"/>
    <d v="1899-12-30T00:40:39"/>
    <d v="1899-12-30T00:10:00"/>
    <x v="9"/>
  </r>
  <r>
    <x v="10"/>
    <x v="4"/>
    <s v="2016-06-03 17:53:37"/>
    <s v="2016-06-04 07:17:50"/>
    <d v="1899-12-30T13:24:13"/>
    <x v="0"/>
    <d v="1899-12-30T00:40:39"/>
    <x v="9"/>
    <s v=""/>
    <x v="1"/>
    <s v=""/>
    <s v=""/>
    <s v=""/>
    <x v="1"/>
  </r>
  <r>
    <x v="4"/>
    <x v="0"/>
    <s v="2016-06-03 08:56:26"/>
    <s v="2016-06-03 09:16:19"/>
    <d v="1899-12-30T00:19:53"/>
    <x v="0"/>
    <s v=""/>
    <x v="0"/>
    <s v=""/>
    <x v="85"/>
    <s v="2016-06-03 10:51:31"/>
    <d v="1899-12-30T01:35:12"/>
    <d v="1899-12-30T00:19:53"/>
    <x v="0"/>
  </r>
  <r>
    <x v="4"/>
    <x v="0"/>
    <s v="2016-06-03 10:51:31"/>
    <s v="2016-06-03 11:29:29"/>
    <d v="1899-12-30T00:37:58"/>
    <x v="0"/>
    <d v="1899-12-30T01:35:12"/>
    <x v="1"/>
    <s v=""/>
    <x v="86"/>
    <s v="2016-06-03 19:11:07"/>
    <d v="1899-12-30T07:41:38"/>
    <d v="1899-12-30T00:37:58"/>
    <x v="21"/>
  </r>
  <r>
    <x v="4"/>
    <x v="8"/>
    <s v="2016-06-03 19:11:07"/>
    <s v="2016-06-04 08:09:34"/>
    <d v="1899-12-30T12:58:27"/>
    <x v="0"/>
    <d v="1899-12-30T07:41:38"/>
    <x v="21"/>
    <s v=""/>
    <x v="1"/>
    <s v=""/>
    <s v=""/>
    <s v=""/>
    <x v="1"/>
  </r>
  <r>
    <x v="11"/>
    <x v="4"/>
    <s v="2016-06-03 05:56:51"/>
    <s v="2016-06-03 07:10:37"/>
    <d v="1899-12-30T01:13:46"/>
    <x v="0"/>
    <s v=""/>
    <x v="0"/>
    <s v=""/>
    <x v="87"/>
    <s v="2016-06-03 08:02:37"/>
    <d v="1899-12-30T00:52:00"/>
    <d v="1899-12-30T01:13:46"/>
    <x v="8"/>
  </r>
  <r>
    <x v="11"/>
    <x v="5"/>
    <s v="2016-06-03 08:02:37"/>
    <s v="2016-06-03 08:11:37"/>
    <d v="1899-12-30T00:09:00"/>
    <x v="0"/>
    <d v="1899-12-30T00:52:00"/>
    <x v="8"/>
    <s v=""/>
    <x v="88"/>
    <s v="2016-06-03 09:50:37"/>
    <d v="1899-12-30T01:39:00"/>
    <d v="1899-12-30T00:09:00"/>
    <x v="9"/>
  </r>
  <r>
    <x v="11"/>
    <x v="4"/>
    <s v="2016-06-03 09:50:37"/>
    <s v="2016-06-03 10:44:37"/>
    <d v="1899-12-30T00:54:00"/>
    <x v="0"/>
    <d v="1899-12-30T01:39:00"/>
    <x v="9"/>
    <s v=""/>
    <x v="89"/>
    <s v="2016-06-03 11:35:37"/>
    <d v="1899-12-30T00:51:00"/>
    <d v="1899-12-30T00:54:00"/>
    <x v="8"/>
  </r>
  <r>
    <x v="11"/>
    <x v="5"/>
    <s v="2016-06-03 11:35:37"/>
    <s v="2016-06-03 11:42:37"/>
    <d v="1899-12-30T00:07:00"/>
    <x v="0"/>
    <d v="1899-12-30T00:51:00"/>
    <x v="8"/>
    <s v=""/>
    <x v="90"/>
    <s v="2016-06-03 12:28:37"/>
    <d v="1899-12-30T00:46:00"/>
    <d v="1899-12-30T00:07:00"/>
    <x v="9"/>
  </r>
  <r>
    <x v="11"/>
    <x v="4"/>
    <s v="2016-06-03 12:28:37"/>
    <s v="2016-06-03 12:57:37"/>
    <d v="1899-12-30T00:29:00"/>
    <x v="0"/>
    <d v="1899-12-30T00:46:00"/>
    <x v="9"/>
    <s v=""/>
    <x v="91"/>
    <s v="2016-06-03 13:49:37"/>
    <d v="1899-12-30T00:52:00"/>
    <d v="1899-12-30T00:29:00"/>
    <x v="8"/>
  </r>
  <r>
    <x v="11"/>
    <x v="5"/>
    <s v="2016-06-03 13:49:37"/>
    <s v="2016-06-03 13:57:37"/>
    <d v="1899-12-30T00:08:00"/>
    <x v="0"/>
    <d v="1899-12-30T00:52:00"/>
    <x v="8"/>
    <s v=""/>
    <x v="92"/>
    <s v="2016-06-03 14:49:37"/>
    <d v="1899-12-30T00:52:00"/>
    <d v="1899-12-30T00:08:00"/>
    <x v="9"/>
  </r>
  <r>
    <x v="11"/>
    <x v="4"/>
    <s v="2016-06-03 14:49:37"/>
    <s v="2016-06-03 15:30:37"/>
    <d v="1899-12-30T00:41:00"/>
    <x v="0"/>
    <d v="1899-12-30T00:52:00"/>
    <x v="9"/>
    <s v=""/>
    <x v="93"/>
    <s v="2016-06-03 16:28:37"/>
    <d v="1899-12-30T00:58:00"/>
    <d v="1899-12-30T00:41:00"/>
    <x v="8"/>
  </r>
  <r>
    <x v="11"/>
    <x v="5"/>
    <s v="2016-06-03 16:28:37"/>
    <s v="2016-06-04 04:31:57"/>
    <d v="1899-12-30T12:03:20"/>
    <x v="0"/>
    <d v="1899-12-30T00:58:00"/>
    <x v="8"/>
    <s v=""/>
    <x v="1"/>
    <s v=""/>
    <s v=""/>
    <s v=""/>
    <x v="1"/>
  </r>
  <r>
    <x v="5"/>
    <x v="3"/>
    <s v="2016-06-03 13:10:36"/>
    <s v="2016-06-03 13:56:57"/>
    <d v="1899-12-30T00:46:21"/>
    <x v="0"/>
    <s v=""/>
    <x v="0"/>
    <s v=""/>
    <x v="94"/>
    <s v="2016-06-03 18:11:04"/>
    <d v="1899-12-30T04:14:07"/>
    <d v="1899-12-30T00:46:21"/>
    <x v="7"/>
  </r>
  <r>
    <x v="5"/>
    <x v="2"/>
    <s v="2016-06-03 18:11:04"/>
    <s v="2016-06-04 06:47:59"/>
    <d v="1899-12-30T12:36:55"/>
    <x v="0"/>
    <d v="1899-12-30T04:14:07"/>
    <x v="7"/>
    <s v=""/>
    <x v="1"/>
    <s v=""/>
    <s v=""/>
    <s v=""/>
    <x v="1"/>
  </r>
  <r>
    <x v="6"/>
    <x v="4"/>
    <s v="2016-06-03 09:50:10"/>
    <s v="2016-06-03 11:00:25"/>
    <d v="1899-12-30T01:10:15"/>
    <x v="0"/>
    <s v=""/>
    <x v="0"/>
    <s v=""/>
    <x v="95"/>
    <s v="2016-06-03 11:57:25"/>
    <d v="1899-12-30T00:57:00"/>
    <d v="1899-12-30T01:10:15"/>
    <x v="8"/>
  </r>
  <r>
    <x v="6"/>
    <x v="5"/>
    <s v="2016-06-03 11:57:25"/>
    <s v="2016-06-03 12:10:25"/>
    <d v="1899-12-30T00:13:00"/>
    <x v="0"/>
    <d v="1899-12-30T00:57:00"/>
    <x v="8"/>
    <s v=""/>
    <x v="96"/>
    <s v="2016-06-03 13:18:25"/>
    <d v="1899-12-30T01:08:00"/>
    <d v="1899-12-30T00:13:00"/>
    <x v="9"/>
  </r>
  <r>
    <x v="6"/>
    <x v="4"/>
    <s v="2016-06-03 13:18:25"/>
    <s v="2016-06-04 07:00:27"/>
    <d v="1899-12-30T17:42:02"/>
    <x v="0"/>
    <d v="1899-12-30T01:08:00"/>
    <x v="9"/>
    <s v=""/>
    <x v="1"/>
    <s v=""/>
    <s v=""/>
    <s v=""/>
    <x v="1"/>
  </r>
  <r>
    <x v="9"/>
    <x v="7"/>
    <s v="2016-06-03 14:20:16"/>
    <s v="2016-06-03 14:25:12"/>
    <d v="1899-12-30T00:04:56"/>
    <x v="0"/>
    <s v=""/>
    <x v="0"/>
    <s v=""/>
    <x v="97"/>
    <s v="2016-06-03 16:09:22"/>
    <d v="1899-12-30T01:44:10"/>
    <d v="1899-12-30T00:04:56"/>
    <x v="18"/>
  </r>
  <r>
    <x v="9"/>
    <x v="7"/>
    <s v="2016-06-03 16:09:22"/>
    <s v="2016-06-03 16:15:06"/>
    <d v="1899-12-30T00:05:44"/>
    <x v="0"/>
    <d v="1899-12-30T01:44:10"/>
    <x v="18"/>
    <s v=""/>
    <x v="1"/>
    <s v=""/>
    <s v=""/>
    <s v=""/>
    <x v="1"/>
  </r>
  <r>
    <x v="0"/>
    <x v="0"/>
    <s v="2016-06-04 11:38:25"/>
    <s v="2016-06-05 23:56:03"/>
    <d v="1899-12-31T12:17:38"/>
    <x v="0"/>
    <s v=""/>
    <x v="0"/>
    <s v=""/>
    <x v="1"/>
    <s v=""/>
    <s v=""/>
    <s v=""/>
    <x v="1"/>
  </r>
  <r>
    <x v="1"/>
    <x v="0"/>
    <s v="2016-06-04 11:57:47"/>
    <s v="2016-06-05 23:59:51"/>
    <d v="1899-12-31T12:02:04"/>
    <x v="0"/>
    <s v=""/>
    <x v="0"/>
    <s v=""/>
    <x v="1"/>
    <s v=""/>
    <s v=""/>
    <s v=""/>
    <x v="1"/>
  </r>
  <r>
    <x v="2"/>
    <x v="1"/>
    <s v="2016-06-04 07:10:57"/>
    <s v="2016-06-04 07:19:43"/>
    <d v="1899-12-30T00:08:46"/>
    <x v="0"/>
    <s v=""/>
    <x v="0"/>
    <s v=""/>
    <x v="98"/>
    <s v="2016-06-04 07:22:05"/>
    <d v="1899-12-30T00:02:22"/>
    <d v="1899-12-30T00:08:46"/>
    <x v="3"/>
  </r>
  <r>
    <x v="2"/>
    <x v="1"/>
    <s v="2016-06-04 07:22:05"/>
    <s v="2016-06-04 07:32:29"/>
    <d v="1899-12-30T00:10:24"/>
    <x v="0"/>
    <d v="1899-12-30T00:02:22"/>
    <x v="3"/>
    <s v=""/>
    <x v="99"/>
    <s v="2016-06-04 08:13:24"/>
    <d v="1899-12-30T00:40:55"/>
    <d v="1899-12-30T00:10:24"/>
    <x v="3"/>
  </r>
  <r>
    <x v="2"/>
    <x v="1"/>
    <s v="2016-06-04 08:13:24"/>
    <s v="2016-06-04 09:03:33"/>
    <d v="1899-12-30T00:50:09"/>
    <x v="0"/>
    <d v="1899-12-30T00:40:55"/>
    <x v="3"/>
    <s v=""/>
    <x v="100"/>
    <s v="2016-06-04 09:08:41"/>
    <d v="1899-12-30T00:05:08"/>
    <d v="1899-12-30T00:50:09"/>
    <x v="3"/>
  </r>
  <r>
    <x v="2"/>
    <x v="1"/>
    <s v="2016-06-04 09:08:41"/>
    <s v="2016-06-04 09:14:13"/>
    <d v="1899-12-30T00:05:32"/>
    <x v="0"/>
    <d v="1899-12-30T00:05:08"/>
    <x v="3"/>
    <s v=""/>
    <x v="101"/>
    <s v="2016-06-04 09:18:22"/>
    <d v="1899-12-30T00:04:09"/>
    <d v="1899-12-30T00:05:32"/>
    <x v="3"/>
  </r>
  <r>
    <x v="2"/>
    <x v="1"/>
    <s v="2016-06-04 09:18:22"/>
    <s v="2016-06-04 09:25:13"/>
    <d v="1899-12-30T00:06:51"/>
    <x v="0"/>
    <d v="1899-12-30T00:04:09"/>
    <x v="3"/>
    <s v=""/>
    <x v="102"/>
    <s v="2016-06-04 09:28:04"/>
    <d v="1899-12-30T00:02:51"/>
    <d v="1899-12-30T00:06:51"/>
    <x v="3"/>
  </r>
  <r>
    <x v="2"/>
    <x v="1"/>
    <s v="2016-06-04 09:28:04"/>
    <s v="2016-06-04 09:34:01"/>
    <d v="1899-12-30T00:05:57"/>
    <x v="0"/>
    <d v="1899-12-30T00:02:51"/>
    <x v="3"/>
    <s v=""/>
    <x v="103"/>
    <s v="2016-06-04 09:36:52"/>
    <d v="1899-12-30T00:02:51"/>
    <d v="1899-12-30T00:05:57"/>
    <x v="3"/>
  </r>
  <r>
    <x v="2"/>
    <x v="1"/>
    <s v="2016-06-04 09:36:52"/>
    <s v="2016-06-04 09:40:51"/>
    <d v="1899-12-30T00:03:59"/>
    <x v="0"/>
    <d v="1899-12-30T00:02:51"/>
    <x v="3"/>
    <s v=""/>
    <x v="104"/>
    <s v="2016-06-04 09:43:51"/>
    <d v="1899-12-30T00:03:00"/>
    <d v="1899-12-30T00:03:59"/>
    <x v="3"/>
  </r>
  <r>
    <x v="2"/>
    <x v="1"/>
    <s v="2016-06-04 09:43:51"/>
    <s v="2016-06-04 09:48:21"/>
    <d v="1899-12-30T00:04:30"/>
    <x v="0"/>
    <d v="1899-12-30T00:03:00"/>
    <x v="3"/>
    <s v=""/>
    <x v="105"/>
    <s v="2016-06-04 09:52:15"/>
    <d v="1899-12-30T00:03:54"/>
    <d v="1899-12-30T00:04:30"/>
    <x v="3"/>
  </r>
  <r>
    <x v="2"/>
    <x v="1"/>
    <s v="2016-06-04 09:52:15"/>
    <s v="2016-06-04 09:56:17"/>
    <d v="1899-12-30T00:04:02"/>
    <x v="0"/>
    <d v="1899-12-30T00:03:54"/>
    <x v="3"/>
    <s v=""/>
    <x v="106"/>
    <s v="2016-06-04 09:59:27"/>
    <d v="1899-12-30T00:03:10"/>
    <d v="1899-12-30T00:04:02"/>
    <x v="3"/>
  </r>
  <r>
    <x v="2"/>
    <x v="1"/>
    <s v="2016-06-04 09:59:27"/>
    <s v="2016-06-04 10:15:44"/>
    <d v="1899-12-30T00:16:17"/>
    <x v="0"/>
    <d v="1899-12-30T00:03:10"/>
    <x v="3"/>
    <s v=""/>
    <x v="107"/>
    <s v="2016-06-04 10:27:35"/>
    <d v="1899-12-30T00:11:51"/>
    <d v="1899-12-30T00:16:17"/>
    <x v="3"/>
  </r>
  <r>
    <x v="2"/>
    <x v="1"/>
    <s v="2016-06-04 10:27:35"/>
    <s v="2016-06-04 10:28:35"/>
    <d v="1899-12-30T00:01:00"/>
    <x v="0"/>
    <d v="1899-12-30T00:11:51"/>
    <x v="3"/>
    <s v=""/>
    <x v="108"/>
    <s v="2016-06-04 10:35:00"/>
    <d v="1899-12-30T00:06:25"/>
    <d v="1899-12-30T00:01:00"/>
    <x v="3"/>
  </r>
  <r>
    <x v="2"/>
    <x v="1"/>
    <s v="2016-06-04 10:35:00"/>
    <s v="2016-06-04 10:36:03"/>
    <d v="1899-12-30T00:01:03"/>
    <x v="0"/>
    <d v="1899-12-30T00:06:25"/>
    <x v="3"/>
    <s v=""/>
    <x v="109"/>
    <s v="2016-06-04 10:38:00"/>
    <d v="1899-12-30T00:01:57"/>
    <d v="1899-12-30T00:01:03"/>
    <x v="3"/>
  </r>
  <r>
    <x v="2"/>
    <x v="1"/>
    <s v="2016-06-04 10:38:00"/>
    <s v="2016-06-04 10:38:10"/>
    <d v="1899-12-30T00:00:10"/>
    <x v="0"/>
    <d v="1899-12-30T00:01:57"/>
    <x v="3"/>
    <s v=""/>
    <x v="110"/>
    <s v="2016-06-04 10:43:57"/>
    <d v="1899-12-30T00:05:47"/>
    <d v="1899-12-30T00:00:10"/>
    <x v="3"/>
  </r>
  <r>
    <x v="2"/>
    <x v="1"/>
    <s v="2016-06-04 10:43:57"/>
    <s v="2016-06-04 10:45:44"/>
    <d v="1899-12-30T00:01:47"/>
    <x v="0"/>
    <d v="1899-12-30T00:05:47"/>
    <x v="3"/>
    <s v=""/>
    <x v="111"/>
    <s v="2016-06-04 10:51:22"/>
    <d v="1899-12-30T00:05:38"/>
    <d v="1899-12-30T00:01:47"/>
    <x v="3"/>
  </r>
  <r>
    <x v="2"/>
    <x v="1"/>
    <s v="2016-06-04 10:51:22"/>
    <s v="2016-06-04 10:54:18"/>
    <d v="1899-12-30T00:02:56"/>
    <x v="0"/>
    <d v="1899-12-30T00:05:38"/>
    <x v="3"/>
    <s v=""/>
    <x v="112"/>
    <s v="2016-06-04 10:58:52"/>
    <d v="1899-12-30T00:04:34"/>
    <d v="1899-12-30T00:02:56"/>
    <x v="3"/>
  </r>
  <r>
    <x v="2"/>
    <x v="1"/>
    <s v="2016-06-04 10:58:52"/>
    <s v="2016-06-04 11:00:43"/>
    <d v="1899-12-30T00:01:51"/>
    <x v="0"/>
    <d v="1899-12-30T00:04:34"/>
    <x v="3"/>
    <s v=""/>
    <x v="113"/>
    <s v="2016-06-04 11:05:35"/>
    <d v="1899-12-30T00:04:52"/>
    <d v="1899-12-30T00:01:51"/>
    <x v="3"/>
  </r>
  <r>
    <x v="2"/>
    <x v="1"/>
    <s v="2016-06-04 11:05:35"/>
    <s v="2016-06-04 11:07:24"/>
    <d v="1899-12-30T00:01:49"/>
    <x v="0"/>
    <d v="1899-12-30T00:04:52"/>
    <x v="3"/>
    <s v=""/>
    <x v="114"/>
    <s v="2016-06-04 11:11:37"/>
    <d v="1899-12-30T00:04:13"/>
    <d v="1899-12-30T00:01:49"/>
    <x v="3"/>
  </r>
  <r>
    <x v="2"/>
    <x v="1"/>
    <s v="2016-06-04 11:11:37"/>
    <s v="2016-06-04 11:16:04"/>
    <d v="1899-12-30T00:04:27"/>
    <x v="0"/>
    <d v="1899-12-30T00:04:13"/>
    <x v="3"/>
    <s v=""/>
    <x v="115"/>
    <s v="2016-06-04 11:20:13"/>
    <d v="1899-12-30T00:04:09"/>
    <d v="1899-12-30T00:04:27"/>
    <x v="3"/>
  </r>
  <r>
    <x v="2"/>
    <x v="1"/>
    <s v="2016-06-04 11:20:13"/>
    <s v="2016-06-04 11:22:41"/>
    <d v="1899-12-30T00:02:28"/>
    <x v="0"/>
    <d v="1899-12-30T00:04:09"/>
    <x v="3"/>
    <s v=""/>
    <x v="116"/>
    <s v="2016-06-04 11:29:31"/>
    <d v="1899-12-30T00:06:50"/>
    <d v="1899-12-30T00:02:28"/>
    <x v="3"/>
  </r>
  <r>
    <x v="2"/>
    <x v="1"/>
    <s v="2016-06-04 11:29:31"/>
    <s v="2016-06-04 11:33:32"/>
    <d v="1899-12-30T00:04:01"/>
    <x v="0"/>
    <d v="1899-12-30T00:06:50"/>
    <x v="3"/>
    <s v=""/>
    <x v="117"/>
    <s v="2016-06-04 11:43:42"/>
    <d v="1899-12-30T00:10:10"/>
    <d v="1899-12-30T00:04:01"/>
    <x v="3"/>
  </r>
  <r>
    <x v="2"/>
    <x v="1"/>
    <s v="2016-06-04 11:43:42"/>
    <s v="2016-06-04 11:48:48"/>
    <d v="1899-12-30T00:05:06"/>
    <x v="0"/>
    <d v="1899-12-30T00:10:10"/>
    <x v="3"/>
    <s v=""/>
    <x v="118"/>
    <s v="2016-06-04 12:20:49"/>
    <d v="1899-12-30T00:32:01"/>
    <d v="1899-12-30T00:05:06"/>
    <x v="4"/>
  </r>
  <r>
    <x v="2"/>
    <x v="0"/>
    <s v="2016-06-04 12:20:49"/>
    <s v="2016-06-05 23:59:39"/>
    <d v="1899-12-31T11:38:50"/>
    <x v="0"/>
    <d v="1899-12-30T00:32:01"/>
    <x v="4"/>
    <s v=""/>
    <x v="1"/>
    <s v=""/>
    <s v=""/>
    <s v=""/>
    <x v="1"/>
  </r>
  <r>
    <x v="3"/>
    <x v="1"/>
    <s v="2016-06-04 07:56:57"/>
    <s v="2016-06-04 08:25:47"/>
    <d v="1899-12-30T00:28:50"/>
    <x v="1"/>
    <s v=""/>
    <x v="0"/>
    <s v=""/>
    <x v="119"/>
    <s v="2016-06-04 08:28:47"/>
    <d v="1899-12-30T00:03:00"/>
    <d v="1899-12-30T00:28:50"/>
    <x v="3"/>
  </r>
  <r>
    <x v="3"/>
    <x v="1"/>
    <s v="2016-06-04 08:28:47"/>
    <s v="2016-06-04 08:56:57"/>
    <d v="1899-12-30T00:28:10"/>
    <x v="1"/>
    <d v="1899-12-30T00:03:00"/>
    <x v="3"/>
    <s v=""/>
    <x v="120"/>
    <s v="2016-06-04 09:30:57"/>
    <d v="1899-12-30T00:34:00"/>
    <d v="1899-12-30T00:28:10"/>
    <x v="4"/>
  </r>
  <r>
    <x v="3"/>
    <x v="0"/>
    <s v="2016-06-04 09:30:57"/>
    <s v="2016-06-04 09:34:57"/>
    <d v="1899-12-30T00:04:00"/>
    <x v="1"/>
    <d v="1899-12-30T00:34:00"/>
    <x v="4"/>
    <s v=""/>
    <x v="121"/>
    <s v="2016-06-04 10:42:56"/>
    <d v="1899-12-30T01:07:59"/>
    <d v="1899-12-30T00:04:00"/>
    <x v="0"/>
  </r>
  <r>
    <x v="3"/>
    <x v="0"/>
    <s v="2016-06-04 10:42:56"/>
    <s v="2016-06-04 10:53:07"/>
    <d v="1899-12-30T00:10:11"/>
    <x v="1"/>
    <d v="1899-12-30T01:07:59"/>
    <x v="1"/>
    <s v=""/>
    <x v="122"/>
    <s v="2016-06-04 10:57:07"/>
    <d v="1899-12-30T00:04:00"/>
    <d v="1899-12-30T00:10:11"/>
    <x v="0"/>
  </r>
  <r>
    <x v="3"/>
    <x v="0"/>
    <s v="2016-06-04 10:57:07"/>
    <s v="2016-06-05 23:59:41"/>
    <d v="1899-12-31T13:02:34"/>
    <x v="1"/>
    <d v="1899-12-30T00:04:00"/>
    <x v="1"/>
    <s v=""/>
    <x v="1"/>
    <s v=""/>
    <s v=""/>
    <s v=""/>
    <x v="1"/>
  </r>
  <r>
    <x v="10"/>
    <x v="5"/>
    <s v="2016-06-04 08:23:54"/>
    <s v="2016-06-04 08:36:54"/>
    <d v="1899-12-30T00:13:00"/>
    <x v="1"/>
    <s v=""/>
    <x v="0"/>
    <s v=""/>
    <x v="123"/>
    <s v="2016-06-04 09:40:54"/>
    <d v="1899-12-30T01:04:00"/>
    <d v="1899-12-30T00:13:00"/>
    <x v="9"/>
  </r>
  <r>
    <x v="10"/>
    <x v="4"/>
    <s v="2016-06-04 09:40:54"/>
    <s v="2016-06-04 10:13:54"/>
    <d v="1899-12-30T00:33:00"/>
    <x v="1"/>
    <d v="1899-12-30T01:04:00"/>
    <x v="9"/>
    <s v=""/>
    <x v="124"/>
    <s v="2016-06-04 11:12:54"/>
    <d v="1899-12-30T00:59:00"/>
    <d v="1899-12-30T00:33:00"/>
    <x v="8"/>
  </r>
  <r>
    <x v="10"/>
    <x v="5"/>
    <s v="2016-06-04 11:12:54"/>
    <s v="2016-06-04 11:22:56"/>
    <d v="1899-12-30T00:10:02"/>
    <x v="1"/>
    <d v="1899-12-30T00:59:00"/>
    <x v="8"/>
    <s v=""/>
    <x v="125"/>
    <s v="2016-06-04 12:22:56"/>
    <d v="1899-12-30T01:00:00"/>
    <d v="1899-12-30T00:10:02"/>
    <x v="9"/>
  </r>
  <r>
    <x v="10"/>
    <x v="4"/>
    <s v="2016-06-04 12:22:56"/>
    <s v="2016-06-04 12:59:56"/>
    <d v="1899-12-30T00:37:00"/>
    <x v="1"/>
    <d v="1899-12-30T01:00:00"/>
    <x v="9"/>
    <s v=""/>
    <x v="126"/>
    <s v="2016-06-04 13:55:56"/>
    <d v="1899-12-30T00:56:00"/>
    <d v="1899-12-30T00:37:00"/>
    <x v="8"/>
  </r>
  <r>
    <x v="10"/>
    <x v="5"/>
    <s v="2016-06-04 13:55:56"/>
    <s v="2016-06-04 14:07:56"/>
    <d v="1899-12-30T00:12:00"/>
    <x v="1"/>
    <d v="1899-12-30T00:56:00"/>
    <x v="8"/>
    <s v=""/>
    <x v="127"/>
    <s v="2016-06-04 15:12:56"/>
    <d v="1899-12-30T01:05:00"/>
    <d v="1899-12-30T00:12:00"/>
    <x v="9"/>
  </r>
  <r>
    <x v="10"/>
    <x v="4"/>
    <s v="2016-06-04 15:12:56"/>
    <s v="2016-06-04 15:41:56"/>
    <d v="1899-12-30T00:29:00"/>
    <x v="1"/>
    <d v="1899-12-30T01:05:00"/>
    <x v="9"/>
    <s v=""/>
    <x v="128"/>
    <s v="2016-06-04 16:45:56"/>
    <d v="1899-12-30T01:04:00"/>
    <d v="1899-12-30T00:29:00"/>
    <x v="8"/>
  </r>
  <r>
    <x v="10"/>
    <x v="5"/>
    <s v="2016-06-04 16:45:56"/>
    <s v="2016-06-04 16:59:56"/>
    <d v="1899-12-30T00:14:00"/>
    <x v="1"/>
    <d v="1899-12-30T01:04:00"/>
    <x v="8"/>
    <s v=""/>
    <x v="129"/>
    <s v="2016-06-04 17:45:56"/>
    <d v="1899-12-30T00:46:00"/>
    <d v="1899-12-30T00:14:00"/>
    <x v="9"/>
  </r>
  <r>
    <x v="10"/>
    <x v="4"/>
    <s v="2016-06-04 17:45:56"/>
    <s v="2016-06-05 23:59:38"/>
    <d v="1899-12-31T06:13:42"/>
    <x v="1"/>
    <d v="1899-12-30T00:46:00"/>
    <x v="9"/>
    <s v=""/>
    <x v="1"/>
    <s v=""/>
    <s v=""/>
    <s v=""/>
    <x v="1"/>
  </r>
  <r>
    <x v="4"/>
    <x v="8"/>
    <s v="2016-06-04 08:40:26"/>
    <s v="2016-06-04 09:57:50"/>
    <d v="1899-12-30T01:17:24"/>
    <x v="1"/>
    <s v=""/>
    <x v="0"/>
    <s v=""/>
    <x v="130"/>
    <s v="2016-06-04 10:47:10"/>
    <d v="1899-12-30T00:49:20"/>
    <d v="1899-12-30T01:17:24"/>
    <x v="22"/>
  </r>
  <r>
    <x v="4"/>
    <x v="9"/>
    <s v="2016-06-04 10:47:10"/>
    <s v="2016-06-04 12:10:16"/>
    <d v="1899-12-30T01:23:06"/>
    <x v="1"/>
    <d v="1899-12-30T00:49:20"/>
    <x v="22"/>
    <s v=""/>
    <x v="1"/>
    <s v=""/>
    <s v=""/>
    <s v=""/>
    <x v="1"/>
  </r>
  <r>
    <x v="11"/>
    <x v="4"/>
    <s v="2016-06-04 05:40:07"/>
    <s v="2016-06-04 06:55:22"/>
    <d v="1899-12-30T01:15:15"/>
    <x v="1"/>
    <s v=""/>
    <x v="0"/>
    <s v=""/>
    <x v="131"/>
    <s v="2016-06-04 07:52:22"/>
    <d v="1899-12-30T00:57:00"/>
    <d v="1899-12-30T01:15:15"/>
    <x v="8"/>
  </r>
  <r>
    <x v="11"/>
    <x v="5"/>
    <s v="2016-06-04 07:52:22"/>
    <s v="2016-06-04 08:02:22"/>
    <d v="1899-12-30T00:10:00"/>
    <x v="1"/>
    <d v="1899-12-30T00:57:00"/>
    <x v="8"/>
    <s v=""/>
    <x v="132"/>
    <s v="2016-06-04 09:36:22"/>
    <d v="1899-12-30T01:34:00"/>
    <d v="1899-12-30T00:10:00"/>
    <x v="9"/>
  </r>
  <r>
    <x v="11"/>
    <x v="4"/>
    <s v="2016-06-04 09:36:22"/>
    <s v="2016-06-04 10:06:22"/>
    <d v="1899-12-30T00:30:00"/>
    <x v="1"/>
    <d v="1899-12-30T01:34:00"/>
    <x v="9"/>
    <s v=""/>
    <x v="133"/>
    <s v="2016-06-04 11:01:22"/>
    <d v="1899-12-30T00:55:00"/>
    <d v="1899-12-30T00:30:00"/>
    <x v="8"/>
  </r>
  <r>
    <x v="11"/>
    <x v="5"/>
    <s v="2016-06-04 11:01:22"/>
    <s v="2016-06-04 11:08:22"/>
    <d v="1899-12-30T00:07:00"/>
    <x v="1"/>
    <d v="1899-12-30T00:55:00"/>
    <x v="8"/>
    <s v=""/>
    <x v="134"/>
    <s v="2016-06-04 11:56:22"/>
    <d v="1899-12-30T00:48:00"/>
    <d v="1899-12-30T00:07:00"/>
    <x v="9"/>
  </r>
  <r>
    <x v="11"/>
    <x v="4"/>
    <s v="2016-06-04 11:56:22"/>
    <s v="2016-06-04 12:22:24"/>
    <d v="1899-12-30T00:26:02"/>
    <x v="1"/>
    <d v="1899-12-30T00:48:00"/>
    <x v="9"/>
    <s v=""/>
    <x v="135"/>
    <s v="2016-06-04 13:19:24"/>
    <d v="1899-12-30T00:57:00"/>
    <d v="1899-12-30T00:26:02"/>
    <x v="8"/>
  </r>
  <r>
    <x v="11"/>
    <x v="5"/>
    <s v="2016-06-04 13:19:24"/>
    <s v="2016-06-04 13:28:24"/>
    <d v="1899-12-30T00:09:00"/>
    <x v="1"/>
    <d v="1899-12-30T00:57:00"/>
    <x v="8"/>
    <s v=""/>
    <x v="136"/>
    <s v="2016-06-04 14:29:24"/>
    <d v="1899-12-30T01:01:00"/>
    <d v="1899-12-30T00:09:00"/>
    <x v="9"/>
  </r>
  <r>
    <x v="11"/>
    <x v="4"/>
    <s v="2016-06-04 14:29:24"/>
    <s v="2016-06-04 15:01:24"/>
    <d v="1899-12-30T00:32:00"/>
    <x v="1"/>
    <d v="1899-12-30T01:01:00"/>
    <x v="9"/>
    <s v=""/>
    <x v="137"/>
    <s v="2016-06-04 15:55:24"/>
    <d v="1899-12-30T00:54:00"/>
    <d v="1899-12-30T00:32:00"/>
    <x v="8"/>
  </r>
  <r>
    <x v="11"/>
    <x v="5"/>
    <s v="2016-06-04 15:55:24"/>
    <s v="2016-06-05 23:42:41"/>
    <d v="1899-12-31T07:47:17"/>
    <x v="1"/>
    <d v="1899-12-30T00:54:00"/>
    <x v="8"/>
    <s v=""/>
    <x v="1"/>
    <s v=""/>
    <s v=""/>
    <s v=""/>
    <x v="1"/>
  </r>
  <r>
    <x v="5"/>
    <x v="3"/>
    <s v="2016-06-04 07:22:39"/>
    <s v="2016-06-04 08:26:47"/>
    <d v="1899-12-30T01:04:08"/>
    <x v="1"/>
    <s v=""/>
    <x v="0"/>
    <s v=""/>
    <x v="138"/>
    <s v="2016-06-04 09:30:58"/>
    <d v="1899-12-30T01:04:11"/>
    <d v="1899-12-30T01:04:08"/>
    <x v="7"/>
  </r>
  <r>
    <x v="5"/>
    <x v="2"/>
    <s v="2016-06-04 09:30:58"/>
    <s v="2016-06-04 09:43:47"/>
    <d v="1899-12-30T00:12:49"/>
    <x v="1"/>
    <d v="1899-12-30T01:04:11"/>
    <x v="7"/>
    <s v=""/>
    <x v="139"/>
    <s v="2016-06-04 10:23:12"/>
    <d v="1899-12-30T00:39:25"/>
    <d v="1899-12-30T00:12:49"/>
    <x v="6"/>
  </r>
  <r>
    <x v="5"/>
    <x v="3"/>
    <s v="2016-06-04 10:23:12"/>
    <s v="2016-06-04 10:50:58"/>
    <d v="1899-12-30T00:27:46"/>
    <x v="1"/>
    <d v="1899-12-30T00:39:25"/>
    <x v="6"/>
    <s v=""/>
    <x v="140"/>
    <s v="2016-06-04 11:37:56"/>
    <d v="1899-12-30T00:46:58"/>
    <d v="1899-12-30T00:27:46"/>
    <x v="7"/>
  </r>
  <r>
    <x v="5"/>
    <x v="2"/>
    <s v="2016-06-04 11:37:56"/>
    <s v="2016-06-04 11:52:56"/>
    <d v="1899-12-30T00:15:00"/>
    <x v="1"/>
    <d v="1899-12-30T00:46:58"/>
    <x v="7"/>
    <s v=""/>
    <x v="141"/>
    <s v="2016-06-04 12:41:04"/>
    <d v="1899-12-30T00:48:08"/>
    <d v="1899-12-30T00:15:00"/>
    <x v="6"/>
  </r>
  <r>
    <x v="5"/>
    <x v="3"/>
    <s v="2016-06-04 12:41:04"/>
    <s v="2016-06-04 13:07:21"/>
    <d v="1899-12-30T00:26:17"/>
    <x v="1"/>
    <d v="1899-12-30T00:48:08"/>
    <x v="6"/>
    <s v=""/>
    <x v="142"/>
    <s v="2016-06-04 13:53:36"/>
    <d v="1899-12-30T00:46:15"/>
    <d v="1899-12-30T00:26:17"/>
    <x v="7"/>
  </r>
  <r>
    <x v="5"/>
    <x v="2"/>
    <s v="2016-06-04 13:53:36"/>
    <s v="2016-06-05 23:56:36"/>
    <d v="1899-12-31T10:03:00"/>
    <x v="1"/>
    <d v="1899-12-30T00:46:15"/>
    <x v="7"/>
    <s v=""/>
    <x v="1"/>
    <s v=""/>
    <s v=""/>
    <s v=""/>
    <x v="1"/>
  </r>
  <r>
    <x v="6"/>
    <x v="5"/>
    <s v="2016-06-04 07:54:27"/>
    <s v="2016-06-04 08:04:27"/>
    <d v="1899-12-30T00:10:00"/>
    <x v="1"/>
    <s v=""/>
    <x v="0"/>
    <s v=""/>
    <x v="143"/>
    <s v="2016-06-04 09:18:27"/>
    <d v="1899-12-30T01:14:00"/>
    <d v="1899-12-30T00:10:00"/>
    <x v="9"/>
  </r>
  <r>
    <x v="6"/>
    <x v="4"/>
    <s v="2016-06-04 09:18:27"/>
    <s v="2016-06-04 10:07:27"/>
    <d v="1899-12-30T00:49:00"/>
    <x v="1"/>
    <d v="1899-12-30T01:14:00"/>
    <x v="9"/>
    <s v=""/>
    <x v="144"/>
    <s v="2016-06-04 11:06:27"/>
    <d v="1899-12-30T00:59:00"/>
    <d v="1899-12-30T00:49:00"/>
    <x v="8"/>
  </r>
  <r>
    <x v="6"/>
    <x v="5"/>
    <s v="2016-06-04 11:06:27"/>
    <s v="2016-06-04 11:17:27"/>
    <d v="1899-12-30T00:11:00"/>
    <x v="1"/>
    <d v="1899-12-30T00:59:00"/>
    <x v="8"/>
    <s v=""/>
    <x v="145"/>
    <s v="2016-06-04 12:24:28"/>
    <d v="1899-12-30T01:07:01"/>
    <d v="1899-12-30T00:11:00"/>
    <x v="9"/>
  </r>
  <r>
    <x v="6"/>
    <x v="4"/>
    <s v="2016-06-04 12:24:28"/>
    <s v="2016-06-04 13:07:28"/>
    <d v="1899-12-30T00:43:00"/>
    <x v="1"/>
    <d v="1899-12-30T01:07:01"/>
    <x v="9"/>
    <s v=""/>
    <x v="146"/>
    <s v="2016-06-04 14:10:28"/>
    <d v="1899-12-30T01:03:00"/>
    <d v="1899-12-30T00:43:00"/>
    <x v="8"/>
  </r>
  <r>
    <x v="6"/>
    <x v="5"/>
    <s v="2016-06-04 14:10:28"/>
    <s v="2016-06-04 14:23:28"/>
    <d v="1899-12-30T00:13:00"/>
    <x v="1"/>
    <d v="1899-12-30T01:03:00"/>
    <x v="8"/>
    <s v=""/>
    <x v="147"/>
    <s v="2016-06-04 15:58:29"/>
    <d v="1899-12-30T01:35:01"/>
    <d v="1899-12-30T00:13:00"/>
    <x v="9"/>
  </r>
  <r>
    <x v="6"/>
    <x v="4"/>
    <s v="2016-06-04 15:58:29"/>
    <s v="2016-06-05 02:10:27"/>
    <d v="1899-12-30T10:11:58"/>
    <x v="1"/>
    <d v="1899-12-30T01:35:01"/>
    <x v="9"/>
    <s v=""/>
    <x v="1"/>
    <s v=""/>
    <s v=""/>
    <s v=""/>
    <x v="1"/>
  </r>
  <r>
    <x v="9"/>
    <x v="7"/>
    <s v="2016-06-04 07:36:31"/>
    <s v="2016-06-04 07:44:15"/>
    <d v="1899-12-30T00:07:44"/>
    <x v="1"/>
    <s v=""/>
    <x v="0"/>
    <s v=""/>
    <x v="148"/>
    <s v="2016-06-04 08:16:08"/>
    <d v="1899-12-30T00:31:53"/>
    <d v="1899-12-30T00:07:44"/>
    <x v="18"/>
  </r>
  <r>
    <x v="9"/>
    <x v="7"/>
    <s v="2016-06-04 08:16:08"/>
    <s v="2016-06-04 08:16:48"/>
    <d v="1899-12-30T00:00:40"/>
    <x v="1"/>
    <d v="1899-12-30T00:31:53"/>
    <x v="18"/>
    <s v=""/>
    <x v="1"/>
    <s v=""/>
    <s v=""/>
    <s v=""/>
    <x v="1"/>
  </r>
  <r>
    <x v="12"/>
    <x v="3"/>
    <s v="2016-05-28 15:09:51"/>
    <s v="2016-05-30 08:48:43"/>
    <d v="1899-12-31T17:38:52"/>
    <x v="1"/>
    <s v=""/>
    <x v="0"/>
    <s v=""/>
    <x v="149"/>
    <s v="2016-05-30 09:39:15"/>
    <d v="1899-12-30T00:50:32"/>
    <d v="1899-12-31T17:38:52"/>
    <x v="7"/>
  </r>
  <r>
    <x v="12"/>
    <x v="2"/>
    <s v="2016-05-30 09:39:15"/>
    <s v="2016-05-30 09:45:57"/>
    <d v="1899-12-30T00:06:42"/>
    <x v="1"/>
    <d v="1899-12-30T00:50:32"/>
    <x v="7"/>
    <s v=""/>
    <x v="150"/>
    <s v="2016-05-30 10:19:06"/>
    <d v="1899-12-30T00:33:09"/>
    <d v="1899-12-30T00:06:42"/>
    <x v="6"/>
  </r>
  <r>
    <x v="12"/>
    <x v="3"/>
    <s v="2016-05-30 10:19:06"/>
    <s v="2016-05-30 10:42:44"/>
    <d v="1899-12-30T00:23:38"/>
    <x v="1"/>
    <d v="1899-12-30T00:33:09"/>
    <x v="6"/>
    <s v=""/>
    <x v="151"/>
    <s v="2016-05-30 12:09:38"/>
    <d v="1899-12-30T01:26:54"/>
    <d v="1899-12-30T00:23:38"/>
    <x v="7"/>
  </r>
  <r>
    <x v="12"/>
    <x v="2"/>
    <s v="2016-05-30 12:09:38"/>
    <s v="2016-05-30 12:14:06"/>
    <d v="1899-12-30T00:04:28"/>
    <x v="1"/>
    <d v="1899-12-30T01:26:54"/>
    <x v="7"/>
    <s v=""/>
    <x v="152"/>
    <s v="2016-05-30 12:14:36"/>
    <d v="1899-12-30T00:00:30"/>
    <d v="1899-12-30T00:04:28"/>
    <x v="5"/>
  </r>
  <r>
    <x v="12"/>
    <x v="2"/>
    <s v="2016-05-30 12:14:36"/>
    <s v="2016-05-30 12:15:08"/>
    <d v="1899-12-30T00:00:32"/>
    <x v="1"/>
    <d v="1899-12-30T00:00:30"/>
    <x v="5"/>
    <s v=""/>
    <x v="153"/>
    <s v="2016-05-30 13:18:37"/>
    <d v="1899-12-30T01:03:29"/>
    <d v="1899-12-30T00:00:32"/>
    <x v="6"/>
  </r>
  <r>
    <x v="12"/>
    <x v="3"/>
    <s v="2016-05-30 13:18:37"/>
    <s v="2016-05-30 14:09:24"/>
    <d v="1899-12-30T00:50:47"/>
    <x v="1"/>
    <d v="1899-12-30T01:03:29"/>
    <x v="6"/>
    <s v=""/>
    <x v="154"/>
    <s v="2016-05-30 14:59:24"/>
    <d v="1899-12-30T00:50:00"/>
    <d v="1899-12-30T00:50:47"/>
    <x v="7"/>
  </r>
  <r>
    <x v="12"/>
    <x v="2"/>
    <s v="2016-05-30 14:59:24"/>
    <s v="2016-05-30 15:04:17"/>
    <d v="1899-12-30T00:04:53"/>
    <x v="1"/>
    <d v="1899-12-30T00:50:00"/>
    <x v="7"/>
    <s v=""/>
    <x v="155"/>
    <s v="2016-05-30 15:58:47"/>
    <d v="1899-12-30T00:54:30"/>
    <d v="1899-12-30T00:04:53"/>
    <x v="6"/>
  </r>
  <r>
    <x v="12"/>
    <x v="3"/>
    <s v="2016-05-30 15:58:47"/>
    <s v="2016-05-30 16:38:34"/>
    <d v="1899-12-30T00:39:47"/>
    <x v="1"/>
    <d v="1899-12-30T00:54:30"/>
    <x v="6"/>
    <s v="02:27:07"/>
    <x v="156"/>
    <s v="2016-05-30 17:22:01"/>
    <d v="1899-12-30T00:43:27"/>
    <d v="1899-12-30T00:39:47"/>
    <x v="7"/>
  </r>
  <r>
    <x v="12"/>
    <x v="2"/>
    <s v="2016-05-30 17:22:01"/>
    <s v="2016-05-30 17:27:57"/>
    <d v="1899-12-30T00:05:56"/>
    <x v="1"/>
    <d v="1899-12-30T00:43:27"/>
    <x v="7"/>
    <s v="02:27:07"/>
    <x v="157"/>
    <s v="2016-05-30 18:08:08"/>
    <d v="1899-12-30T00:40:11"/>
    <d v="1899-12-30T00:05:56"/>
    <x v="6"/>
  </r>
  <r>
    <x v="12"/>
    <x v="3"/>
    <s v="2016-05-30 18:08:08"/>
    <s v="2016-05-31 08:38:55"/>
    <d v="1899-12-30T14:30:47"/>
    <x v="1"/>
    <d v="1899-12-30T00:40:11"/>
    <x v="6"/>
    <s v="02:27:07"/>
    <x v="1"/>
    <s v=""/>
    <s v=""/>
    <s v=""/>
    <x v="1"/>
  </r>
  <r>
    <x v="13"/>
    <x v="10"/>
    <s v="2016-05-28 12:47:46"/>
    <s v="2016-05-30 12:53:32"/>
    <d v="1900-01-01T00:05:46"/>
    <x v="1"/>
    <s v=""/>
    <x v="0"/>
    <s v="01:19:33"/>
    <x v="158"/>
    <s v="2016-05-30 13:59:09"/>
    <d v="1899-12-30T01:05:37"/>
    <d v="1900-01-01T00:05:46"/>
    <x v="23"/>
  </r>
  <r>
    <x v="13"/>
    <x v="5"/>
    <s v="2016-05-30 13:59:09"/>
    <s v="2016-05-30 14:36:02"/>
    <d v="1899-12-30T00:36:53"/>
    <x v="1"/>
    <d v="1899-12-30T01:05:37"/>
    <x v="23"/>
    <s v="01:19:33"/>
    <x v="159"/>
    <s v="2016-05-30 15:35:05"/>
    <d v="1899-12-30T00:59:03"/>
    <d v="1899-12-30T00:36:53"/>
    <x v="24"/>
  </r>
  <r>
    <x v="13"/>
    <x v="10"/>
    <s v="2016-05-30 15:35:05"/>
    <s v="2016-05-30 16:34:53"/>
    <d v="1899-12-30T00:59:48"/>
    <x v="1"/>
    <d v="1899-12-30T00:59:03"/>
    <x v="24"/>
    <s v="01:19:33"/>
    <x v="160"/>
    <s v="2016-05-30 17:36:12"/>
    <d v="1899-12-30T01:01:19"/>
    <d v="1899-12-30T00:59:48"/>
    <x v="23"/>
  </r>
  <r>
    <x v="13"/>
    <x v="5"/>
    <s v="2016-05-30 17:36:12"/>
    <s v="2016-05-30 17:45:35"/>
    <d v="1899-12-30T00:09:23"/>
    <x v="1"/>
    <d v="1899-12-30T01:01:19"/>
    <x v="23"/>
    <s v="01:19:33"/>
    <x v="161"/>
    <s v="2016-05-30 18:38:56"/>
    <d v="1899-12-30T00:53:21"/>
    <d v="1899-12-30T00:09:23"/>
    <x v="24"/>
  </r>
  <r>
    <x v="13"/>
    <x v="10"/>
    <s v="2016-05-30 18:38:56"/>
    <s v="2016-05-31 08:28:33"/>
    <d v="1899-12-30T13:49:37"/>
    <x v="1"/>
    <d v="1899-12-30T00:53:21"/>
    <x v="24"/>
    <s v="01:19:33"/>
    <x v="1"/>
    <s v=""/>
    <s v=""/>
    <s v=""/>
    <x v="1"/>
  </r>
  <r>
    <x v="14"/>
    <x v="8"/>
    <s v="2016-05-28 13:54:50"/>
    <s v="2016-05-31 08:31:02"/>
    <d v="1900-01-01T18:36:12"/>
    <x v="1"/>
    <s v=""/>
    <x v="0"/>
    <s v="00:29:40"/>
    <x v="1"/>
    <s v=""/>
    <s v=""/>
    <s v=""/>
    <x v="1"/>
  </r>
  <r>
    <x v="15"/>
    <x v="8"/>
    <s v="2016-05-27 19:42:59"/>
    <s v="2016-05-30 07:41:24"/>
    <d v="1900-01-01T11:58:25"/>
    <x v="1"/>
    <s v=""/>
    <x v="0"/>
    <s v=""/>
    <x v="1"/>
    <s v=""/>
    <s v=""/>
    <s v=""/>
    <x v="1"/>
  </r>
  <r>
    <x v="16"/>
    <x v="8"/>
    <s v="2016-05-28 14:41:25"/>
    <s v="2016-05-30 08:28:08"/>
    <d v="1899-12-31T17:46:43"/>
    <x v="1"/>
    <s v=""/>
    <x v="0"/>
    <s v=""/>
    <x v="162"/>
    <s v="2016-05-30 08:50:18"/>
    <d v="1899-12-30T00:22:10"/>
    <d v="1899-12-31T17:46:43"/>
    <x v="25"/>
  </r>
  <r>
    <x v="16"/>
    <x v="11"/>
    <s v="2016-05-30 08:50:18"/>
    <s v="2016-05-30 08:50:47"/>
    <d v="1899-12-30T00:00:29"/>
    <x v="1"/>
    <d v="1899-12-30T00:22:10"/>
    <x v="25"/>
    <s v=""/>
    <x v="163"/>
    <s v="2016-05-30 19:02:16"/>
    <d v="1899-12-30T10:11:29"/>
    <d v="1899-12-30T00:00:29"/>
    <x v="26"/>
  </r>
  <r>
    <x v="16"/>
    <x v="12"/>
    <s v="2016-05-30 19:02:16"/>
    <s v="2016-05-31 08:54:30"/>
    <d v="1899-12-30T13:52:14"/>
    <x v="1"/>
    <d v="1899-12-30T10:11:29"/>
    <x v="26"/>
    <s v=""/>
    <x v="1"/>
    <s v=""/>
    <s v=""/>
    <s v=""/>
    <x v="1"/>
  </r>
  <r>
    <x v="17"/>
    <x v="12"/>
    <s v="2016-05-28 12:45:21"/>
    <s v="2016-05-30 05:23:59"/>
    <d v="1899-12-31T16:38:38"/>
    <x v="1"/>
    <s v=""/>
    <x v="0"/>
    <s v=""/>
    <x v="164"/>
    <s v="2016-05-30 06:42:02"/>
    <d v="1899-12-30T01:18:03"/>
    <d v="1899-12-31T16:38:38"/>
    <x v="27"/>
  </r>
  <r>
    <x v="17"/>
    <x v="10"/>
    <s v="2016-05-30 06:42:02"/>
    <s v="2016-05-30 08:56:18"/>
    <d v="1899-12-30T02:14:16"/>
    <x v="1"/>
    <d v="1899-12-30T01:18:03"/>
    <x v="27"/>
    <s v=""/>
    <x v="165"/>
    <s v="2016-05-30 10:52:21"/>
    <d v="1899-12-30T01:56:03"/>
    <d v="1899-12-30T02:14:16"/>
    <x v="28"/>
  </r>
  <r>
    <x v="17"/>
    <x v="12"/>
    <s v="2016-05-30 10:52:21"/>
    <s v="2016-05-30 10:54:42"/>
    <d v="1899-12-30T00:02:21"/>
    <x v="1"/>
    <d v="1899-12-30T01:56:03"/>
    <x v="28"/>
    <s v=""/>
    <x v="166"/>
    <s v="2016-05-30 10:56:13"/>
    <d v="1899-12-30T00:01:31"/>
    <d v="1899-12-30T00:02:21"/>
    <x v="29"/>
  </r>
  <r>
    <x v="17"/>
    <x v="11"/>
    <s v="2016-05-30 10:56:13"/>
    <s v="2016-05-30 10:59:51"/>
    <d v="1899-12-30T00:03:38"/>
    <x v="1"/>
    <d v="1899-12-30T00:01:31"/>
    <x v="29"/>
    <s v=""/>
    <x v="167"/>
    <s v="2016-05-30 11:08:04"/>
    <d v="1899-12-30T00:08:13"/>
    <d v="1899-12-30T00:03:38"/>
    <x v="30"/>
  </r>
  <r>
    <x v="17"/>
    <x v="11"/>
    <s v="2016-05-30 11:08:04"/>
    <s v="2016-05-30 11:31:31"/>
    <d v="1899-12-30T00:23:27"/>
    <x v="1"/>
    <d v="1899-12-30T00:08:13"/>
    <x v="30"/>
    <s v=""/>
    <x v="168"/>
    <s v="2016-05-30 11:40:03"/>
    <d v="1899-12-30T00:08:32"/>
    <d v="1899-12-30T00:23:27"/>
    <x v="30"/>
  </r>
  <r>
    <x v="17"/>
    <x v="11"/>
    <s v="2016-05-30 11:40:03"/>
    <s v="2016-05-30 11:40:36"/>
    <d v="1899-12-30T00:00:33"/>
    <x v="1"/>
    <d v="1899-12-30T00:08:32"/>
    <x v="30"/>
    <s v=""/>
    <x v="169"/>
    <s v="2016-05-30 11:42:13"/>
    <d v="1899-12-30T00:01:37"/>
    <d v="1899-12-30T00:00:33"/>
    <x v="26"/>
  </r>
  <r>
    <x v="17"/>
    <x v="12"/>
    <s v="2016-05-30 11:42:13"/>
    <s v="2016-05-30 11:45:23"/>
    <d v="1899-12-30T00:03:10"/>
    <x v="1"/>
    <d v="1899-12-30T00:01:37"/>
    <x v="26"/>
    <s v=""/>
    <x v="170"/>
    <s v="2016-05-30 13:15:18"/>
    <d v="1899-12-30T01:29:55"/>
    <d v="1899-12-30T00:03:10"/>
    <x v="27"/>
  </r>
  <r>
    <x v="17"/>
    <x v="10"/>
    <s v="2016-05-30 13:15:18"/>
    <s v="2016-05-30 14:18:18"/>
    <d v="1899-12-30T01:03:00"/>
    <x v="1"/>
    <d v="1899-12-30T01:29:55"/>
    <x v="27"/>
    <s v=""/>
    <x v="171"/>
    <s v="2016-05-30 15:30:05"/>
    <d v="1899-12-30T01:11:47"/>
    <d v="1899-12-30T01:03:00"/>
    <x v="28"/>
  </r>
  <r>
    <x v="17"/>
    <x v="12"/>
    <s v="2016-05-30 15:30:05"/>
    <s v="2016-05-30 15:41:45"/>
    <d v="1899-12-30T00:11:40"/>
    <x v="1"/>
    <d v="1899-12-30T01:11:47"/>
    <x v="28"/>
    <s v=""/>
    <x v="172"/>
    <s v="2016-05-30 15:42:58"/>
    <d v="1899-12-30T00:01:13"/>
    <d v="1899-12-30T00:11:40"/>
    <x v="29"/>
  </r>
  <r>
    <x v="17"/>
    <x v="11"/>
    <s v="2016-05-30 15:42:58"/>
    <s v="2016-05-30 15:46:45"/>
    <d v="1899-12-30T00:03:47"/>
    <x v="1"/>
    <d v="1899-12-30T00:01:13"/>
    <x v="29"/>
    <s v=""/>
    <x v="173"/>
    <s v="2016-05-30 15:56:33"/>
    <d v="1899-12-30T00:09:48"/>
    <d v="1899-12-30T00:03:47"/>
    <x v="30"/>
  </r>
  <r>
    <x v="17"/>
    <x v="11"/>
    <s v="2016-05-30 15:56:33"/>
    <s v="2016-05-30 16:01:28"/>
    <d v="1899-12-30T00:04:55"/>
    <x v="1"/>
    <d v="1899-12-30T00:09:48"/>
    <x v="30"/>
    <s v=""/>
    <x v="174"/>
    <s v="2016-05-30 16:09:20"/>
    <d v="1899-12-30T00:07:52"/>
    <d v="1899-12-30T00:04:55"/>
    <x v="30"/>
  </r>
  <r>
    <x v="17"/>
    <x v="11"/>
    <s v="2016-05-30 16:09:20"/>
    <s v="2016-05-30 16:09:55"/>
    <d v="1899-12-30T00:00:35"/>
    <x v="1"/>
    <d v="1899-12-30T00:07:52"/>
    <x v="30"/>
    <s v=""/>
    <x v="175"/>
    <s v="2016-05-30 16:11:37"/>
    <d v="1899-12-30T00:01:42"/>
    <d v="1899-12-30T00:00:35"/>
    <x v="26"/>
  </r>
  <r>
    <x v="17"/>
    <x v="12"/>
    <s v="2016-05-30 16:11:37"/>
    <s v="2016-05-31 07:17:26"/>
    <d v="1899-12-30T15:05:49"/>
    <x v="1"/>
    <d v="1899-12-30T00:01:42"/>
    <x v="26"/>
    <s v=""/>
    <x v="1"/>
    <s v=""/>
    <s v=""/>
    <s v=""/>
    <x v="1"/>
  </r>
  <r>
    <x v="18"/>
    <x v="3"/>
    <s v="2016-05-30 12:33:55"/>
    <s v="2016-05-30 16:12:11"/>
    <d v="1899-12-30T03:38:16"/>
    <x v="1"/>
    <s v=""/>
    <x v="0"/>
    <s v=""/>
    <x v="176"/>
    <s v="2016-06-03 11:23:49"/>
    <d v="1900-01-02T19:11:38"/>
    <d v="1899-12-30T03:38:16"/>
    <x v="7"/>
  </r>
  <r>
    <x v="18"/>
    <x v="2"/>
    <s v="2016-06-03 11:23:49"/>
    <s v="2016-06-03 15:40:30"/>
    <d v="1899-12-30T04:16:41"/>
    <x v="2"/>
    <d v="1900-01-02T19:11:38"/>
    <x v="7"/>
    <s v=""/>
    <x v="1"/>
    <s v=""/>
    <s v=""/>
    <s v=""/>
    <x v="1"/>
  </r>
  <r>
    <x v="19"/>
    <x v="12"/>
    <s v="2016-05-28 11:36:00"/>
    <s v="2016-05-30 05:26:31"/>
    <d v="1899-12-31T17:50:31"/>
    <x v="1"/>
    <s v=""/>
    <x v="0"/>
    <s v=""/>
    <x v="177"/>
    <s v="2016-05-30 06:45:07"/>
    <d v="1899-12-30T01:18:36"/>
    <d v="1899-12-31T17:50:31"/>
    <x v="27"/>
  </r>
  <r>
    <x v="19"/>
    <x v="10"/>
    <s v="2016-05-30 06:45:07"/>
    <s v="2016-05-30 08:55:43"/>
    <d v="1899-12-30T02:10:36"/>
    <x v="1"/>
    <d v="1899-12-30T01:18:36"/>
    <x v="27"/>
    <s v=""/>
    <x v="178"/>
    <s v="2016-05-30 10:52:13"/>
    <d v="1899-12-30T01:56:30"/>
    <d v="1899-12-30T02:10:36"/>
    <x v="28"/>
  </r>
  <r>
    <x v="19"/>
    <x v="12"/>
    <s v="2016-05-30 10:52:13"/>
    <s v="2016-05-30 10:53:58"/>
    <d v="1899-12-30T00:01:45"/>
    <x v="1"/>
    <d v="1899-12-30T01:56:30"/>
    <x v="28"/>
    <s v=""/>
    <x v="179"/>
    <s v="2016-05-30 10:54:56"/>
    <d v="1899-12-30T00:00:58"/>
    <d v="1899-12-30T00:01:45"/>
    <x v="29"/>
  </r>
  <r>
    <x v="19"/>
    <x v="11"/>
    <s v="2016-05-30 10:54:56"/>
    <s v="2016-05-30 10:58:52"/>
    <d v="1899-12-30T00:03:56"/>
    <x v="1"/>
    <d v="1899-12-30T00:00:58"/>
    <x v="29"/>
    <s v=""/>
    <x v="180"/>
    <s v="2016-05-30 11:11:39"/>
    <d v="1899-12-30T00:12:47"/>
    <d v="1899-12-30T00:03:56"/>
    <x v="30"/>
  </r>
  <r>
    <x v="19"/>
    <x v="11"/>
    <s v="2016-05-30 11:11:39"/>
    <s v="2016-05-30 11:12:45"/>
    <d v="1899-12-30T00:01:06"/>
    <x v="1"/>
    <d v="1899-12-30T00:12:47"/>
    <x v="30"/>
    <s v=""/>
    <x v="181"/>
    <s v="2016-05-30 11:15:15"/>
    <d v="1899-12-30T00:02:30"/>
    <d v="1899-12-30T00:01:06"/>
    <x v="30"/>
  </r>
  <r>
    <x v="19"/>
    <x v="11"/>
    <s v="2016-05-30 11:15:15"/>
    <s v="2016-05-30 11:15:25"/>
    <d v="1899-12-30T00:00:10"/>
    <x v="1"/>
    <d v="1899-12-30T00:02:30"/>
    <x v="30"/>
    <s v=""/>
    <x v="182"/>
    <s v="2016-05-30 11:20:53"/>
    <d v="1899-12-30T00:05:28"/>
    <d v="1899-12-30T00:00:10"/>
    <x v="30"/>
  </r>
  <r>
    <x v="19"/>
    <x v="11"/>
    <s v="2016-05-30 11:20:53"/>
    <s v="2016-05-30 11:21:03"/>
    <d v="1899-12-30T00:00:10"/>
    <x v="1"/>
    <d v="1899-12-30T00:05:28"/>
    <x v="30"/>
    <s v=""/>
    <x v="183"/>
    <s v="2016-05-30 11:23:10"/>
    <d v="1899-12-30T00:02:07"/>
    <d v="1899-12-30T00:00:10"/>
    <x v="26"/>
  </r>
  <r>
    <x v="19"/>
    <x v="12"/>
    <s v="2016-05-30 11:23:10"/>
    <s v="2016-05-30 12:00:03"/>
    <d v="1899-12-30T00:36:53"/>
    <x v="1"/>
    <d v="1899-12-30T00:02:07"/>
    <x v="26"/>
    <s v=""/>
    <x v="184"/>
    <s v="2016-05-30 13:15:35"/>
    <d v="1899-12-30T01:15:32"/>
    <d v="1899-12-30T00:36:53"/>
    <x v="27"/>
  </r>
  <r>
    <x v="19"/>
    <x v="10"/>
    <s v="2016-05-30 13:15:35"/>
    <s v="2016-05-30 14:17:47"/>
    <d v="1899-12-30T01:02:12"/>
    <x v="1"/>
    <d v="1899-12-30T01:15:32"/>
    <x v="27"/>
    <s v=""/>
    <x v="185"/>
    <s v="2016-05-30 15:29:45"/>
    <d v="1899-12-30T01:11:58"/>
    <d v="1899-12-30T01:02:12"/>
    <x v="28"/>
  </r>
  <r>
    <x v="19"/>
    <x v="12"/>
    <s v="2016-05-30 15:29:45"/>
    <s v="2016-05-30 15:38:56"/>
    <d v="1899-12-30T00:09:11"/>
    <x v="1"/>
    <d v="1899-12-30T01:11:58"/>
    <x v="28"/>
    <s v=""/>
    <x v="186"/>
    <s v="2016-05-30 15:40:14"/>
    <d v="1899-12-30T00:01:18"/>
    <d v="1899-12-30T00:09:11"/>
    <x v="29"/>
  </r>
  <r>
    <x v="19"/>
    <x v="11"/>
    <s v="2016-05-30 15:40:14"/>
    <s v="2016-05-30 15:45:09"/>
    <d v="1899-12-30T00:04:55"/>
    <x v="1"/>
    <d v="1899-12-30T00:01:18"/>
    <x v="29"/>
    <s v=""/>
    <x v="187"/>
    <s v="2016-05-30 15:49:34"/>
    <d v="1899-12-30T00:04:25"/>
    <d v="1899-12-30T00:04:55"/>
    <x v="30"/>
  </r>
  <r>
    <x v="19"/>
    <x v="11"/>
    <s v="2016-05-30 15:49:34"/>
    <s v="2016-05-30 16:01:01"/>
    <d v="1899-12-30T00:11:27"/>
    <x v="1"/>
    <d v="1899-12-30T00:04:25"/>
    <x v="30"/>
    <s v=""/>
    <x v="188"/>
    <s v="2016-05-30 16:01:56"/>
    <d v="1899-12-30T00:00:55"/>
    <d v="1899-12-30T00:11:27"/>
    <x v="26"/>
  </r>
  <r>
    <x v="19"/>
    <x v="12"/>
    <s v="2016-05-30 16:01:56"/>
    <s v="2016-05-30 16:03:11"/>
    <d v="1899-12-30T00:01:15"/>
    <x v="1"/>
    <d v="1899-12-30T00:00:55"/>
    <x v="26"/>
    <s v=""/>
    <x v="189"/>
    <s v="2016-05-30 16:03:11"/>
    <d v="1899-12-30T00:00:00"/>
    <d v="1899-12-30T00:01:15"/>
    <x v="29"/>
  </r>
  <r>
    <x v="19"/>
    <x v="11"/>
    <s v="2016-05-30 16:03:11"/>
    <s v="2016-05-30 16:04:24"/>
    <d v="1899-12-30T00:01:13"/>
    <x v="1"/>
    <d v="1899-12-30T00:00:00"/>
    <x v="29"/>
    <s v=""/>
    <x v="190"/>
    <s v="2016-05-30 16:08:40"/>
    <d v="1899-12-30T00:04:16"/>
    <d v="1899-12-30T00:01:13"/>
    <x v="30"/>
  </r>
  <r>
    <x v="19"/>
    <x v="11"/>
    <s v="2016-05-30 16:08:40"/>
    <s v="2016-05-30 16:08:45"/>
    <d v="1899-12-30T00:00:05"/>
    <x v="1"/>
    <d v="1899-12-30T00:04:16"/>
    <x v="30"/>
    <s v=""/>
    <x v="191"/>
    <s v="2016-05-30 16:10:36"/>
    <d v="1899-12-30T00:01:51"/>
    <d v="1899-12-30T00:00:05"/>
    <x v="26"/>
  </r>
  <r>
    <x v="19"/>
    <x v="12"/>
    <s v="2016-05-30 16:10:36"/>
    <s v="2016-05-31 07:17:52"/>
    <d v="1899-12-30T15:07:16"/>
    <x v="1"/>
    <d v="1899-12-30T00:01:51"/>
    <x v="26"/>
    <s v=""/>
    <x v="1"/>
    <s v=""/>
    <s v=""/>
    <s v=""/>
    <x v="1"/>
  </r>
  <r>
    <x v="11"/>
    <x v="5"/>
    <s v="2016-05-26 17:32:16"/>
    <s v="2016-05-30 05:37:47"/>
    <d v="1900-01-02T12:05:31"/>
    <x v="1"/>
    <s v=""/>
    <x v="0"/>
    <s v=""/>
    <x v="192"/>
    <s v="2016-05-30 06:35:51"/>
    <d v="1899-12-30T00:58:04"/>
    <d v="1900-01-02T12:05:31"/>
    <x v="24"/>
  </r>
  <r>
    <x v="11"/>
    <x v="10"/>
    <s v="2016-05-30 06:35:51"/>
    <s v="2016-05-30 09:05:45"/>
    <d v="1899-12-30T02:29:54"/>
    <x v="1"/>
    <d v="1899-12-30T00:58:04"/>
    <x v="24"/>
    <s v=""/>
    <x v="193"/>
    <s v="2016-05-30 09:58:51"/>
    <d v="1899-12-30T00:53:06"/>
    <d v="1899-12-30T02:29:54"/>
    <x v="23"/>
  </r>
  <r>
    <x v="11"/>
    <x v="5"/>
    <s v="2016-05-30 09:58:51"/>
    <s v="2016-05-30 10:13:52"/>
    <d v="1899-12-30T00:15:01"/>
    <x v="1"/>
    <d v="1899-12-30T00:53:06"/>
    <x v="23"/>
    <s v=""/>
    <x v="194"/>
    <s v="2016-05-30 11:35:52"/>
    <d v="1899-12-30T01:22:00"/>
    <d v="1899-12-30T00:15:01"/>
    <x v="24"/>
  </r>
  <r>
    <x v="11"/>
    <x v="10"/>
    <s v="2016-05-30 11:35:52"/>
    <s v="2016-05-30 12:37:57"/>
    <d v="1899-12-30T01:02:05"/>
    <x v="1"/>
    <d v="1899-12-30T01:22:00"/>
    <x v="24"/>
    <s v=""/>
    <x v="195"/>
    <s v="2016-05-30 13:38:52"/>
    <d v="1899-12-30T01:00:55"/>
    <d v="1899-12-30T01:02:05"/>
    <x v="23"/>
  </r>
  <r>
    <x v="11"/>
    <x v="5"/>
    <s v="2016-05-30 13:38:52"/>
    <s v="2016-05-30 13:48:52"/>
    <d v="1899-12-30T00:10:00"/>
    <x v="1"/>
    <d v="1899-12-30T01:00:55"/>
    <x v="23"/>
    <s v=""/>
    <x v="196"/>
    <s v="2016-05-30 15:34:14"/>
    <d v="1899-12-30T01:45:22"/>
    <d v="1899-12-30T00:10:00"/>
    <x v="24"/>
  </r>
  <r>
    <x v="11"/>
    <x v="10"/>
    <s v="2016-05-30 15:34:14"/>
    <s v="2016-05-30 16:17:31"/>
    <d v="1899-12-30T00:43:17"/>
    <x v="1"/>
    <d v="1899-12-30T01:45:22"/>
    <x v="24"/>
    <s v=""/>
    <x v="197"/>
    <s v="2016-05-30 17:13:52"/>
    <d v="1899-12-30T00:56:21"/>
    <d v="1899-12-30T00:43:17"/>
    <x v="23"/>
  </r>
  <r>
    <x v="11"/>
    <x v="5"/>
    <s v="2016-05-30 17:13:52"/>
    <s v="2016-05-31 05:34:36"/>
    <d v="1899-12-30T12:20:44"/>
    <x v="1"/>
    <d v="1899-12-30T00:56:21"/>
    <x v="23"/>
    <s v=""/>
    <x v="1"/>
    <s v=""/>
    <s v=""/>
    <s v=""/>
    <x v="1"/>
  </r>
  <r>
    <x v="6"/>
    <x v="10"/>
    <s v="2016-05-27 15:12:51"/>
    <s v="2016-05-30 08:42:59"/>
    <d v="1900-01-01T17:30:08"/>
    <x v="1"/>
    <s v=""/>
    <x v="0"/>
    <s v=""/>
    <x v="198"/>
    <s v="2016-05-30 09:38:03"/>
    <d v="1899-12-30T00:55:04"/>
    <d v="1900-01-01T17:30:08"/>
    <x v="23"/>
  </r>
  <r>
    <x v="6"/>
    <x v="5"/>
    <s v="2016-05-30 09:38:03"/>
    <s v="2016-05-30 09:53:03"/>
    <d v="1899-12-30T00:15:00"/>
    <x v="1"/>
    <d v="1899-12-30T00:55:04"/>
    <x v="23"/>
    <s v=""/>
    <x v="199"/>
    <s v="2016-05-30 11:19:39"/>
    <d v="1899-12-30T01:26:36"/>
    <d v="1899-12-30T00:15:00"/>
    <x v="24"/>
  </r>
  <r>
    <x v="6"/>
    <x v="10"/>
    <s v="2016-05-30 11:19:39"/>
    <s v="2016-05-30 12:34:21"/>
    <d v="1899-12-30T01:14:42"/>
    <x v="1"/>
    <d v="1899-12-30T01:26:36"/>
    <x v="24"/>
    <s v=""/>
    <x v="200"/>
    <s v="2016-05-30 13:38:03"/>
    <d v="1899-12-30T01:03:42"/>
    <d v="1899-12-30T01:14:42"/>
    <x v="23"/>
  </r>
  <r>
    <x v="6"/>
    <x v="5"/>
    <s v="2016-05-30 13:38:03"/>
    <s v="2016-05-30 13:53:03"/>
    <d v="1899-12-30T00:15:00"/>
    <x v="1"/>
    <d v="1899-12-30T01:03:42"/>
    <x v="23"/>
    <s v=""/>
    <x v="201"/>
    <s v="2016-05-30 15:39:54"/>
    <d v="1899-12-30T01:46:51"/>
    <d v="1899-12-30T00:15:00"/>
    <x v="24"/>
  </r>
  <r>
    <x v="6"/>
    <x v="10"/>
    <s v="2016-05-30 15:39:54"/>
    <s v="2016-05-30 16:31:43"/>
    <d v="1899-12-30T00:51:49"/>
    <x v="1"/>
    <d v="1899-12-30T01:46:51"/>
    <x v="24"/>
    <s v=""/>
    <x v="202"/>
    <s v="2016-05-30 17:30:33"/>
    <d v="1899-12-30T00:58:50"/>
    <d v="1899-12-30T00:51:49"/>
    <x v="23"/>
  </r>
  <r>
    <x v="6"/>
    <x v="5"/>
    <s v="2016-05-30 17:30:33"/>
    <s v="2016-05-30 17:32:45"/>
    <d v="1899-12-30T00:02:12"/>
    <x v="1"/>
    <d v="1899-12-30T00:58:50"/>
    <x v="23"/>
    <s v=""/>
    <x v="203"/>
    <s v="2016-05-30 18:35:11"/>
    <d v="1899-12-30T01:02:26"/>
    <d v="1899-12-30T00:02:12"/>
    <x v="24"/>
  </r>
  <r>
    <x v="6"/>
    <x v="10"/>
    <s v="2016-05-30 18:35:11"/>
    <s v="2016-05-31 08:24:21"/>
    <d v="1899-12-30T13:49:10"/>
    <x v="1"/>
    <d v="1899-12-30T01:02:26"/>
    <x v="24"/>
    <s v=""/>
    <x v="1"/>
    <s v=""/>
    <s v=""/>
    <s v=""/>
    <x v="1"/>
  </r>
  <r>
    <x v="20"/>
    <x v="7"/>
    <s v="2016-05-30 17:11:20"/>
    <s v="2016-05-31 11:54:33"/>
    <d v="1899-12-30T18:43:13"/>
    <x v="1"/>
    <s v=""/>
    <x v="0"/>
    <s v=""/>
    <x v="204"/>
    <s v="2016-05-31 12:16:48"/>
    <d v="1899-12-30T00:22:15"/>
    <d v="1899-12-30T18:43:13"/>
    <x v="31"/>
  </r>
  <r>
    <x v="20"/>
    <x v="3"/>
    <s v="2016-05-31 12:16:48"/>
    <s v="2016-05-31 17:11:28"/>
    <d v="1899-12-30T04:54:40"/>
    <x v="1"/>
    <d v="1899-12-30T00:22:15"/>
    <x v="31"/>
    <s v=""/>
    <x v="1"/>
    <s v=""/>
    <s v=""/>
    <s v=""/>
    <x v="1"/>
  </r>
  <r>
    <x v="12"/>
    <x v="3"/>
    <s v="2016-05-30 18:08:08"/>
    <s v="2016-05-31 08:38:55"/>
    <d v="1899-12-30T14:30:47"/>
    <x v="1"/>
    <s v=""/>
    <x v="0"/>
    <s v=""/>
    <x v="205"/>
    <s v="2016-05-31 09:32:41"/>
    <d v="1899-12-30T00:53:46"/>
    <d v="1899-12-30T14:30:47"/>
    <x v="7"/>
  </r>
  <r>
    <x v="12"/>
    <x v="2"/>
    <s v="2016-05-31 09:32:41"/>
    <s v="2016-05-31 09:40:03"/>
    <d v="1899-12-30T00:07:22"/>
    <x v="1"/>
    <d v="1899-12-30T00:53:46"/>
    <x v="7"/>
    <s v=""/>
    <x v="206"/>
    <s v="2016-05-31 10:25:31"/>
    <d v="1899-12-30T00:45:28"/>
    <d v="1899-12-30T00:07:22"/>
    <x v="6"/>
  </r>
  <r>
    <x v="12"/>
    <x v="3"/>
    <s v="2016-05-31 10:25:31"/>
    <s v="2016-05-31 12:17:33"/>
    <d v="1899-12-30T01:52:02"/>
    <x v="1"/>
    <d v="1899-12-30T00:45:28"/>
    <x v="6"/>
    <s v=""/>
    <x v="207"/>
    <s v="2016-05-31 13:06:18"/>
    <d v="1899-12-30T00:48:45"/>
    <d v="1899-12-30T01:52:02"/>
    <x v="7"/>
  </r>
  <r>
    <x v="12"/>
    <x v="2"/>
    <s v="2016-05-31 13:06:18"/>
    <s v="2016-05-31 13:27:30"/>
    <d v="1899-12-30T00:21:12"/>
    <x v="1"/>
    <d v="1899-12-30T00:48:45"/>
    <x v="7"/>
    <s v=""/>
    <x v="208"/>
    <s v="2016-05-31 14:03:04"/>
    <d v="1899-12-30T00:35:34"/>
    <d v="1899-12-30T00:21:12"/>
    <x v="6"/>
  </r>
  <r>
    <x v="12"/>
    <x v="3"/>
    <s v="2016-05-31 14:03:04"/>
    <s v="2016-05-31 14:44:50"/>
    <d v="1899-12-30T00:41:46"/>
    <x v="1"/>
    <d v="1899-12-30T00:35:34"/>
    <x v="6"/>
    <s v=""/>
    <x v="1"/>
    <s v=""/>
    <s v=""/>
    <s v=""/>
    <x v="1"/>
  </r>
  <r>
    <x v="13"/>
    <x v="10"/>
    <s v="2016-05-30 18:38:56"/>
    <s v="2016-05-31 08:28:33"/>
    <d v="1899-12-30T13:49:37"/>
    <x v="1"/>
    <s v=""/>
    <x v="0"/>
    <s v=""/>
    <x v="209"/>
    <s v="2016-05-31 09:31:24"/>
    <d v="1899-12-30T01:02:51"/>
    <d v="1899-12-30T13:49:37"/>
    <x v="23"/>
  </r>
  <r>
    <x v="13"/>
    <x v="5"/>
    <s v="2016-05-31 09:31:24"/>
    <s v="2016-05-31 09:44:36"/>
    <d v="1899-12-30T00:13:12"/>
    <x v="1"/>
    <d v="1899-12-30T01:02:51"/>
    <x v="23"/>
    <s v=""/>
    <x v="210"/>
    <s v="2016-05-31 10:43:00"/>
    <d v="1899-12-30T00:58:24"/>
    <d v="1899-12-30T00:13:12"/>
    <x v="24"/>
  </r>
  <r>
    <x v="13"/>
    <x v="10"/>
    <s v="2016-05-31 10:43:00"/>
    <s v="2016-05-31 11:22:34"/>
    <d v="1899-12-30T00:39:34"/>
    <x v="1"/>
    <d v="1899-12-30T00:58:24"/>
    <x v="24"/>
    <s v=""/>
    <x v="211"/>
    <s v="2016-05-31 12:25:16"/>
    <d v="1899-12-30T01:02:42"/>
    <d v="1899-12-30T00:39:34"/>
    <x v="23"/>
  </r>
  <r>
    <x v="13"/>
    <x v="5"/>
    <s v="2016-05-31 12:25:16"/>
    <s v="2016-05-31 12:41:23"/>
    <d v="1899-12-30T00:16:07"/>
    <x v="1"/>
    <d v="1899-12-30T01:02:42"/>
    <x v="23"/>
    <s v=""/>
    <x v="212"/>
    <s v="2016-05-31 13:36:33"/>
    <d v="1899-12-30T00:55:10"/>
    <d v="1899-12-30T00:16:07"/>
    <x v="24"/>
  </r>
  <r>
    <x v="13"/>
    <x v="10"/>
    <s v="2016-05-31 13:36:33"/>
    <s v="2016-05-31 14:26:18"/>
    <d v="1899-12-30T00:49:45"/>
    <x v="1"/>
    <d v="1899-12-30T00:55:10"/>
    <x v="24"/>
    <s v=""/>
    <x v="213"/>
    <s v="2016-05-31 15:24:42"/>
    <d v="1899-12-30T00:58:24"/>
    <d v="1899-12-30T00:49:45"/>
    <x v="23"/>
  </r>
  <r>
    <x v="13"/>
    <x v="5"/>
    <s v="2016-05-31 15:24:42"/>
    <s v="2016-05-31 15:34:39"/>
    <d v="1899-12-30T00:09:57"/>
    <x v="1"/>
    <d v="1899-12-30T00:58:24"/>
    <x v="23"/>
    <s v=""/>
    <x v="214"/>
    <s v="2016-05-31 16:27:40"/>
    <d v="1899-12-30T00:53:01"/>
    <d v="1899-12-30T00:09:57"/>
    <x v="24"/>
  </r>
  <r>
    <x v="13"/>
    <x v="10"/>
    <s v="2016-05-31 16:27:40"/>
    <s v="2016-05-31 16:54:24"/>
    <d v="1899-12-30T00:26:44"/>
    <x v="1"/>
    <d v="1899-12-30T00:53:01"/>
    <x v="24"/>
    <s v=""/>
    <x v="215"/>
    <s v="2016-05-31 17:45:40"/>
    <d v="1899-12-30T00:51:16"/>
    <d v="1899-12-30T00:26:44"/>
    <x v="23"/>
  </r>
  <r>
    <x v="13"/>
    <x v="5"/>
    <s v="2016-05-31 17:45:40"/>
    <s v="2016-05-31 17:49:54"/>
    <d v="1899-12-30T00:04:14"/>
    <x v="1"/>
    <d v="1899-12-30T00:51:16"/>
    <x v="23"/>
    <s v=""/>
    <x v="216"/>
    <s v="2016-05-31 18:39:40"/>
    <d v="1899-12-30T00:49:46"/>
    <d v="1899-12-30T00:04:14"/>
    <x v="24"/>
  </r>
  <r>
    <x v="13"/>
    <x v="10"/>
    <s v="2016-05-31 18:39:40"/>
    <s v="2016-06-01 08:07:34"/>
    <d v="1899-12-30T13:27:54"/>
    <x v="1"/>
    <d v="1899-12-30T00:49:46"/>
    <x v="24"/>
    <s v=""/>
    <x v="1"/>
    <s v=""/>
    <s v=""/>
    <s v=""/>
    <x v="1"/>
  </r>
  <r>
    <x v="10"/>
    <x v="2"/>
    <s v="2016-05-30 21:18:11"/>
    <s v="2016-05-31 12:14:58"/>
    <d v="1899-12-30T14:56:47"/>
    <x v="1"/>
    <s v=""/>
    <x v="0"/>
    <s v=""/>
    <x v="217"/>
    <s v="2016-05-31 18:20:35"/>
    <d v="1899-12-30T06:05:37"/>
    <d v="1899-12-30T14:56:47"/>
    <x v="32"/>
  </r>
  <r>
    <x v="10"/>
    <x v="10"/>
    <s v="2016-05-31 18:20:35"/>
    <s v="2016-06-01 08:25:13"/>
    <d v="1899-12-30T14:04:38"/>
    <x v="1"/>
    <d v="1899-12-30T06:05:37"/>
    <x v="32"/>
    <s v=""/>
    <x v="1"/>
    <s v=""/>
    <s v=""/>
    <s v=""/>
    <x v="1"/>
  </r>
  <r>
    <x v="14"/>
    <x v="8"/>
    <s v="2016-05-28 13:54:50"/>
    <s v="2016-05-31 08:31:02"/>
    <d v="1900-01-01T18:36:12"/>
    <x v="1"/>
    <s v=""/>
    <x v="0"/>
    <s v=""/>
    <x v="218"/>
    <s v="2016-05-31 13:45:48"/>
    <d v="1899-12-30T05:14:46"/>
    <d v="1900-01-01T18:36:12"/>
    <x v="33"/>
  </r>
  <r>
    <x v="14"/>
    <x v="8"/>
    <s v="2016-05-31 13:45:48"/>
    <s v="2016-05-31 16:32:42"/>
    <d v="1899-12-30T02:46:54"/>
    <x v="1"/>
    <d v="1899-12-30T05:14:46"/>
    <x v="33"/>
    <s v=""/>
    <x v="1"/>
    <s v=""/>
    <s v=""/>
    <s v=""/>
    <x v="1"/>
  </r>
  <r>
    <x v="21"/>
    <x v="12"/>
    <s v="2016-05-30 12:43:22"/>
    <s v="2016-05-31 09:27:47"/>
    <d v="1899-12-30T20:44:25"/>
    <x v="1"/>
    <s v=""/>
    <x v="0"/>
    <s v=""/>
    <x v="219"/>
    <s v="2016-05-31 11:06:02"/>
    <d v="1899-12-30T01:38:15"/>
    <d v="1899-12-30T20:44:25"/>
    <x v="34"/>
  </r>
  <r>
    <x v="21"/>
    <x v="8"/>
    <s v="2016-05-31 11:06:02"/>
    <s v="2016-05-31 13:04:04"/>
    <d v="1899-12-30T01:58:02"/>
    <x v="1"/>
    <d v="1899-12-30T01:38:15"/>
    <x v="34"/>
    <s v=""/>
    <x v="220"/>
    <s v="2016-05-31 13:23:12"/>
    <d v="1899-12-30T00:19:08"/>
    <d v="1899-12-30T01:58:02"/>
    <x v="35"/>
  </r>
  <r>
    <x v="21"/>
    <x v="12"/>
    <s v="2016-05-31 13:23:12"/>
    <s v="2016-06-01 08:35:24"/>
    <d v="1899-12-30T19:12:12"/>
    <x v="1"/>
    <d v="1899-12-30T00:19:08"/>
    <x v="35"/>
    <s v=""/>
    <x v="1"/>
    <s v=""/>
    <s v=""/>
    <s v=""/>
    <x v="1"/>
  </r>
  <r>
    <x v="22"/>
    <x v="5"/>
    <s v="2016-05-30 18:14:20"/>
    <s v="2016-05-31 17:26:47"/>
    <d v="1899-12-30T23:12:27"/>
    <x v="1"/>
    <s v=""/>
    <x v="0"/>
    <s v=""/>
    <x v="221"/>
    <s v="2016-05-31 18:11:52"/>
    <d v="1899-12-30T00:45:05"/>
    <d v="1899-12-30T23:12:27"/>
    <x v="36"/>
  </r>
  <r>
    <x v="22"/>
    <x v="12"/>
    <s v="2016-05-31 18:11:52"/>
    <s v="2016-06-01 08:54:21"/>
    <d v="1899-12-30T14:42:29"/>
    <x v="1"/>
    <d v="1899-12-30T00:45:05"/>
    <x v="36"/>
    <s v=""/>
    <x v="1"/>
    <s v=""/>
    <s v=""/>
    <s v=""/>
    <x v="1"/>
  </r>
  <r>
    <x v="16"/>
    <x v="12"/>
    <s v="2016-05-30 19:02:16"/>
    <s v="2016-05-31 08:54:30"/>
    <d v="1899-12-30T13:52:14"/>
    <x v="1"/>
    <s v=""/>
    <x v="0"/>
    <s v=""/>
    <x v="222"/>
    <s v="2016-05-31 08:56:34"/>
    <d v="1899-12-30T00:02:04"/>
    <d v="1899-12-30T13:52:14"/>
    <x v="29"/>
  </r>
  <r>
    <x v="16"/>
    <x v="11"/>
    <s v="2016-05-31 08:56:34"/>
    <s v="2016-05-31 08:57:03"/>
    <d v="1899-12-30T00:00:29"/>
    <x v="1"/>
    <d v="1899-12-30T00:02:04"/>
    <x v="29"/>
    <s v=""/>
    <x v="223"/>
    <s v="2016-05-31 09:20:53"/>
    <d v="1899-12-30T00:23:50"/>
    <d v="1899-12-30T00:00:29"/>
    <x v="37"/>
  </r>
  <r>
    <x v="16"/>
    <x v="8"/>
    <s v="2016-05-31 09:20:53"/>
    <s v="2016-05-31 10:10:49"/>
    <d v="1899-12-30T00:49:56"/>
    <x v="1"/>
    <d v="1899-12-30T00:23:50"/>
    <x v="37"/>
    <s v=""/>
    <x v="224"/>
    <s v="2016-05-31 11:22:38"/>
    <d v="1899-12-30T01:11:49"/>
    <d v="1899-12-30T00:49:56"/>
    <x v="25"/>
  </r>
  <r>
    <x v="16"/>
    <x v="11"/>
    <s v="2016-05-31 11:22:38"/>
    <s v="2016-05-31 11:23:18"/>
    <d v="1899-12-30T00:00:40"/>
    <x v="1"/>
    <d v="1899-12-30T01:11:49"/>
    <x v="25"/>
    <s v=""/>
    <x v="225"/>
    <s v="2016-05-31 11:25:59"/>
    <d v="1899-12-30T00:02:41"/>
    <d v="1899-12-30T00:00:40"/>
    <x v="26"/>
  </r>
  <r>
    <x v="16"/>
    <x v="12"/>
    <s v="2016-05-31 11:25:59"/>
    <s v="2016-05-31 12:03:39"/>
    <d v="1899-12-30T00:37:40"/>
    <x v="1"/>
    <d v="1899-12-30T00:02:41"/>
    <x v="26"/>
    <s v=""/>
    <x v="226"/>
    <s v="2016-05-31 12:05:52"/>
    <d v="1899-12-30T00:02:13"/>
    <d v="1899-12-30T00:37:40"/>
    <x v="29"/>
  </r>
  <r>
    <x v="16"/>
    <x v="11"/>
    <s v="2016-05-31 12:05:52"/>
    <s v="2016-05-31 12:06:31"/>
    <d v="1899-12-30T00:00:39"/>
    <x v="1"/>
    <d v="1899-12-30T00:02:13"/>
    <x v="29"/>
    <s v=""/>
    <x v="227"/>
    <s v="2016-05-31 12:31:48"/>
    <d v="1899-12-30T00:25:17"/>
    <d v="1899-12-30T00:00:39"/>
    <x v="37"/>
  </r>
  <r>
    <x v="16"/>
    <x v="8"/>
    <s v="2016-05-31 12:31:48"/>
    <s v="2016-05-31 16:21:24"/>
    <d v="1899-12-30T03:49:36"/>
    <x v="1"/>
    <d v="1899-12-30T00:25:17"/>
    <x v="37"/>
    <s v=""/>
    <x v="228"/>
    <s v="2016-05-31 16:46:07"/>
    <d v="1899-12-30T00:24:43"/>
    <d v="1899-12-30T03:49:36"/>
    <x v="25"/>
  </r>
  <r>
    <x v="16"/>
    <x v="11"/>
    <s v="2016-05-31 16:46:07"/>
    <s v="2016-05-31 16:46:46"/>
    <d v="1899-12-30T00:00:39"/>
    <x v="1"/>
    <d v="1899-12-30T00:24:43"/>
    <x v="25"/>
    <s v=""/>
    <x v="229"/>
    <s v="2016-05-31 16:49:02"/>
    <d v="1899-12-30T00:02:16"/>
    <d v="1899-12-30T00:00:39"/>
    <x v="26"/>
  </r>
  <r>
    <x v="16"/>
    <x v="12"/>
    <s v="2016-05-31 16:49:02"/>
    <s v="2016-06-01 06:22:36"/>
    <d v="1899-12-30T13:33:34"/>
    <x v="1"/>
    <d v="1899-12-30T00:02:16"/>
    <x v="26"/>
    <s v=""/>
    <x v="1"/>
    <s v=""/>
    <s v=""/>
    <s v=""/>
    <x v="1"/>
  </r>
  <r>
    <x v="23"/>
    <x v="8"/>
    <s v="2016-05-27 15:33:28"/>
    <s v="2016-05-31 09:55:01"/>
    <d v="1900-01-02T18:21:33"/>
    <x v="1"/>
    <s v=""/>
    <x v="0"/>
    <s v=""/>
    <x v="230"/>
    <s v="2016-05-31 10:13:28"/>
    <d v="1899-12-30T00:18:27"/>
    <d v="1900-01-02T18:21:33"/>
    <x v="25"/>
  </r>
  <r>
    <x v="23"/>
    <x v="11"/>
    <s v="2016-05-31 10:13:28"/>
    <s v="2016-05-31 10:14:20"/>
    <d v="1899-12-30T00:00:52"/>
    <x v="1"/>
    <d v="1899-12-30T00:18:27"/>
    <x v="25"/>
    <s v=""/>
    <x v="231"/>
    <s v="2016-05-31 10:15:56"/>
    <d v="1899-12-30T00:01:36"/>
    <d v="1899-12-30T00:00:52"/>
    <x v="26"/>
  </r>
  <r>
    <x v="23"/>
    <x v="12"/>
    <s v="2016-05-31 10:15:56"/>
    <s v="2016-05-31 10:55:03"/>
    <d v="1899-12-30T00:39:07"/>
    <x v="1"/>
    <d v="1899-12-30T00:01:36"/>
    <x v="26"/>
    <s v=""/>
    <x v="232"/>
    <s v="2016-05-31 10:56:31"/>
    <d v="1899-12-30T00:01:28"/>
    <d v="1899-12-30T00:39:07"/>
    <x v="29"/>
  </r>
  <r>
    <x v="23"/>
    <x v="11"/>
    <s v="2016-05-31 10:56:31"/>
    <s v="2016-05-31 10:59:55"/>
    <d v="1899-12-30T00:03:24"/>
    <x v="1"/>
    <d v="1899-12-30T00:01:28"/>
    <x v="29"/>
    <s v=""/>
    <x v="233"/>
    <s v="2016-05-31 11:47:50"/>
    <d v="1899-12-30T00:47:55"/>
    <d v="1899-12-30T00:03:24"/>
    <x v="30"/>
  </r>
  <r>
    <x v="23"/>
    <x v="11"/>
    <s v="2016-05-31 11:47:50"/>
    <s v="2016-05-31 11:48:29"/>
    <d v="1899-12-30T00:00:39"/>
    <x v="1"/>
    <d v="1899-12-30T00:47:55"/>
    <x v="30"/>
    <s v=""/>
    <x v="234"/>
    <s v="2016-05-31 11:50:13"/>
    <d v="1899-12-30T00:01:44"/>
    <d v="1899-12-30T00:00:39"/>
    <x v="30"/>
  </r>
  <r>
    <x v="23"/>
    <x v="11"/>
    <s v="2016-05-31 11:50:13"/>
    <s v="2016-05-31 11:50:31"/>
    <d v="1899-12-30T00:00:18"/>
    <x v="1"/>
    <d v="1899-12-30T00:01:44"/>
    <x v="30"/>
    <s v=""/>
    <x v="235"/>
    <s v="2016-05-31 11:51:51"/>
    <d v="1899-12-30T00:01:20"/>
    <d v="1899-12-30T00:00:18"/>
    <x v="26"/>
  </r>
  <r>
    <x v="23"/>
    <x v="12"/>
    <s v="2016-05-31 11:51:51"/>
    <s v="2016-05-31 11:52:08"/>
    <d v="1899-12-30T00:00:17"/>
    <x v="1"/>
    <d v="1899-12-30T00:01:20"/>
    <x v="26"/>
    <s v=""/>
    <x v="236"/>
    <s v="2016-05-31 13:17:42"/>
    <d v="1899-12-30T01:25:34"/>
    <d v="1899-12-30T00:00:17"/>
    <x v="29"/>
  </r>
  <r>
    <x v="23"/>
    <x v="11"/>
    <s v="2016-05-31 13:17:42"/>
    <s v="2016-05-31 13:18:11"/>
    <d v="1899-12-30T00:00:29"/>
    <x v="1"/>
    <d v="1899-12-30T01:25:34"/>
    <x v="29"/>
    <s v=""/>
    <x v="237"/>
    <s v="2016-05-31 13:18:32"/>
    <d v="1899-12-30T00:00:21"/>
    <d v="1899-12-30T00:00:29"/>
    <x v="30"/>
  </r>
  <r>
    <x v="23"/>
    <x v="11"/>
    <s v="2016-05-31 13:18:32"/>
    <s v="2016-05-31 13:21:21"/>
    <d v="1899-12-30T00:02:49"/>
    <x v="1"/>
    <d v="1899-12-30T00:00:21"/>
    <x v="30"/>
    <s v=""/>
    <x v="238"/>
    <s v="2016-05-31 13:47:37"/>
    <d v="1899-12-30T00:26:16"/>
    <d v="1899-12-30T00:02:49"/>
    <x v="30"/>
  </r>
  <r>
    <x v="23"/>
    <x v="11"/>
    <s v="2016-05-31 13:47:37"/>
    <s v="2016-05-31 13:49:50"/>
    <d v="1899-12-30T00:02:13"/>
    <x v="1"/>
    <d v="1899-12-30T00:26:16"/>
    <x v="30"/>
    <s v=""/>
    <x v="239"/>
    <s v="2016-05-31 13:51:02"/>
    <d v="1899-12-30T00:01:12"/>
    <d v="1899-12-30T00:02:13"/>
    <x v="26"/>
  </r>
  <r>
    <x v="23"/>
    <x v="12"/>
    <s v="2016-05-31 13:51:02"/>
    <s v="2016-05-31 13:51:10"/>
    <d v="1899-12-30T00:00:08"/>
    <x v="1"/>
    <d v="1899-12-30T00:01:12"/>
    <x v="26"/>
    <s v=""/>
    <x v="240"/>
    <s v="2016-05-31 14:52:26"/>
    <d v="1899-12-30T01:01:16"/>
    <d v="1899-12-30T00:00:08"/>
    <x v="29"/>
  </r>
  <r>
    <x v="23"/>
    <x v="11"/>
    <s v="2016-05-31 14:52:26"/>
    <s v="2016-05-31 14:53:04"/>
    <d v="1899-12-30T00:00:38"/>
    <x v="1"/>
    <d v="1899-12-30T01:01:16"/>
    <x v="29"/>
    <s v=""/>
    <x v="241"/>
    <s v="2016-05-31 14:53:48"/>
    <d v="1899-12-30T00:00:44"/>
    <d v="1899-12-30T00:00:38"/>
    <x v="30"/>
  </r>
  <r>
    <x v="23"/>
    <x v="11"/>
    <s v="2016-05-31 14:53:48"/>
    <s v="2016-05-31 14:54:38"/>
    <d v="1899-12-30T00:00:50"/>
    <x v="1"/>
    <d v="1899-12-30T00:00:44"/>
    <x v="30"/>
    <s v=""/>
    <x v="242"/>
    <s v="2016-05-31 15:00:40"/>
    <d v="1899-12-30T00:06:02"/>
    <d v="1899-12-30T00:00:50"/>
    <x v="30"/>
  </r>
  <r>
    <x v="23"/>
    <x v="11"/>
    <s v="2016-05-31 15:00:40"/>
    <s v="2016-05-31 15:02:21"/>
    <d v="1899-12-30T00:01:41"/>
    <x v="1"/>
    <d v="1899-12-30T00:06:02"/>
    <x v="30"/>
    <s v=""/>
    <x v="243"/>
    <s v="2016-05-31 15:31:12"/>
    <d v="1899-12-30T00:28:51"/>
    <d v="1899-12-30T00:01:41"/>
    <x v="30"/>
  </r>
  <r>
    <x v="23"/>
    <x v="11"/>
    <s v="2016-05-31 15:31:12"/>
    <s v="2016-05-31 15:32:37"/>
    <d v="1899-12-30T00:01:25"/>
    <x v="1"/>
    <d v="1899-12-30T00:28:51"/>
    <x v="30"/>
    <s v=""/>
    <x v="244"/>
    <s v="2016-05-31 15:37:01"/>
    <d v="1899-12-30T00:04:24"/>
    <d v="1899-12-30T00:01:25"/>
    <x v="26"/>
  </r>
  <r>
    <x v="23"/>
    <x v="12"/>
    <s v="2016-05-31 15:37:01"/>
    <s v="2016-05-31 15:37:09"/>
    <d v="1899-12-30T00:00:08"/>
    <x v="1"/>
    <d v="1899-12-30T00:04:24"/>
    <x v="26"/>
    <s v=""/>
    <x v="245"/>
    <s v="2016-05-31 16:33:00"/>
    <d v="1899-12-30T00:55:51"/>
    <d v="1899-12-30T00:00:08"/>
    <x v="29"/>
  </r>
  <r>
    <x v="23"/>
    <x v="11"/>
    <s v="2016-05-31 16:33:00"/>
    <s v="2016-05-31 16:33:28"/>
    <d v="1899-12-30T00:00:28"/>
    <x v="1"/>
    <d v="1899-12-30T00:55:51"/>
    <x v="29"/>
    <s v=""/>
    <x v="246"/>
    <s v="2016-05-31 17:21:12"/>
    <d v="1899-12-30T00:47:44"/>
    <d v="1899-12-30T00:00:28"/>
    <x v="30"/>
  </r>
  <r>
    <x v="23"/>
    <x v="11"/>
    <s v="2016-05-31 17:21:12"/>
    <s v="2016-05-31 17:21:44"/>
    <d v="1899-12-30T00:00:32"/>
    <x v="1"/>
    <d v="1899-12-30T00:47:44"/>
    <x v="30"/>
    <s v=""/>
    <x v="247"/>
    <s v="2016-05-31 18:41:00"/>
    <d v="1899-12-30T01:19:16"/>
    <d v="1899-12-30T00:00:32"/>
    <x v="30"/>
  </r>
  <r>
    <x v="23"/>
    <x v="11"/>
    <s v="2016-05-31 18:41:00"/>
    <s v="2016-05-31 18:47:31"/>
    <d v="1899-12-30T00:06:31"/>
    <x v="1"/>
    <d v="1899-12-30T01:19:16"/>
    <x v="30"/>
    <s v=""/>
    <x v="248"/>
    <s v="2016-05-31 18:49:00"/>
    <d v="1899-12-30T00:01:29"/>
    <d v="1899-12-30T00:06:31"/>
    <x v="26"/>
  </r>
  <r>
    <x v="23"/>
    <x v="12"/>
    <s v="2016-05-31 18:49:00"/>
    <s v="2016-06-01 07:44:47"/>
    <d v="1899-12-30T12:55:47"/>
    <x v="1"/>
    <d v="1899-12-30T00:01:29"/>
    <x v="26"/>
    <s v=""/>
    <x v="1"/>
    <s v=""/>
    <s v=""/>
    <s v=""/>
    <x v="1"/>
  </r>
  <r>
    <x v="17"/>
    <x v="12"/>
    <s v="2016-05-30 16:11:37"/>
    <s v="2016-05-31 07:17:26"/>
    <d v="1899-12-30T15:05:49"/>
    <x v="1"/>
    <s v=""/>
    <x v="0"/>
    <s v=""/>
    <x v="249"/>
    <s v="2016-05-31 08:32:38"/>
    <d v="1899-12-30T01:15:12"/>
    <d v="1899-12-30T15:05:49"/>
    <x v="27"/>
  </r>
  <r>
    <x v="17"/>
    <x v="10"/>
    <s v="2016-05-31 08:32:38"/>
    <s v="2016-05-31 09:05:15"/>
    <d v="1899-12-30T00:32:37"/>
    <x v="1"/>
    <d v="1899-12-30T01:15:12"/>
    <x v="27"/>
    <s v=""/>
    <x v="250"/>
    <s v="2016-05-31 10:58:13"/>
    <d v="1899-12-30T01:52:58"/>
    <d v="1899-12-30T00:32:37"/>
    <x v="28"/>
  </r>
  <r>
    <x v="17"/>
    <x v="12"/>
    <s v="2016-05-31 10:58:13"/>
    <s v="2016-05-31 11:01:51"/>
    <d v="1899-12-30T00:03:38"/>
    <x v="1"/>
    <d v="1899-12-30T01:52:58"/>
    <x v="28"/>
    <s v=""/>
    <x v="251"/>
    <s v="2016-05-31 11:03:04"/>
    <d v="1899-12-30T00:01:13"/>
    <d v="1899-12-30T00:03:38"/>
    <x v="29"/>
  </r>
  <r>
    <x v="17"/>
    <x v="11"/>
    <s v="2016-05-31 11:03:04"/>
    <s v="2016-05-31 11:06:53"/>
    <d v="1899-12-30T00:03:49"/>
    <x v="1"/>
    <d v="1899-12-30T00:01:13"/>
    <x v="29"/>
    <s v=""/>
    <x v="252"/>
    <s v="2016-05-31 11:15:07"/>
    <d v="1899-12-30T00:08:14"/>
    <d v="1899-12-30T00:03:49"/>
    <x v="30"/>
  </r>
  <r>
    <x v="17"/>
    <x v="11"/>
    <s v="2016-05-31 11:15:07"/>
    <s v="2016-05-31 11:18:33"/>
    <d v="1899-12-30T00:03:26"/>
    <x v="1"/>
    <d v="1899-12-30T00:08:14"/>
    <x v="30"/>
    <s v=""/>
    <x v="253"/>
    <s v="2016-05-31 11:25:56"/>
    <d v="1899-12-30T00:07:23"/>
    <d v="1899-12-30T00:03:26"/>
    <x v="30"/>
  </r>
  <r>
    <x v="17"/>
    <x v="11"/>
    <s v="2016-05-31 11:25:56"/>
    <s v="2016-05-31 11:26:24"/>
    <d v="1899-12-30T00:00:28"/>
    <x v="1"/>
    <d v="1899-12-30T00:07:23"/>
    <x v="30"/>
    <s v=""/>
    <x v="254"/>
    <s v="2016-05-31 11:28:06"/>
    <d v="1899-12-30T00:01:42"/>
    <d v="1899-12-30T00:00:28"/>
    <x v="26"/>
  </r>
  <r>
    <x v="17"/>
    <x v="12"/>
    <s v="2016-05-31 11:28:06"/>
    <s v="2016-05-31 11:31:41"/>
    <d v="1899-12-30T00:03:35"/>
    <x v="1"/>
    <d v="1899-12-30T00:01:42"/>
    <x v="26"/>
    <s v=""/>
    <x v="255"/>
    <s v="2016-05-31 12:44:15"/>
    <d v="1899-12-30T01:12:34"/>
    <d v="1899-12-30T00:03:35"/>
    <x v="27"/>
  </r>
  <r>
    <x v="17"/>
    <x v="10"/>
    <s v="2016-05-31 12:44:15"/>
    <s v="2016-05-31 14:16:14"/>
    <d v="1899-12-30T01:31:59"/>
    <x v="1"/>
    <d v="1899-12-30T01:12:34"/>
    <x v="27"/>
    <s v=""/>
    <x v="256"/>
    <s v="2016-05-31 15:41:56"/>
    <d v="1899-12-30T01:25:42"/>
    <d v="1899-12-30T01:31:59"/>
    <x v="28"/>
  </r>
  <r>
    <x v="17"/>
    <x v="12"/>
    <s v="2016-05-31 15:41:56"/>
    <s v="2016-05-31 15:58:35"/>
    <d v="1899-12-30T00:16:39"/>
    <x v="1"/>
    <d v="1899-12-30T01:25:42"/>
    <x v="28"/>
    <s v=""/>
    <x v="257"/>
    <s v="2016-05-31 15:59:46"/>
    <d v="1899-12-30T00:01:11"/>
    <d v="1899-12-30T00:16:39"/>
    <x v="29"/>
  </r>
  <r>
    <x v="17"/>
    <x v="11"/>
    <s v="2016-05-31 15:59:46"/>
    <s v="2016-05-31 16:03:04"/>
    <d v="1899-12-30T00:03:18"/>
    <x v="1"/>
    <d v="1899-12-30T00:01:11"/>
    <x v="29"/>
    <s v=""/>
    <x v="258"/>
    <s v="2016-05-31 16:08:04"/>
    <d v="1899-12-30T00:05:00"/>
    <d v="1899-12-30T00:03:18"/>
    <x v="30"/>
  </r>
  <r>
    <x v="17"/>
    <x v="11"/>
    <s v="2016-05-31 16:08:04"/>
    <s v="2016-05-31 16:14:54"/>
    <d v="1899-12-30T00:06:50"/>
    <x v="1"/>
    <d v="1899-12-30T00:05:00"/>
    <x v="30"/>
    <s v=""/>
    <x v="259"/>
    <s v="2016-05-31 16:41:06"/>
    <d v="1899-12-30T00:26:12"/>
    <d v="1899-12-30T00:06:50"/>
    <x v="37"/>
  </r>
  <r>
    <x v="17"/>
    <x v="8"/>
    <s v="2016-05-31 16:41:06"/>
    <s v="2016-05-31 18:18:45"/>
    <d v="1899-12-30T01:37:39"/>
    <x v="1"/>
    <d v="1899-12-30T00:26:12"/>
    <x v="37"/>
    <s v=""/>
    <x v="260"/>
    <s v="2016-05-31 18:48:07"/>
    <d v="1899-12-30T00:29:22"/>
    <d v="1899-12-30T01:37:39"/>
    <x v="25"/>
  </r>
  <r>
    <x v="17"/>
    <x v="11"/>
    <s v="2016-05-31 18:48:07"/>
    <s v="2016-05-31 18:49:52"/>
    <d v="1899-12-30T00:01:45"/>
    <x v="1"/>
    <d v="1899-12-30T00:29:22"/>
    <x v="25"/>
    <s v=""/>
    <x v="261"/>
    <s v="2016-05-31 18:52:24"/>
    <d v="1899-12-30T00:02:32"/>
    <d v="1899-12-30T00:01:45"/>
    <x v="26"/>
  </r>
  <r>
    <x v="17"/>
    <x v="12"/>
    <s v="2016-05-31 18:52:24"/>
    <s v="2016-06-01 05:19:15"/>
    <d v="1899-12-30T10:26:51"/>
    <x v="1"/>
    <d v="1899-12-30T00:02:32"/>
    <x v="26"/>
    <s v=""/>
    <x v="1"/>
    <s v=""/>
    <s v=""/>
    <s v=""/>
    <x v="1"/>
  </r>
  <r>
    <x v="19"/>
    <x v="12"/>
    <s v="2016-05-30 16:10:36"/>
    <s v="2016-05-31 07:17:52"/>
    <d v="1899-12-30T15:07:16"/>
    <x v="1"/>
    <s v=""/>
    <x v="0"/>
    <s v=""/>
    <x v="262"/>
    <s v="2016-05-31 08:34:05"/>
    <d v="1899-12-30T01:16:13"/>
    <d v="1899-12-30T15:07:16"/>
    <x v="27"/>
  </r>
  <r>
    <x v="19"/>
    <x v="10"/>
    <s v="2016-05-31 08:34:05"/>
    <s v="2016-05-31 09:07:03"/>
    <d v="1899-12-30T00:32:58"/>
    <x v="1"/>
    <d v="1899-12-30T01:16:13"/>
    <x v="27"/>
    <s v=""/>
    <x v="263"/>
    <s v="2016-05-31 10:57:58"/>
    <d v="1899-12-30T01:50:55"/>
    <d v="1899-12-30T00:32:58"/>
    <x v="28"/>
  </r>
  <r>
    <x v="19"/>
    <x v="12"/>
    <s v="2016-05-31 10:57:58"/>
    <s v="2016-05-31 11:00:33"/>
    <d v="1899-12-30T00:02:35"/>
    <x v="1"/>
    <d v="1899-12-30T01:50:55"/>
    <x v="28"/>
    <s v=""/>
    <x v="264"/>
    <s v="2016-05-31 11:01:29"/>
    <d v="1899-12-30T00:00:56"/>
    <d v="1899-12-30T00:02:35"/>
    <x v="29"/>
  </r>
  <r>
    <x v="19"/>
    <x v="11"/>
    <s v="2016-05-31 11:01:29"/>
    <s v="2016-05-31 11:05:31"/>
    <d v="1899-12-30T00:04:02"/>
    <x v="1"/>
    <d v="1899-12-30T00:00:56"/>
    <x v="29"/>
    <s v=""/>
    <x v="265"/>
    <s v="2016-05-31 11:10:35"/>
    <d v="1899-12-30T00:05:04"/>
    <d v="1899-12-30T00:04:02"/>
    <x v="30"/>
  </r>
  <r>
    <x v="19"/>
    <x v="11"/>
    <s v="2016-05-31 11:10:35"/>
    <s v="2016-05-31 11:15:43"/>
    <d v="1899-12-30T00:05:08"/>
    <x v="1"/>
    <d v="1899-12-30T00:05:04"/>
    <x v="30"/>
    <s v=""/>
    <x v="266"/>
    <s v="2016-05-31 11:18:06"/>
    <d v="1899-12-30T00:02:23"/>
    <d v="1899-12-30T00:05:08"/>
    <x v="30"/>
  </r>
  <r>
    <x v="19"/>
    <x v="11"/>
    <s v="2016-05-31 11:18:06"/>
    <s v="2016-05-31 11:18:38"/>
    <d v="1899-12-30T00:00:32"/>
    <x v="1"/>
    <d v="1899-12-30T00:02:23"/>
    <x v="30"/>
    <s v=""/>
    <x v="267"/>
    <s v="2016-05-31 11:23:48"/>
    <d v="1899-12-30T00:05:10"/>
    <d v="1899-12-30T00:00:32"/>
    <x v="30"/>
  </r>
  <r>
    <x v="19"/>
    <x v="11"/>
    <s v="2016-05-31 11:23:48"/>
    <s v="2016-05-31 11:23:57"/>
    <d v="1899-12-30T00:00:09"/>
    <x v="1"/>
    <d v="1899-12-30T00:05:10"/>
    <x v="30"/>
    <s v=""/>
    <x v="268"/>
    <s v="2016-05-31 11:26:09"/>
    <d v="1899-12-30T00:02:12"/>
    <d v="1899-12-30T00:00:09"/>
    <x v="26"/>
  </r>
  <r>
    <x v="19"/>
    <x v="12"/>
    <s v="2016-05-31 11:26:09"/>
    <s v="2016-05-31 11:30:18"/>
    <d v="1899-12-30T00:04:09"/>
    <x v="1"/>
    <d v="1899-12-30T00:02:12"/>
    <x v="26"/>
    <s v=""/>
    <x v="269"/>
    <s v="2016-05-31 12:43:06"/>
    <d v="1899-12-30T01:12:48"/>
    <d v="1899-12-30T00:04:09"/>
    <x v="27"/>
  </r>
  <r>
    <x v="19"/>
    <x v="10"/>
    <s v="2016-05-31 12:43:06"/>
    <s v="2016-05-31 14:17:03"/>
    <d v="1899-12-30T01:33:57"/>
    <x v="1"/>
    <d v="1899-12-30T01:12:48"/>
    <x v="27"/>
    <s v=""/>
    <x v="270"/>
    <s v="2016-05-31 15:42:12"/>
    <d v="1899-12-30T01:25:09"/>
    <d v="1899-12-30T01:33:57"/>
    <x v="28"/>
  </r>
  <r>
    <x v="19"/>
    <x v="12"/>
    <s v="2016-05-31 15:42:12"/>
    <s v="2016-05-31 15:57:42"/>
    <d v="1899-12-30T00:15:30"/>
    <x v="1"/>
    <d v="1899-12-30T01:25:09"/>
    <x v="28"/>
    <s v=""/>
    <x v="271"/>
    <s v="2016-05-31 15:58:39"/>
    <d v="1899-12-30T00:00:57"/>
    <d v="1899-12-30T00:15:30"/>
    <x v="29"/>
  </r>
  <r>
    <x v="19"/>
    <x v="11"/>
    <s v="2016-05-31 15:58:39"/>
    <s v="2016-05-31 16:02:33"/>
    <d v="1899-12-30T00:03:54"/>
    <x v="1"/>
    <d v="1899-12-30T00:00:57"/>
    <x v="29"/>
    <s v=""/>
    <x v="272"/>
    <s v="2016-05-31 16:09:38"/>
    <d v="1899-12-30T00:07:05"/>
    <d v="1899-12-30T00:03:54"/>
    <x v="30"/>
  </r>
  <r>
    <x v="19"/>
    <x v="11"/>
    <s v="2016-05-31 16:09:38"/>
    <s v="2016-05-31 16:15:27"/>
    <d v="1899-12-30T00:05:49"/>
    <x v="1"/>
    <d v="1899-12-30T00:07:05"/>
    <x v="30"/>
    <s v=""/>
    <x v="273"/>
    <s v="2016-05-31 16:16:16"/>
    <d v="1899-12-30T00:00:49"/>
    <d v="1899-12-30T00:05:49"/>
    <x v="26"/>
  </r>
  <r>
    <x v="19"/>
    <x v="12"/>
    <s v="2016-05-31 16:16:16"/>
    <s v="2016-05-31 16:16:29"/>
    <d v="1899-12-30T00:00:13"/>
    <x v="1"/>
    <d v="1899-12-30T00:00:49"/>
    <x v="26"/>
    <s v=""/>
    <x v="274"/>
    <s v="2016-05-31 16:17:44"/>
    <d v="1899-12-30T00:01:15"/>
    <d v="1899-12-30T00:00:13"/>
    <x v="29"/>
  </r>
  <r>
    <x v="19"/>
    <x v="11"/>
    <s v="2016-05-31 16:17:44"/>
    <s v="2016-05-31 16:19:02"/>
    <d v="1899-12-30T00:01:18"/>
    <x v="1"/>
    <d v="1899-12-30T00:01:15"/>
    <x v="29"/>
    <s v=""/>
    <x v="275"/>
    <s v="2016-05-31 16:23:25"/>
    <d v="1899-12-30T00:04:23"/>
    <d v="1899-12-30T00:01:18"/>
    <x v="30"/>
  </r>
  <r>
    <x v="19"/>
    <x v="11"/>
    <s v="2016-05-31 16:23:25"/>
    <s v="2016-05-31 16:23:34"/>
    <d v="1899-12-30T00:00:09"/>
    <x v="1"/>
    <d v="1899-12-30T00:04:23"/>
    <x v="30"/>
    <s v=""/>
    <x v="276"/>
    <s v="2016-05-31 16:25:37"/>
    <d v="1899-12-30T00:02:03"/>
    <d v="1899-12-30T00:00:09"/>
    <x v="26"/>
  </r>
  <r>
    <x v="19"/>
    <x v="12"/>
    <s v="2016-05-31 16:25:37"/>
    <s v="2016-06-01 05:30:35"/>
    <d v="1899-12-30T13:04:58"/>
    <x v="1"/>
    <d v="1899-12-30T00:02:03"/>
    <x v="26"/>
    <s v=""/>
    <x v="1"/>
    <s v=""/>
    <s v=""/>
    <s v=""/>
    <x v="1"/>
  </r>
  <r>
    <x v="11"/>
    <x v="5"/>
    <s v="2016-05-30 17:13:52"/>
    <s v="2016-05-31 05:34:36"/>
    <d v="1899-12-30T12:20:44"/>
    <x v="1"/>
    <s v=""/>
    <x v="0"/>
    <s v=""/>
    <x v="277"/>
    <s v="2016-05-31 06:37:46"/>
    <d v="1899-12-30T01:03:10"/>
    <d v="1899-12-30T12:20:44"/>
    <x v="24"/>
  </r>
  <r>
    <x v="11"/>
    <x v="10"/>
    <s v="2016-05-31 06:37:46"/>
    <s v="2016-05-31 08:24:15"/>
    <d v="1899-12-30T01:46:29"/>
    <x v="1"/>
    <d v="1899-12-30T01:03:10"/>
    <x v="24"/>
    <s v=""/>
    <x v="278"/>
    <s v="2016-05-31 09:24:15"/>
    <d v="1899-12-30T01:00:00"/>
    <d v="1899-12-30T01:46:29"/>
    <x v="23"/>
  </r>
  <r>
    <x v="11"/>
    <x v="5"/>
    <s v="2016-05-31 09:24:15"/>
    <s v="2016-05-31 09:44:15"/>
    <d v="1899-12-30T00:20:00"/>
    <x v="1"/>
    <d v="1899-12-30T01:00:00"/>
    <x v="23"/>
    <s v=""/>
    <x v="279"/>
    <s v="2016-05-31 10:59:16"/>
    <d v="1899-12-30T01:15:01"/>
    <d v="1899-12-30T00:20:00"/>
    <x v="24"/>
  </r>
  <r>
    <x v="11"/>
    <x v="10"/>
    <s v="2016-05-31 10:59:16"/>
    <s v="2016-05-31 11:31:27"/>
    <d v="1899-12-30T00:32:11"/>
    <x v="1"/>
    <d v="1899-12-30T01:15:01"/>
    <x v="24"/>
    <s v=""/>
    <x v="280"/>
    <s v="2016-05-31 12:28:09"/>
    <d v="1899-12-30T00:56:42"/>
    <d v="1899-12-30T00:32:11"/>
    <x v="23"/>
  </r>
  <r>
    <x v="11"/>
    <x v="5"/>
    <s v="2016-05-31 12:28:09"/>
    <s v="2016-05-31 12:38:38"/>
    <d v="1899-12-30T00:10:29"/>
    <x v="1"/>
    <d v="1899-12-30T00:56:42"/>
    <x v="23"/>
    <s v=""/>
    <x v="281"/>
    <s v="2016-05-31 13:29:16"/>
    <d v="1899-12-30T00:50:38"/>
    <d v="1899-12-30T00:10:29"/>
    <x v="24"/>
  </r>
  <r>
    <x v="11"/>
    <x v="10"/>
    <s v="2016-05-31 13:29:16"/>
    <s v="2016-05-31 14:27:15"/>
    <d v="1899-12-30T00:57:59"/>
    <x v="1"/>
    <d v="1899-12-30T00:50:38"/>
    <x v="24"/>
    <s v=""/>
    <x v="282"/>
    <s v="2016-05-31 15:24:16"/>
    <d v="1899-12-30T00:57:01"/>
    <d v="1899-12-30T00:57:59"/>
    <x v="23"/>
  </r>
  <r>
    <x v="11"/>
    <x v="5"/>
    <s v="2016-05-31 15:24:16"/>
    <s v="2016-05-31 15:34:16"/>
    <d v="1899-12-30T00:10:00"/>
    <x v="1"/>
    <d v="1899-12-30T00:57:01"/>
    <x v="23"/>
    <s v=""/>
    <x v="283"/>
    <s v="2016-05-31 16:29:16"/>
    <d v="1899-12-30T00:55:00"/>
    <d v="1899-12-30T00:10:00"/>
    <x v="24"/>
  </r>
  <r>
    <x v="11"/>
    <x v="10"/>
    <s v="2016-05-31 16:29:16"/>
    <s v="2016-05-31 16:55:31"/>
    <d v="1899-12-30T00:26:15"/>
    <x v="1"/>
    <d v="1899-12-30T00:55:00"/>
    <x v="24"/>
    <s v=""/>
    <x v="284"/>
    <s v="2016-05-31 17:54:16"/>
    <d v="1899-12-30T00:58:45"/>
    <d v="1899-12-30T00:26:15"/>
    <x v="23"/>
  </r>
  <r>
    <x v="11"/>
    <x v="5"/>
    <s v="2016-05-31 17:54:16"/>
    <s v="2016-06-01 05:40:10"/>
    <d v="1899-12-30T11:45:54"/>
    <x v="1"/>
    <d v="1899-12-30T00:58:45"/>
    <x v="23"/>
    <s v=""/>
    <x v="1"/>
    <s v=""/>
    <s v=""/>
    <s v=""/>
    <x v="1"/>
  </r>
  <r>
    <x v="6"/>
    <x v="10"/>
    <s v="2016-05-30 18:35:11"/>
    <s v="2016-05-31 08:24:21"/>
    <d v="1899-12-30T13:49:10"/>
    <x v="1"/>
    <s v=""/>
    <x v="0"/>
    <s v=""/>
    <x v="285"/>
    <s v="2016-05-31 09:16:32"/>
    <d v="1899-12-30T00:52:11"/>
    <d v="1899-12-30T13:49:10"/>
    <x v="23"/>
  </r>
  <r>
    <x v="6"/>
    <x v="5"/>
    <s v="2016-05-31 09:16:32"/>
    <s v="2016-05-31 09:27:19"/>
    <d v="1899-12-30T00:10:47"/>
    <x v="1"/>
    <d v="1899-12-30T00:52:11"/>
    <x v="23"/>
    <s v=""/>
    <x v="286"/>
    <s v="2016-05-31 10:30:12"/>
    <d v="1899-12-30T01:02:53"/>
    <d v="1899-12-30T00:10:47"/>
    <x v="24"/>
  </r>
  <r>
    <x v="6"/>
    <x v="10"/>
    <s v="2016-05-31 10:30:12"/>
    <s v="2016-05-31 11:23:21"/>
    <d v="1899-12-30T00:53:09"/>
    <x v="1"/>
    <d v="1899-12-30T01:02:53"/>
    <x v="24"/>
    <s v=""/>
    <x v="287"/>
    <s v="2016-05-31 14:12:29"/>
    <d v="1899-12-30T02:49:08"/>
    <d v="1899-12-30T00:53:09"/>
    <x v="38"/>
  </r>
  <r>
    <x v="6"/>
    <x v="11"/>
    <s v="2016-05-31 14:12:29"/>
    <s v="2016-05-31 14:13:25"/>
    <d v="1899-12-30T00:00:56"/>
    <x v="1"/>
    <d v="1899-12-30T02:49:08"/>
    <x v="38"/>
    <s v=""/>
    <x v="288"/>
    <s v="2016-05-31 17:36:23"/>
    <d v="1899-12-30T03:22:58"/>
    <d v="1899-12-30T00:00:56"/>
    <x v="39"/>
  </r>
  <r>
    <x v="6"/>
    <x v="10"/>
    <s v="2016-05-31 17:36:23"/>
    <s v="2016-05-31 18:14:13"/>
    <d v="1899-12-30T00:37:50"/>
    <x v="1"/>
    <d v="1899-12-30T03:22:58"/>
    <x v="39"/>
    <s v=""/>
    <x v="289"/>
    <s v="2016-05-31 19:16:07"/>
    <d v="1899-12-30T01:01:54"/>
    <d v="1899-12-30T00:37:50"/>
    <x v="23"/>
  </r>
  <r>
    <x v="6"/>
    <x v="5"/>
    <s v="2016-05-31 19:16:07"/>
    <s v="2016-06-01 06:42:29"/>
    <d v="1899-12-30T11:26:22"/>
    <x v="1"/>
    <d v="1899-12-30T01:01:54"/>
    <x v="23"/>
    <s v=""/>
    <x v="1"/>
    <s v=""/>
    <s v=""/>
    <s v=""/>
    <x v="1"/>
  </r>
  <r>
    <x v="20"/>
    <x v="8"/>
    <s v="2016-06-01 21:07:47"/>
    <s v="2016-06-02 08:36:30"/>
    <d v="1899-12-30T11:28:43"/>
    <x v="3"/>
    <s v=""/>
    <x v="0"/>
    <s v=""/>
    <x v="290"/>
    <s v="2016-06-02 17:09:51"/>
    <d v="1899-12-30T08:33:21"/>
    <d v="1899-12-30T11:28:43"/>
    <x v="33"/>
  </r>
  <r>
    <x v="20"/>
    <x v="8"/>
    <s v="2016-06-02 17:09:51"/>
    <s v="2016-06-03 04:50:13"/>
    <d v="1899-12-30T11:40:22"/>
    <x v="3"/>
    <d v="1899-12-30T08:33:21"/>
    <x v="33"/>
    <s v=""/>
    <x v="1"/>
    <s v=""/>
    <s v=""/>
    <s v=""/>
    <x v="1"/>
  </r>
  <r>
    <x v="12"/>
    <x v="2"/>
    <s v="2016-06-01 18:46:48"/>
    <s v="2016-06-02 07:22:14"/>
    <d v="1899-12-30T12:35:26"/>
    <x v="3"/>
    <s v=""/>
    <x v="0"/>
    <s v=""/>
    <x v="291"/>
    <s v="2016-06-02 07:57:31"/>
    <d v="1899-12-30T00:35:17"/>
    <d v="1899-12-30T12:35:26"/>
    <x v="6"/>
  </r>
  <r>
    <x v="12"/>
    <x v="3"/>
    <s v="2016-06-02 07:57:31"/>
    <s v="2016-06-02 09:09:35"/>
    <d v="1899-12-30T01:12:04"/>
    <x v="3"/>
    <d v="1899-12-30T00:35:17"/>
    <x v="6"/>
    <s v=""/>
    <x v="292"/>
    <s v="2016-06-02 10:00:28"/>
    <d v="1899-12-30T00:50:53"/>
    <d v="1899-12-30T01:12:04"/>
    <x v="7"/>
  </r>
  <r>
    <x v="12"/>
    <x v="2"/>
    <s v="2016-06-02 10:00:28"/>
    <s v="2016-06-02 10:01:58"/>
    <d v="1899-12-30T00:01:30"/>
    <x v="3"/>
    <d v="1899-12-30T00:50:53"/>
    <x v="7"/>
    <s v=""/>
    <x v="293"/>
    <s v="2016-06-02 10:38:05"/>
    <d v="1899-12-30T00:36:07"/>
    <d v="1899-12-30T00:01:30"/>
    <x v="6"/>
  </r>
  <r>
    <x v="12"/>
    <x v="3"/>
    <s v="2016-06-02 10:38:05"/>
    <s v="2016-06-02 11:34:38"/>
    <d v="1899-12-30T00:56:33"/>
    <x v="3"/>
    <d v="1899-12-30T00:36:07"/>
    <x v="6"/>
    <s v=""/>
    <x v="294"/>
    <s v="2016-06-02 16:34:49"/>
    <d v="1899-12-30T05:00:11"/>
    <d v="1899-12-30T00:56:33"/>
    <x v="7"/>
  </r>
  <r>
    <x v="12"/>
    <x v="2"/>
    <s v="2016-06-02 16:34:49"/>
    <s v="2016-06-02 16:35:45"/>
    <d v="1899-12-30T00:00:56"/>
    <x v="3"/>
    <d v="1899-12-30T05:00:11"/>
    <x v="7"/>
    <s v=""/>
    <x v="295"/>
    <s v="2016-06-02 16:36:41"/>
    <d v="1899-12-30T00:00:56"/>
    <d v="1899-12-30T00:00:56"/>
    <x v="5"/>
  </r>
  <r>
    <x v="12"/>
    <x v="2"/>
    <s v="2016-06-02 16:36:41"/>
    <s v="2016-06-02 16:40:02"/>
    <d v="1899-12-30T00:03:21"/>
    <x v="3"/>
    <d v="1899-12-30T00:00:56"/>
    <x v="5"/>
    <s v=""/>
    <x v="296"/>
    <s v="2016-06-02 17:21:26"/>
    <d v="1899-12-30T00:41:24"/>
    <d v="1899-12-30T00:03:21"/>
    <x v="6"/>
  </r>
  <r>
    <x v="12"/>
    <x v="3"/>
    <s v="2016-06-02 17:21:26"/>
    <s v="2016-06-03 08:41:02"/>
    <d v="1899-12-30T15:19:36"/>
    <x v="3"/>
    <d v="1899-12-30T00:41:24"/>
    <x v="6"/>
    <s v=""/>
    <x v="1"/>
    <s v=""/>
    <s v=""/>
    <s v=""/>
    <x v="1"/>
  </r>
  <r>
    <x v="24"/>
    <x v="3"/>
    <s v="2016-06-01 18:08:05"/>
    <s v="2016-06-02 08:00:13"/>
    <d v="1899-12-30T13:52:08"/>
    <x v="3"/>
    <s v=""/>
    <x v="0"/>
    <s v=""/>
    <x v="297"/>
    <s v="2016-06-02 08:46:28"/>
    <d v="1899-12-30T00:46:15"/>
    <d v="1899-12-30T13:52:08"/>
    <x v="7"/>
  </r>
  <r>
    <x v="24"/>
    <x v="2"/>
    <s v="2016-06-02 08:46:28"/>
    <s v="2016-06-02 08:50:52"/>
    <d v="1899-12-30T00:04:24"/>
    <x v="3"/>
    <d v="1899-12-30T00:46:15"/>
    <x v="7"/>
    <s v=""/>
    <x v="298"/>
    <s v="2016-06-02 09:24:48"/>
    <d v="1899-12-30T00:33:56"/>
    <d v="1899-12-30T00:04:24"/>
    <x v="6"/>
  </r>
  <r>
    <x v="24"/>
    <x v="3"/>
    <s v="2016-06-02 09:24:48"/>
    <s v="2016-06-02 09:39:28"/>
    <d v="1899-12-30T00:14:40"/>
    <x v="3"/>
    <d v="1899-12-30T00:33:56"/>
    <x v="6"/>
    <s v=""/>
    <x v="299"/>
    <s v="2016-06-02 10:28:43"/>
    <d v="1899-12-30T00:49:15"/>
    <d v="1899-12-30T00:14:40"/>
    <x v="7"/>
  </r>
  <r>
    <x v="24"/>
    <x v="2"/>
    <s v="2016-06-02 10:28:43"/>
    <s v="2016-06-02 10:36:34"/>
    <d v="1899-12-30T00:07:51"/>
    <x v="3"/>
    <d v="1899-12-30T00:49:15"/>
    <x v="7"/>
    <s v=""/>
    <x v="300"/>
    <s v="2016-06-02 11:08:55"/>
    <d v="1899-12-30T00:32:21"/>
    <d v="1899-12-30T00:07:51"/>
    <x v="6"/>
  </r>
  <r>
    <x v="24"/>
    <x v="3"/>
    <s v="2016-06-02 11:08:55"/>
    <s v="2016-06-02 11:27:51"/>
    <d v="1899-12-30T00:18:56"/>
    <x v="3"/>
    <d v="1899-12-30T00:32:21"/>
    <x v="6"/>
    <s v=""/>
    <x v="301"/>
    <s v="2016-06-02 12:10:36"/>
    <d v="1899-12-30T00:42:45"/>
    <d v="1899-12-30T00:18:56"/>
    <x v="7"/>
  </r>
  <r>
    <x v="24"/>
    <x v="2"/>
    <s v="2016-06-02 12:10:36"/>
    <s v="2016-06-02 12:15:20"/>
    <d v="1899-12-30T00:04:44"/>
    <x v="3"/>
    <d v="1899-12-30T00:42:45"/>
    <x v="7"/>
    <s v=""/>
    <x v="302"/>
    <s v="2016-06-02 12:51:53"/>
    <d v="1899-12-30T00:36:33"/>
    <d v="1899-12-30T00:04:44"/>
    <x v="6"/>
  </r>
  <r>
    <x v="24"/>
    <x v="3"/>
    <s v="2016-06-02 12:51:53"/>
    <s v="2016-06-02 14:18:49"/>
    <d v="1899-12-30T01:26:56"/>
    <x v="3"/>
    <d v="1899-12-30T00:36:33"/>
    <x v="6"/>
    <s v=""/>
    <x v="303"/>
    <s v="2016-06-02 15:35:17"/>
    <d v="1899-12-30T01:16:28"/>
    <d v="1899-12-30T01:26:56"/>
    <x v="7"/>
  </r>
  <r>
    <x v="24"/>
    <x v="2"/>
    <s v="2016-06-02 15:35:17"/>
    <s v="2016-06-02 15:43:08"/>
    <d v="1899-12-30T00:07:51"/>
    <x v="3"/>
    <d v="1899-12-30T01:16:28"/>
    <x v="7"/>
    <s v=""/>
    <x v="304"/>
    <s v="2016-06-02 16:30:33"/>
    <d v="1899-12-30T00:47:25"/>
    <d v="1899-12-30T00:07:51"/>
    <x v="6"/>
  </r>
  <r>
    <x v="24"/>
    <x v="3"/>
    <s v="2016-06-02 16:30:33"/>
    <s v="2016-06-03 08:09:48"/>
    <d v="1899-12-30T15:39:15"/>
    <x v="3"/>
    <d v="1899-12-30T00:47:25"/>
    <x v="6"/>
    <s v=""/>
    <x v="1"/>
    <s v=""/>
    <s v=""/>
    <s v=""/>
    <x v="1"/>
  </r>
  <r>
    <x v="16"/>
    <x v="12"/>
    <s v="2016-06-01 18:00:38"/>
    <s v="2016-06-02 15:17:41"/>
    <d v="1899-12-30T21:17:03"/>
    <x v="3"/>
    <s v=""/>
    <x v="0"/>
    <s v=""/>
    <x v="305"/>
    <s v="2016-06-02 15:38:16"/>
    <d v="1899-12-30T00:20:35"/>
    <d v="1899-12-30T21:17:03"/>
    <x v="34"/>
  </r>
  <r>
    <x v="16"/>
    <x v="8"/>
    <s v="2016-06-02 15:38:16"/>
    <s v="2016-06-02 19:02:03"/>
    <d v="1899-12-30T03:23:47"/>
    <x v="3"/>
    <d v="1899-12-30T00:20:35"/>
    <x v="34"/>
    <s v=""/>
    <x v="306"/>
    <s v="2016-06-02 19:26:30"/>
    <d v="1899-12-30T00:24:27"/>
    <d v="1899-12-30T03:23:47"/>
    <x v="25"/>
  </r>
  <r>
    <x v="16"/>
    <x v="11"/>
    <s v="2016-06-02 19:26:30"/>
    <s v="2016-06-02 19:27:25"/>
    <d v="1899-12-30T00:00:55"/>
    <x v="3"/>
    <d v="1899-12-30T00:24:27"/>
    <x v="25"/>
    <s v=""/>
    <x v="307"/>
    <s v="2016-06-02 19:29:30"/>
    <d v="1899-12-30T00:02:05"/>
    <d v="1899-12-30T00:00:55"/>
    <x v="26"/>
  </r>
  <r>
    <x v="16"/>
    <x v="12"/>
    <s v="2016-06-02 19:29:30"/>
    <s v="2016-06-03 07:03:06"/>
    <d v="1899-12-30T11:33:36"/>
    <x v="3"/>
    <d v="1899-12-30T00:02:05"/>
    <x v="26"/>
    <s v=""/>
    <x v="1"/>
    <s v=""/>
    <s v=""/>
    <s v=""/>
    <x v="1"/>
  </r>
  <r>
    <x v="23"/>
    <x v="12"/>
    <s v="2016-06-01 18:27:23"/>
    <s v="2016-06-02 09:19:39"/>
    <d v="1899-12-30T14:52:16"/>
    <x v="3"/>
    <s v=""/>
    <x v="0"/>
    <s v=""/>
    <x v="308"/>
    <s v="2016-06-02 09:38:03"/>
    <d v="1899-12-30T00:18:24"/>
    <d v="1899-12-30T14:52:16"/>
    <x v="34"/>
  </r>
  <r>
    <x v="23"/>
    <x v="8"/>
    <s v="2016-06-02 09:38:03"/>
    <s v="2016-06-02 10:49:51"/>
    <d v="1899-12-30T01:11:48"/>
    <x v="3"/>
    <d v="1899-12-30T00:18:24"/>
    <x v="34"/>
    <s v=""/>
    <x v="309"/>
    <s v="2016-06-02 11:07:03"/>
    <d v="1899-12-30T00:17:12"/>
    <d v="1899-12-30T01:11:48"/>
    <x v="25"/>
  </r>
  <r>
    <x v="23"/>
    <x v="11"/>
    <s v="2016-06-02 11:07:03"/>
    <s v="2016-06-02 11:07:49"/>
    <d v="1899-12-30T00:00:46"/>
    <x v="3"/>
    <d v="1899-12-30T00:17:12"/>
    <x v="25"/>
    <s v=""/>
    <x v="310"/>
    <s v="2016-06-02 11:09:20"/>
    <d v="1899-12-30T00:01:31"/>
    <d v="1899-12-30T00:00:46"/>
    <x v="26"/>
  </r>
  <r>
    <x v="23"/>
    <x v="12"/>
    <s v="2016-06-02 11:09:20"/>
    <s v="2016-06-02 12:10:58"/>
    <d v="1899-12-30T01:01:38"/>
    <x v="3"/>
    <d v="1899-12-30T00:01:31"/>
    <x v="26"/>
    <s v=""/>
    <x v="311"/>
    <s v="2016-06-02 12:13:42"/>
    <d v="1899-12-30T00:02:44"/>
    <d v="1899-12-30T01:01:38"/>
    <x v="40"/>
  </r>
  <r>
    <x v="23"/>
    <x v="12"/>
    <s v="2016-06-02 12:13:42"/>
    <s v="2016-06-02 12:15:05"/>
    <d v="1899-12-30T00:01:23"/>
    <x v="3"/>
    <d v="1899-12-30T00:02:44"/>
    <x v="40"/>
    <s v=""/>
    <x v="312"/>
    <s v="2016-06-02 12:15:05"/>
    <d v="1899-12-30T00:00:00"/>
    <d v="1899-12-30T00:01:23"/>
    <x v="29"/>
  </r>
  <r>
    <x v="23"/>
    <x v="11"/>
    <s v="2016-06-02 12:15:05"/>
    <s v="2016-06-02 12:18:06"/>
    <d v="1899-12-30T00:03:01"/>
    <x v="3"/>
    <d v="1899-12-30T00:00:00"/>
    <x v="29"/>
    <s v=""/>
    <x v="313"/>
    <s v="2016-06-02 17:51:00"/>
    <d v="1899-12-30T05:32:54"/>
    <d v="1899-12-30T00:03:01"/>
    <x v="30"/>
  </r>
  <r>
    <x v="23"/>
    <x v="11"/>
    <s v="2016-06-02 17:51:00"/>
    <s v="2016-06-02 17:52:31"/>
    <d v="1899-12-30T00:01:31"/>
    <x v="3"/>
    <d v="1899-12-30T05:32:54"/>
    <x v="30"/>
    <s v=""/>
    <x v="314"/>
    <s v="2016-06-02 17:53:31"/>
    <d v="1899-12-30T00:01:00"/>
    <d v="1899-12-30T00:01:31"/>
    <x v="30"/>
  </r>
  <r>
    <x v="23"/>
    <x v="11"/>
    <s v="2016-06-02 17:53:31"/>
    <s v="2016-06-02 17:54:30"/>
    <d v="1899-12-30T00:00:59"/>
    <x v="3"/>
    <d v="1899-12-30T00:01:00"/>
    <x v="30"/>
    <s v=""/>
    <x v="315"/>
    <s v="2016-06-02 17:56:06"/>
    <d v="1899-12-30T00:01:36"/>
    <d v="1899-12-30T00:00:59"/>
    <x v="30"/>
  </r>
  <r>
    <x v="23"/>
    <x v="11"/>
    <s v="2016-06-02 17:56:06"/>
    <s v="2016-06-02 17:57:12"/>
    <d v="1899-12-30T00:01:06"/>
    <x v="3"/>
    <d v="1899-12-30T00:01:36"/>
    <x v="30"/>
    <s v=""/>
    <x v="316"/>
    <s v="2016-06-02 18:14:24"/>
    <d v="1899-12-30T00:17:12"/>
    <d v="1899-12-30T00:01:06"/>
    <x v="37"/>
  </r>
  <r>
    <x v="23"/>
    <x v="8"/>
    <s v="2016-06-02 18:14:24"/>
    <s v="2016-06-02 18:24:20"/>
    <d v="1899-12-30T00:09:56"/>
    <x v="3"/>
    <d v="1899-12-30T00:17:12"/>
    <x v="37"/>
    <s v=""/>
    <x v="317"/>
    <s v="2016-06-02 18:40:02"/>
    <d v="1899-12-30T00:15:42"/>
    <d v="1899-12-30T00:09:56"/>
    <x v="25"/>
  </r>
  <r>
    <x v="23"/>
    <x v="11"/>
    <s v="2016-06-02 18:40:02"/>
    <s v="2016-06-02 18:40:30"/>
    <d v="1899-12-30T00:00:28"/>
    <x v="3"/>
    <d v="1899-12-30T00:15:42"/>
    <x v="25"/>
    <s v=""/>
    <x v="318"/>
    <s v="2016-06-02 18:41:56"/>
    <d v="1899-12-30T00:01:26"/>
    <d v="1899-12-30T00:00:28"/>
    <x v="26"/>
  </r>
  <r>
    <x v="23"/>
    <x v="12"/>
    <s v="2016-06-02 18:41:56"/>
    <s v="2016-06-03 07:28:13"/>
    <d v="1899-12-30T12:46:17"/>
    <x v="3"/>
    <d v="1899-12-30T00:01:26"/>
    <x v="26"/>
    <s v=""/>
    <x v="1"/>
    <s v=""/>
    <s v=""/>
    <s v=""/>
    <x v="1"/>
  </r>
  <r>
    <x v="17"/>
    <x v="12"/>
    <s v="2016-06-01 16:29:33"/>
    <s v="2016-06-02 07:22:45"/>
    <d v="1899-12-30T14:53:12"/>
    <x v="3"/>
    <s v=""/>
    <x v="0"/>
    <s v=""/>
    <x v="319"/>
    <s v="2016-06-02 08:36:30"/>
    <d v="1899-12-30T01:13:45"/>
    <d v="1899-12-30T14:53:12"/>
    <x v="27"/>
  </r>
  <r>
    <x v="17"/>
    <x v="10"/>
    <s v="2016-06-02 08:36:30"/>
    <s v="2016-06-02 09:12:55"/>
    <d v="1899-12-30T00:36:25"/>
    <x v="3"/>
    <d v="1899-12-30T01:13:45"/>
    <x v="27"/>
    <s v=""/>
    <x v="320"/>
    <s v="2016-06-02 11:10:48"/>
    <d v="1899-12-30T01:57:53"/>
    <d v="1899-12-30T00:36:25"/>
    <x v="28"/>
  </r>
  <r>
    <x v="17"/>
    <x v="12"/>
    <s v="2016-06-02 11:10:48"/>
    <s v="2016-06-02 11:17:10"/>
    <d v="1899-12-30T00:06:22"/>
    <x v="3"/>
    <d v="1899-12-30T01:57:53"/>
    <x v="28"/>
    <s v=""/>
    <x v="321"/>
    <s v="2016-06-02 12:39:54"/>
    <d v="1899-12-30T01:22:44"/>
    <d v="1899-12-30T00:06:22"/>
    <x v="27"/>
  </r>
  <r>
    <x v="17"/>
    <x v="10"/>
    <s v="2016-06-02 12:39:54"/>
    <s v="2016-06-02 13:14:25"/>
    <d v="1899-12-30T00:34:31"/>
    <x v="3"/>
    <d v="1899-12-30T01:22:44"/>
    <x v="27"/>
    <s v=""/>
    <x v="322"/>
    <s v="2016-06-02 14:31:13"/>
    <d v="1899-12-30T01:16:48"/>
    <d v="1899-12-30T00:34:31"/>
    <x v="28"/>
  </r>
  <r>
    <x v="17"/>
    <x v="12"/>
    <s v="2016-06-02 14:31:13"/>
    <s v="2016-06-02 14:33:58"/>
    <d v="1899-12-30T00:02:45"/>
    <x v="3"/>
    <d v="1899-12-30T01:16:48"/>
    <x v="28"/>
    <s v=""/>
    <x v="323"/>
    <s v="2016-06-02 16:01:27"/>
    <d v="1899-12-30T01:27:29"/>
    <d v="1899-12-30T00:02:45"/>
    <x v="27"/>
  </r>
  <r>
    <x v="17"/>
    <x v="10"/>
    <s v="2016-06-02 16:01:27"/>
    <s v="2016-06-02 16:30:38"/>
    <d v="1899-12-30T00:29:11"/>
    <x v="3"/>
    <d v="1899-12-30T01:27:29"/>
    <x v="27"/>
    <s v=""/>
    <x v="324"/>
    <s v="2016-06-02 18:02:41"/>
    <d v="1899-12-30T01:32:03"/>
    <d v="1899-12-30T00:29:11"/>
    <x v="28"/>
  </r>
  <r>
    <x v="17"/>
    <x v="12"/>
    <s v="2016-06-02 18:02:41"/>
    <s v="2016-06-02 18:06:29"/>
    <d v="1899-12-30T00:03:48"/>
    <x v="3"/>
    <d v="1899-12-30T01:32:03"/>
    <x v="28"/>
    <s v=""/>
    <x v="325"/>
    <s v="2016-06-02 18:22:29"/>
    <d v="1899-12-30T00:16:00"/>
    <d v="1899-12-30T00:03:48"/>
    <x v="40"/>
  </r>
  <r>
    <x v="17"/>
    <x v="12"/>
    <s v="2016-06-02 18:22:29"/>
    <s v="2016-06-03 05:22:26"/>
    <d v="1899-12-30T10:59:57"/>
    <x v="3"/>
    <d v="1899-12-30T00:16:00"/>
    <x v="40"/>
    <s v=""/>
    <x v="1"/>
    <s v=""/>
    <s v=""/>
    <s v=""/>
    <x v="1"/>
  </r>
  <r>
    <x v="19"/>
    <x v="12"/>
    <s v="2016-06-01 16:31:30"/>
    <s v="2016-06-02 07:22:55"/>
    <d v="1899-12-30T14:51:25"/>
    <x v="3"/>
    <s v=""/>
    <x v="0"/>
    <s v=""/>
    <x v="326"/>
    <s v="2016-06-02 08:36:26"/>
    <d v="1899-12-30T01:13:31"/>
    <d v="1899-12-30T14:51:25"/>
    <x v="27"/>
  </r>
  <r>
    <x v="19"/>
    <x v="10"/>
    <s v="2016-06-02 08:36:26"/>
    <s v="2016-06-02 09:13:35"/>
    <d v="1899-12-30T00:37:09"/>
    <x v="3"/>
    <d v="1899-12-30T01:13:31"/>
    <x v="27"/>
    <s v=""/>
    <x v="327"/>
    <s v="2016-06-02 11:10:57"/>
    <d v="1899-12-30T01:57:22"/>
    <d v="1899-12-30T00:37:09"/>
    <x v="28"/>
  </r>
  <r>
    <x v="19"/>
    <x v="12"/>
    <s v="2016-06-02 11:10:57"/>
    <s v="2016-06-02 11:17:40"/>
    <d v="1899-12-30T00:06:43"/>
    <x v="3"/>
    <d v="1899-12-30T01:57:22"/>
    <x v="28"/>
    <s v=""/>
    <x v="328"/>
    <s v="2016-06-02 12:40:17"/>
    <d v="1899-12-30T01:22:37"/>
    <d v="1899-12-30T00:06:43"/>
    <x v="27"/>
  </r>
  <r>
    <x v="19"/>
    <x v="10"/>
    <s v="2016-06-02 12:40:17"/>
    <s v="2016-06-02 13:15:01"/>
    <d v="1899-12-30T00:34:44"/>
    <x v="3"/>
    <d v="1899-12-30T01:22:37"/>
    <x v="27"/>
    <s v=""/>
    <x v="329"/>
    <s v="2016-06-02 14:31:33"/>
    <d v="1899-12-30T01:16:32"/>
    <d v="1899-12-30T00:34:44"/>
    <x v="28"/>
  </r>
  <r>
    <x v="19"/>
    <x v="12"/>
    <s v="2016-06-02 14:31:33"/>
    <s v="2016-06-02 14:35:52"/>
    <d v="1899-12-30T00:04:19"/>
    <x v="3"/>
    <d v="1899-12-30T01:16:32"/>
    <x v="28"/>
    <s v=""/>
    <x v="330"/>
    <s v="2016-06-02 16:01:39"/>
    <d v="1899-12-30T01:25:47"/>
    <d v="1899-12-30T00:04:19"/>
    <x v="27"/>
  </r>
  <r>
    <x v="19"/>
    <x v="10"/>
    <s v="2016-06-02 16:01:39"/>
    <s v="2016-06-02 16:30:50"/>
    <d v="1899-12-30T00:29:11"/>
    <x v="3"/>
    <d v="1899-12-30T01:25:47"/>
    <x v="27"/>
    <s v=""/>
    <x v="331"/>
    <s v="2016-06-02 18:03:02"/>
    <d v="1899-12-30T01:32:12"/>
    <d v="1899-12-30T00:29:11"/>
    <x v="28"/>
  </r>
  <r>
    <x v="19"/>
    <x v="12"/>
    <s v="2016-06-02 18:03:02"/>
    <s v="2016-06-02 18:06:49"/>
    <d v="1899-12-30T00:03:47"/>
    <x v="3"/>
    <d v="1899-12-30T01:32:12"/>
    <x v="28"/>
    <s v=""/>
    <x v="332"/>
    <s v="2016-06-02 18:25:44"/>
    <d v="1899-12-30T00:18:55"/>
    <d v="1899-12-30T00:03:47"/>
    <x v="40"/>
  </r>
  <r>
    <x v="19"/>
    <x v="12"/>
    <s v="2016-06-02 18:25:44"/>
    <s v="2016-06-03 05:36:03"/>
    <d v="1899-12-30T11:10:19"/>
    <x v="3"/>
    <d v="1899-12-30T00:18:55"/>
    <x v="40"/>
    <s v=""/>
    <x v="1"/>
    <s v=""/>
    <s v=""/>
    <s v=""/>
    <x v="1"/>
  </r>
  <r>
    <x v="25"/>
    <x v="8"/>
    <s v="2016-06-02 10:53:34"/>
    <s v="2016-06-03 09:10:10"/>
    <d v="1899-12-30T22:16:36"/>
    <x v="3"/>
    <s v=""/>
    <x v="0"/>
    <s v=""/>
    <x v="333"/>
    <s v="2016-06-03 09:32:12"/>
    <d v="1899-12-30T00:22:02"/>
    <d v="1899-12-30T22:16:36"/>
    <x v="35"/>
  </r>
  <r>
    <x v="25"/>
    <x v="12"/>
    <s v="2016-06-03 09:32:12"/>
    <s v="2016-06-03 10:00:04"/>
    <d v="1899-12-30T00:27:52"/>
    <x v="3"/>
    <d v="1899-12-30T00:22:02"/>
    <x v="35"/>
    <s v=""/>
    <x v="334"/>
    <s v="2016-06-03 10:00:50"/>
    <d v="1899-12-30T00:00:46"/>
    <d v="1899-12-30T00:27:52"/>
    <x v="29"/>
  </r>
  <r>
    <x v="25"/>
    <x v="11"/>
    <s v="2016-06-03 10:00:50"/>
    <s v="2016-06-03 10:04:39"/>
    <d v="1899-12-30T00:03:49"/>
    <x v="3"/>
    <d v="1899-12-30T00:00:46"/>
    <x v="29"/>
    <s v=""/>
    <x v="335"/>
    <s v="2016-06-03 11:04:32"/>
    <d v="1899-12-30T00:59:53"/>
    <d v="1899-12-30T00:03:49"/>
    <x v="30"/>
  </r>
  <r>
    <x v="25"/>
    <x v="11"/>
    <s v="2016-06-03 11:04:32"/>
    <s v="2016-06-03 11:11:42"/>
    <d v="1899-12-30T00:07:10"/>
    <x v="3"/>
    <d v="1899-12-30T00:59:53"/>
    <x v="30"/>
    <s v=""/>
    <x v="336"/>
    <s v="2016-06-03 11:13:25"/>
    <d v="1899-12-30T00:01:43"/>
    <d v="1899-12-30T00:07:10"/>
    <x v="26"/>
  </r>
  <r>
    <x v="25"/>
    <x v="12"/>
    <s v="2016-06-03 11:13:25"/>
    <s v="2016-06-03 11:13:34"/>
    <d v="1899-12-30T00:00:09"/>
    <x v="3"/>
    <d v="1899-12-30T00:01:43"/>
    <x v="26"/>
    <s v=""/>
    <x v="337"/>
    <s v="2016-06-03 13:07:08"/>
    <d v="1899-12-30T01:53:34"/>
    <d v="1899-12-30T00:00:09"/>
    <x v="29"/>
  </r>
  <r>
    <x v="25"/>
    <x v="11"/>
    <s v="2016-06-03 13:07:08"/>
    <s v="2016-06-03 13:10:51"/>
    <d v="1899-12-30T00:03:43"/>
    <x v="3"/>
    <d v="1899-12-30T01:53:34"/>
    <x v="29"/>
    <s v=""/>
    <x v="338"/>
    <s v="2016-06-03 13:36:25"/>
    <d v="1899-12-30T00:25:34"/>
    <d v="1899-12-30T00:03:43"/>
    <x v="30"/>
  </r>
  <r>
    <x v="25"/>
    <x v="11"/>
    <s v="2016-06-03 13:36:25"/>
    <s v="2016-06-03 13:38:22"/>
    <d v="1899-12-30T00:01:57"/>
    <x v="3"/>
    <d v="1899-12-30T00:25:34"/>
    <x v="30"/>
    <s v=""/>
    <x v="339"/>
    <s v="2016-06-03 16:26:36"/>
    <d v="1899-12-30T02:48:14"/>
    <d v="1899-12-30T00:01:57"/>
    <x v="30"/>
  </r>
  <r>
    <x v="25"/>
    <x v="11"/>
    <s v="2016-06-03 16:26:36"/>
    <s v="2016-06-03 16:29:32"/>
    <d v="1899-12-30T00:02:56"/>
    <x v="3"/>
    <d v="1899-12-30T02:48:14"/>
    <x v="30"/>
    <s v=""/>
    <x v="340"/>
    <s v="2016-06-03 16:32:44"/>
    <d v="1899-12-30T00:03:12"/>
    <d v="1899-12-30T00:02:56"/>
    <x v="26"/>
  </r>
  <r>
    <x v="25"/>
    <x v="12"/>
    <s v="2016-06-03 16:32:44"/>
    <s v="2016-06-03 16:32:52"/>
    <d v="1899-12-30T00:00:08"/>
    <x v="3"/>
    <d v="1899-12-30T00:03:12"/>
    <x v="26"/>
    <s v=""/>
    <x v="341"/>
    <s v="2016-06-03 19:30:40"/>
    <d v="1899-12-30T02:57:48"/>
    <d v="1899-12-30T00:00:08"/>
    <x v="40"/>
  </r>
  <r>
    <x v="25"/>
    <x v="12"/>
    <s v="2016-06-03 19:30:40"/>
    <s v="2016-06-04 08:25:37"/>
    <d v="1899-12-30T12:54:57"/>
    <x v="3"/>
    <d v="1899-12-30T02:57:48"/>
    <x v="40"/>
    <s v=""/>
    <x v="1"/>
    <s v=""/>
    <s v=""/>
    <s v=""/>
    <x v="1"/>
  </r>
  <r>
    <x v="12"/>
    <x v="3"/>
    <s v="2016-06-02 17:21:26"/>
    <s v="2016-06-03 08:41:02"/>
    <d v="1899-12-30T15:19:36"/>
    <x v="3"/>
    <s v=""/>
    <x v="0"/>
    <s v=""/>
    <x v="342"/>
    <s v="2016-06-03 14:17:30"/>
    <d v="1899-12-30T05:36:28"/>
    <d v="1899-12-30T15:19:36"/>
    <x v="12"/>
  </r>
  <r>
    <x v="12"/>
    <x v="3"/>
    <s v="2016-06-03 14:17:30"/>
    <s v="2016-06-03 15:03:26"/>
    <d v="1899-12-30T00:45:56"/>
    <x v="3"/>
    <d v="1899-12-30T05:36:28"/>
    <x v="12"/>
    <s v=""/>
    <x v="343"/>
    <s v="2016-06-03 19:07:52"/>
    <d v="1899-12-30T04:04:26"/>
    <d v="1899-12-30T00:45:56"/>
    <x v="7"/>
  </r>
  <r>
    <x v="12"/>
    <x v="2"/>
    <s v="2016-06-03 19:07:52"/>
    <s v="2016-06-04 07:26:23"/>
    <d v="1899-12-30T12:18:31"/>
    <x v="3"/>
    <d v="1899-12-30T04:04:26"/>
    <x v="7"/>
    <s v=""/>
    <x v="1"/>
    <s v=""/>
    <s v=""/>
    <s v=""/>
    <x v="1"/>
  </r>
  <r>
    <x v="24"/>
    <x v="3"/>
    <s v="2016-06-02 16:30:33"/>
    <s v="2016-06-03 08:09:48"/>
    <d v="1899-12-30T15:39:15"/>
    <x v="3"/>
    <s v=""/>
    <x v="0"/>
    <s v=""/>
    <x v="344"/>
    <s v="2016-06-03 09:02:51"/>
    <d v="1899-12-30T00:53:03"/>
    <d v="1899-12-30T15:39:15"/>
    <x v="7"/>
  </r>
  <r>
    <x v="24"/>
    <x v="2"/>
    <s v="2016-06-03 09:02:51"/>
    <s v="2016-06-03 09:17:21"/>
    <d v="1899-12-30T00:14:30"/>
    <x v="3"/>
    <d v="1899-12-30T00:53:03"/>
    <x v="7"/>
    <s v=""/>
    <x v="345"/>
    <s v="2016-06-03 09:56:01"/>
    <d v="1899-12-30T00:38:40"/>
    <d v="1899-12-30T00:14:30"/>
    <x v="6"/>
  </r>
  <r>
    <x v="24"/>
    <x v="3"/>
    <s v="2016-06-03 09:56:01"/>
    <s v="2016-06-03 10:11:47"/>
    <d v="1899-12-30T00:15:46"/>
    <x v="3"/>
    <d v="1899-12-30T00:38:40"/>
    <x v="6"/>
    <s v=""/>
    <x v="346"/>
    <s v="2016-06-03 10:59:17"/>
    <d v="1899-12-30T00:47:30"/>
    <d v="1899-12-30T00:15:46"/>
    <x v="7"/>
  </r>
  <r>
    <x v="24"/>
    <x v="2"/>
    <s v="2016-06-03 10:59:17"/>
    <s v="2016-06-03 11:04:18"/>
    <d v="1899-12-30T00:05:01"/>
    <x v="3"/>
    <d v="1899-12-30T00:47:30"/>
    <x v="7"/>
    <s v=""/>
    <x v="347"/>
    <s v="2016-06-03 11:40:46"/>
    <d v="1899-12-30T00:36:28"/>
    <d v="1899-12-30T00:05:01"/>
    <x v="6"/>
  </r>
  <r>
    <x v="24"/>
    <x v="3"/>
    <s v="2016-06-03 11:40:46"/>
    <s v="2016-06-03 13:16:57"/>
    <d v="1899-12-30T01:36:11"/>
    <x v="3"/>
    <d v="1899-12-30T00:36:28"/>
    <x v="6"/>
    <s v=""/>
    <x v="348"/>
    <s v="2016-06-03 18:41:36"/>
    <d v="1899-12-30T05:24:39"/>
    <d v="1899-12-30T01:36:11"/>
    <x v="12"/>
  </r>
  <r>
    <x v="24"/>
    <x v="3"/>
    <s v="2016-06-03 18:41:36"/>
    <s v="2016-06-04 08:19:35"/>
    <d v="1899-12-30T13:37:59"/>
    <x v="3"/>
    <d v="1899-12-30T05:24:39"/>
    <x v="12"/>
    <s v=""/>
    <x v="1"/>
    <s v=""/>
    <s v=""/>
    <s v=""/>
    <x v="1"/>
  </r>
  <r>
    <x v="16"/>
    <x v="12"/>
    <s v="2016-06-02 19:29:30"/>
    <s v="2016-06-03 07:03:06"/>
    <d v="1899-12-30T11:33:36"/>
    <x v="3"/>
    <s v=""/>
    <x v="0"/>
    <s v=""/>
    <x v="349"/>
    <s v="2016-06-03 22:21:34"/>
    <d v="1899-12-30T15:18:28"/>
    <d v="1899-12-30T11:33:36"/>
    <x v="40"/>
  </r>
  <r>
    <x v="16"/>
    <x v="12"/>
    <s v="2016-06-03 22:21:34"/>
    <s v="2016-06-04 07:54:55"/>
    <d v="1899-12-30T09:33:21"/>
    <x v="3"/>
    <d v="1899-12-30T15:18:28"/>
    <x v="40"/>
    <s v=""/>
    <x v="1"/>
    <s v=""/>
    <s v=""/>
    <s v=""/>
    <x v="1"/>
  </r>
  <r>
    <x v="26"/>
    <x v="8"/>
    <s v="2016-06-02 09:55:57"/>
    <s v="2016-06-03 09:08:12"/>
    <d v="1899-12-30T23:12:15"/>
    <x v="3"/>
    <s v=""/>
    <x v="0"/>
    <s v=""/>
    <x v="350"/>
    <s v="2016-06-03 16:43:53"/>
    <d v="1899-12-30T07:35:41"/>
    <d v="1899-12-30T23:12:15"/>
    <x v="41"/>
  </r>
  <r>
    <x v="26"/>
    <x v="13"/>
    <s v="2016-06-03 16:43:53"/>
    <s v="2016-06-03 17:52:33"/>
    <d v="1899-12-30T01:08:40"/>
    <x v="3"/>
    <d v="1899-12-30T07:35:41"/>
    <x v="41"/>
    <s v=""/>
    <x v="1"/>
    <s v=""/>
    <s v=""/>
    <s v=""/>
    <x v="1"/>
  </r>
  <r>
    <x v="17"/>
    <x v="12"/>
    <s v="2016-06-02 18:22:29"/>
    <s v="2016-06-03 05:22:26"/>
    <d v="1899-12-30T10:59:57"/>
    <x v="3"/>
    <s v=""/>
    <x v="0"/>
    <s v=""/>
    <x v="351"/>
    <s v="2016-06-03 06:54:58"/>
    <d v="1899-12-30T01:32:32"/>
    <d v="1899-12-30T10:59:57"/>
    <x v="27"/>
  </r>
  <r>
    <x v="17"/>
    <x v="10"/>
    <s v="2016-06-03 06:54:58"/>
    <s v="2016-06-03 08:32:44"/>
    <d v="1899-12-30T01:37:46"/>
    <x v="3"/>
    <d v="1899-12-30T01:32:32"/>
    <x v="27"/>
    <s v=""/>
    <x v="352"/>
    <s v="2016-06-03 10:29:50"/>
    <d v="1899-12-30T01:57:06"/>
    <d v="1899-12-30T01:37:46"/>
    <x v="28"/>
  </r>
  <r>
    <x v="17"/>
    <x v="12"/>
    <s v="2016-06-03 10:29:50"/>
    <s v="2016-06-03 10:34:42"/>
    <d v="1899-12-30T00:04:52"/>
    <x v="3"/>
    <d v="1899-12-30T01:57:06"/>
    <x v="28"/>
    <s v=""/>
    <x v="353"/>
    <s v="2016-06-03 12:10:21"/>
    <d v="1899-12-30T01:35:39"/>
    <d v="1899-12-30T00:04:52"/>
    <x v="27"/>
  </r>
  <r>
    <x v="17"/>
    <x v="10"/>
    <s v="2016-06-03 12:10:21"/>
    <s v="2016-06-03 12:59:07"/>
    <d v="1899-12-30T00:48:46"/>
    <x v="3"/>
    <d v="1899-12-30T01:35:39"/>
    <x v="27"/>
    <s v=""/>
    <x v="354"/>
    <s v="2016-06-03 14:30:12"/>
    <d v="1899-12-30T01:31:05"/>
    <d v="1899-12-30T00:48:46"/>
    <x v="28"/>
  </r>
  <r>
    <x v="17"/>
    <x v="12"/>
    <s v="2016-06-03 14:30:12"/>
    <s v="2016-06-03 14:43:29"/>
    <d v="1899-12-30T00:13:17"/>
    <x v="3"/>
    <d v="1899-12-30T01:31:05"/>
    <x v="28"/>
    <s v=""/>
    <x v="355"/>
    <s v="2016-06-03 16:27:39"/>
    <d v="1899-12-30T01:44:10"/>
    <d v="1899-12-30T00:13:17"/>
    <x v="27"/>
  </r>
  <r>
    <x v="17"/>
    <x v="10"/>
    <s v="2016-06-03 16:27:39"/>
    <s v="2016-06-03 16:49:16"/>
    <d v="1899-12-30T00:21:37"/>
    <x v="3"/>
    <d v="1899-12-30T01:44:10"/>
    <x v="27"/>
    <s v=""/>
    <x v="356"/>
    <s v="2016-06-03 18:10:25"/>
    <d v="1899-12-30T01:21:09"/>
    <d v="1899-12-30T00:21:37"/>
    <x v="28"/>
  </r>
  <r>
    <x v="17"/>
    <x v="12"/>
    <s v="2016-06-03 18:10:25"/>
    <s v="2016-06-04 07:11:25"/>
    <d v="1899-12-30T13:01:00"/>
    <x v="3"/>
    <d v="1899-12-30T01:21:09"/>
    <x v="28"/>
    <s v=""/>
    <x v="1"/>
    <s v=""/>
    <s v=""/>
    <s v=""/>
    <x v="1"/>
  </r>
  <r>
    <x v="19"/>
    <x v="12"/>
    <s v="2016-06-02 18:25:44"/>
    <s v="2016-06-03 05:36:03"/>
    <d v="1899-12-30T11:10:19"/>
    <x v="3"/>
    <s v=""/>
    <x v="0"/>
    <s v=""/>
    <x v="357"/>
    <s v="2016-06-03 06:58:20"/>
    <d v="1899-12-30T01:22:17"/>
    <d v="1899-12-30T11:10:19"/>
    <x v="27"/>
  </r>
  <r>
    <x v="19"/>
    <x v="10"/>
    <s v="2016-06-03 06:58:20"/>
    <s v="2016-06-03 08:33:27"/>
    <d v="1899-12-30T01:35:07"/>
    <x v="3"/>
    <d v="1899-12-30T01:22:17"/>
    <x v="27"/>
    <s v=""/>
    <x v="358"/>
    <s v="2016-06-03 10:30:00"/>
    <d v="1899-12-30T01:56:33"/>
    <d v="1899-12-30T01:35:07"/>
    <x v="28"/>
  </r>
  <r>
    <x v="19"/>
    <x v="12"/>
    <s v="2016-06-03 10:30:00"/>
    <s v="2016-06-03 10:36:29"/>
    <d v="1899-12-30T00:06:29"/>
    <x v="3"/>
    <d v="1899-12-30T01:56:33"/>
    <x v="28"/>
    <s v=""/>
    <x v="359"/>
    <s v="2016-06-03 12:10:01"/>
    <d v="1899-12-30T01:33:32"/>
    <d v="1899-12-30T00:06:29"/>
    <x v="27"/>
  </r>
  <r>
    <x v="19"/>
    <x v="10"/>
    <s v="2016-06-03 12:10:01"/>
    <s v="2016-06-03 13:00:17"/>
    <d v="1899-12-30T00:50:16"/>
    <x v="4"/>
    <d v="1899-12-30T01:33:32"/>
    <x v="27"/>
    <s v=""/>
    <x v="360"/>
    <s v="2016-06-03 14:56:58"/>
    <d v="1899-12-30T01:56:41"/>
    <d v="1899-12-30T00:50:16"/>
    <x v="28"/>
  </r>
  <r>
    <x v="19"/>
    <x v="12"/>
    <s v="2016-06-03 14:56:58"/>
    <s v="2016-06-03 15:07:31"/>
    <d v="1899-12-30T00:10:33"/>
    <x v="4"/>
    <d v="1899-12-30T01:56:41"/>
    <x v="28"/>
    <s v=""/>
    <x v="361"/>
    <s v="2016-06-03 16:22:00"/>
    <d v="1899-12-30T01:14:29"/>
    <d v="1899-12-30T00:10:33"/>
    <x v="27"/>
  </r>
  <r>
    <x v="19"/>
    <x v="10"/>
    <s v="2016-06-03 16:22:00"/>
    <s v="2016-06-03 16:49:16"/>
    <d v="1899-12-30T00:27:16"/>
    <x v="4"/>
    <d v="1899-12-30T01:14:29"/>
    <x v="27"/>
    <s v=""/>
    <x v="362"/>
    <s v="2016-06-03 18:07:38"/>
    <d v="1899-12-30T01:18:22"/>
    <d v="1899-12-30T00:27:16"/>
    <x v="28"/>
  </r>
  <r>
    <x v="19"/>
    <x v="12"/>
    <s v="2016-06-03 18:07:38"/>
    <s v="2016-06-04 07:12:55"/>
    <d v="1899-12-30T13:05:17"/>
    <x v="4"/>
    <d v="1899-12-30T01:18:22"/>
    <x v="28"/>
    <s v=""/>
    <x v="1"/>
    <s v=""/>
    <s v=""/>
    <s v=""/>
    <x v="1"/>
  </r>
  <r>
    <x v="27"/>
    <x v="2"/>
    <s v="2016-06-04 09:46:10"/>
    <s v="2016-06-04 10:13:24"/>
    <d v="1899-12-30T00:27:14"/>
    <x v="4"/>
    <s v=""/>
    <x v="0"/>
    <s v=""/>
    <x v="363"/>
    <s v="2016-06-04 10:14:31"/>
    <d v="1899-12-30T00:01:07"/>
    <d v="1899-12-30T00:27:14"/>
    <x v="5"/>
  </r>
  <r>
    <x v="27"/>
    <x v="2"/>
    <s v="2016-06-04 10:14:31"/>
    <s v="2016-06-04 10:29:04"/>
    <d v="1899-12-30T00:14:33"/>
    <x v="4"/>
    <d v="1899-12-30T00:01:07"/>
    <x v="5"/>
    <s v=""/>
    <x v="364"/>
    <s v="2016-06-04 10:30:14"/>
    <d v="1899-12-30T00:01:10"/>
    <d v="1899-12-30T00:14:33"/>
    <x v="5"/>
  </r>
  <r>
    <x v="27"/>
    <x v="2"/>
    <s v="2016-06-04 10:30:14"/>
    <s v="2016-06-04 10:33:54"/>
    <d v="1899-12-30T00:03:40"/>
    <x v="4"/>
    <d v="1899-12-30T00:01:10"/>
    <x v="5"/>
    <s v=""/>
    <x v="365"/>
    <s v="2016-06-04 10:35:10"/>
    <d v="1899-12-30T00:01:16"/>
    <d v="1899-12-30T00:03:40"/>
    <x v="5"/>
  </r>
  <r>
    <x v="27"/>
    <x v="2"/>
    <s v="2016-06-04 10:35:10"/>
    <s v="2016-06-04 10:54:22"/>
    <d v="1899-12-30T00:19:12"/>
    <x v="4"/>
    <d v="1899-12-30T00:01:16"/>
    <x v="5"/>
    <s v=""/>
    <x v="366"/>
    <s v="2016-06-04 10:54:54"/>
    <d v="1899-12-30T00:00:32"/>
    <d v="1899-12-30T00:19:12"/>
    <x v="5"/>
  </r>
  <r>
    <x v="27"/>
    <x v="2"/>
    <s v="2016-06-04 10:54:54"/>
    <s v="2016-06-04 10:59:35"/>
    <d v="1899-12-30T00:04:41"/>
    <x v="4"/>
    <d v="1899-12-30T00:00:32"/>
    <x v="5"/>
    <s v=""/>
    <x v="367"/>
    <s v="2016-06-04 11:00:20"/>
    <d v="1899-12-30T00:00:45"/>
    <d v="1899-12-30T00:04:41"/>
    <x v="5"/>
  </r>
  <r>
    <x v="27"/>
    <x v="2"/>
    <s v="2016-06-04 11:00:20"/>
    <s v="2016-06-04 11:07:02"/>
    <d v="1899-12-30T00:06:42"/>
    <x v="4"/>
    <d v="1899-12-30T00:00:45"/>
    <x v="5"/>
    <s v=""/>
    <x v="368"/>
    <s v="2016-06-04 11:07:48"/>
    <d v="1899-12-30T00:00:46"/>
    <d v="1899-12-30T00:06:42"/>
    <x v="5"/>
  </r>
  <r>
    <x v="27"/>
    <x v="2"/>
    <s v="2016-06-04 11:07:48"/>
    <s v="2016-06-04 11:21:53"/>
    <d v="1899-12-30T00:14:05"/>
    <x v="4"/>
    <d v="1899-12-30T00:00:46"/>
    <x v="5"/>
    <s v=""/>
    <x v="369"/>
    <s v="2016-06-04 11:22:42"/>
    <d v="1899-12-30T00:00:49"/>
    <d v="1899-12-30T00:14:05"/>
    <x v="5"/>
  </r>
  <r>
    <x v="27"/>
    <x v="2"/>
    <s v="2016-06-04 11:22:42"/>
    <s v="2016-06-04 11:25:49"/>
    <d v="1899-12-30T00:03:07"/>
    <x v="4"/>
    <d v="1899-12-30T00:00:49"/>
    <x v="5"/>
    <s v=""/>
    <x v="370"/>
    <s v="2016-06-04 11:26:45"/>
    <d v="1899-12-30T00:00:56"/>
    <d v="1899-12-30T00:03:07"/>
    <x v="5"/>
  </r>
  <r>
    <x v="27"/>
    <x v="2"/>
    <s v="2016-06-04 11:26:45"/>
    <s v="2016-06-04 11:32:01"/>
    <d v="1899-12-30T00:05:16"/>
    <x v="4"/>
    <d v="1899-12-30T00:00:56"/>
    <x v="5"/>
    <s v=""/>
    <x v="371"/>
    <s v="2016-06-04 11:33:22"/>
    <d v="1899-12-30T00:01:21"/>
    <d v="1899-12-30T00:05:16"/>
    <x v="5"/>
  </r>
  <r>
    <x v="27"/>
    <x v="2"/>
    <s v="2016-06-04 11:33:22"/>
    <s v="2016-06-04 12:39:35"/>
    <d v="1899-12-30T01:06:13"/>
    <x v="4"/>
    <d v="1899-12-30T00:01:21"/>
    <x v="5"/>
    <s v=""/>
    <x v="372"/>
    <s v="2016-06-04 12:41:18"/>
    <d v="1899-12-30T00:01:43"/>
    <d v="1899-12-30T01:06:13"/>
    <x v="5"/>
  </r>
  <r>
    <x v="27"/>
    <x v="2"/>
    <s v="2016-06-04 12:41:18"/>
    <s v="2016-06-04 12:54:12"/>
    <d v="1899-12-30T00:12:54"/>
    <x v="4"/>
    <d v="1899-12-30T00:01:43"/>
    <x v="5"/>
    <s v=""/>
    <x v="373"/>
    <s v="2016-06-04 12:55:09"/>
    <d v="1899-12-30T00:00:57"/>
    <d v="1899-12-30T00:12:54"/>
    <x v="5"/>
  </r>
  <r>
    <x v="27"/>
    <x v="2"/>
    <s v="2016-06-04 12:55:09"/>
    <s v="2016-06-04 13:00:12"/>
    <d v="1899-12-30T00:05:03"/>
    <x v="4"/>
    <d v="1899-12-30T00:00:57"/>
    <x v="5"/>
    <s v=""/>
    <x v="374"/>
    <s v="2016-06-04 13:00:57"/>
    <d v="1899-12-30T00:00:45"/>
    <d v="1899-12-30T00:05:03"/>
    <x v="5"/>
  </r>
  <r>
    <x v="27"/>
    <x v="2"/>
    <s v="2016-06-04 13:00:57"/>
    <s v="2016-06-04 13:08:17"/>
    <d v="1899-12-30T00:07:20"/>
    <x v="4"/>
    <d v="1899-12-30T00:00:45"/>
    <x v="5"/>
    <s v=""/>
    <x v="375"/>
    <s v="2016-06-04 13:10:23"/>
    <d v="1899-12-30T00:02:06"/>
    <d v="1899-12-30T00:07:20"/>
    <x v="5"/>
  </r>
  <r>
    <x v="27"/>
    <x v="2"/>
    <s v="2016-06-04 13:10:23"/>
    <s v="2016-06-04 13:32:33"/>
    <d v="1899-12-30T00:22:10"/>
    <x v="4"/>
    <d v="1899-12-30T00:02:06"/>
    <x v="5"/>
    <s v=""/>
    <x v="376"/>
    <s v="2016-06-04 13:34:15"/>
    <d v="1899-12-30T00:01:42"/>
    <d v="1899-12-30T00:22:10"/>
    <x v="5"/>
  </r>
  <r>
    <x v="27"/>
    <x v="2"/>
    <s v="2016-06-04 13:34:15"/>
    <s v="2016-06-04 13:37:12"/>
    <d v="1899-12-30T00:02:57"/>
    <x v="4"/>
    <d v="1899-12-30T00:01:42"/>
    <x v="5"/>
    <s v=""/>
    <x v="377"/>
    <s v="2016-06-04 13:38:10"/>
    <d v="1899-12-30T00:00:58"/>
    <d v="1899-12-30T00:02:57"/>
    <x v="5"/>
  </r>
  <r>
    <x v="27"/>
    <x v="2"/>
    <s v="2016-06-04 13:38:10"/>
    <s v="2016-06-04 13:44:29"/>
    <d v="1899-12-30T00:06:19"/>
    <x v="4"/>
    <d v="1899-12-30T00:00:58"/>
    <x v="5"/>
    <s v=""/>
    <x v="378"/>
    <s v="2016-06-04 13:46:52"/>
    <d v="1899-12-30T00:02:23"/>
    <d v="1899-12-30T00:06:19"/>
    <x v="5"/>
  </r>
  <r>
    <x v="27"/>
    <x v="2"/>
    <s v="2016-06-04 13:46:52"/>
    <s v="2016-06-04 13:48:06"/>
    <d v="1899-12-30T00:01:14"/>
    <x v="4"/>
    <d v="1899-12-30T00:02:23"/>
    <x v="5"/>
    <s v=""/>
    <x v="379"/>
    <s v="2016-06-04 13:49:53"/>
    <d v="1899-12-30T00:01:47"/>
    <d v="1899-12-30T00:01:14"/>
    <x v="5"/>
  </r>
  <r>
    <x v="27"/>
    <x v="2"/>
    <s v="2016-06-04 13:49:53"/>
    <s v="2016-06-04 13:52:08"/>
    <d v="1899-12-30T00:02:15"/>
    <x v="4"/>
    <d v="1899-12-30T00:01:47"/>
    <x v="5"/>
    <s v=""/>
    <x v="380"/>
    <s v="2016-06-04 13:53:47"/>
    <d v="1899-12-30T00:01:39"/>
    <d v="1899-12-30T00:02:15"/>
    <x v="5"/>
  </r>
  <r>
    <x v="27"/>
    <x v="2"/>
    <s v="2016-06-04 13:53:47"/>
    <s v="2016-06-04 14:01:47"/>
    <d v="1899-12-30T00:08:00"/>
    <x v="4"/>
    <d v="1899-12-30T00:01:39"/>
    <x v="5"/>
    <s v=""/>
    <x v="381"/>
    <s v="2016-06-04 14:03:18"/>
    <d v="1899-12-30T00:01:31"/>
    <d v="1899-12-30T00:08:00"/>
    <x v="5"/>
  </r>
  <r>
    <x v="27"/>
    <x v="2"/>
    <s v="2016-06-04 14:03:18"/>
    <s v="2016-06-04 14:21:14"/>
    <d v="1899-12-30T00:17:56"/>
    <x v="4"/>
    <d v="1899-12-30T00:01:31"/>
    <x v="5"/>
    <s v=""/>
    <x v="382"/>
    <s v="2016-06-04 14:23:27"/>
    <d v="1899-12-30T00:02:13"/>
    <d v="1899-12-30T00:17:56"/>
    <x v="5"/>
  </r>
  <r>
    <x v="27"/>
    <x v="2"/>
    <s v="2016-06-04 14:23:27"/>
    <s v="2016-06-04 15:20:50"/>
    <d v="1899-12-30T00:57:23"/>
    <x v="4"/>
    <d v="1899-12-30T00:02:13"/>
    <x v="5"/>
    <s v=""/>
    <x v="383"/>
    <s v="2016-06-04 15:22:17"/>
    <d v="1899-12-30T00:01:27"/>
    <d v="1899-12-30T00:57:23"/>
    <x v="5"/>
  </r>
  <r>
    <x v="27"/>
    <x v="2"/>
    <s v="2016-06-04 15:22:17"/>
    <s v="2016-06-04 15:28:20"/>
    <d v="1899-12-30T00:06:03"/>
    <x v="4"/>
    <d v="1899-12-30T00:01:27"/>
    <x v="5"/>
    <s v=""/>
    <x v="384"/>
    <s v="2016-06-04 15:29:36"/>
    <d v="1899-12-30T00:01:16"/>
    <d v="1899-12-30T00:06:03"/>
    <x v="5"/>
  </r>
  <r>
    <x v="27"/>
    <x v="2"/>
    <s v="2016-06-04 15:29:36"/>
    <s v="2016-06-04 15:31:06"/>
    <d v="1899-12-30T00:01:30"/>
    <x v="4"/>
    <d v="1899-12-30T00:01:16"/>
    <x v="5"/>
    <s v=""/>
    <x v="385"/>
    <s v="2016-06-04 15:32:08"/>
    <d v="1899-12-30T00:01:02"/>
    <d v="1899-12-30T00:01:30"/>
    <x v="5"/>
  </r>
  <r>
    <x v="27"/>
    <x v="2"/>
    <s v="2016-06-04 15:32:08"/>
    <s v="2016-06-04 15:32:50"/>
    <d v="1899-12-30T00:00:42"/>
    <x v="4"/>
    <d v="1899-12-30T00:01:02"/>
    <x v="5"/>
    <s v=""/>
    <x v="386"/>
    <s v="2016-06-04 15:34:50"/>
    <d v="1899-12-30T00:02:00"/>
    <d v="1899-12-30T00:00:42"/>
    <x v="5"/>
  </r>
  <r>
    <x v="27"/>
    <x v="2"/>
    <s v="2016-06-04 15:34:50"/>
    <s v="2016-06-04 15:35:49"/>
    <d v="1899-12-30T00:00:59"/>
    <x v="4"/>
    <d v="1899-12-30T00:02:00"/>
    <x v="5"/>
    <s v=""/>
    <x v="387"/>
    <s v="2016-06-04 15:36:38"/>
    <d v="1899-12-30T00:00:49"/>
    <d v="1899-12-30T00:00:59"/>
    <x v="5"/>
  </r>
  <r>
    <x v="27"/>
    <x v="2"/>
    <s v="2016-06-04 15:36:38"/>
    <s v="2016-06-04 15:38:17"/>
    <d v="1899-12-30T00:01:39"/>
    <x v="4"/>
    <d v="1899-12-30T00:00:49"/>
    <x v="5"/>
    <s v=""/>
    <x v="388"/>
    <s v="2016-06-04 15:39:34"/>
    <d v="1899-12-30T00:01:17"/>
    <d v="1899-12-30T00:01:39"/>
    <x v="5"/>
  </r>
  <r>
    <x v="27"/>
    <x v="2"/>
    <s v="2016-06-04 15:39:34"/>
    <s v="2016-06-04 15:46:03"/>
    <d v="1899-12-30T00:06:29"/>
    <x v="4"/>
    <d v="1899-12-30T00:01:17"/>
    <x v="5"/>
    <s v=""/>
    <x v="389"/>
    <s v="2016-06-04 15:46:59"/>
    <d v="1899-12-30T00:00:56"/>
    <d v="1899-12-30T00:06:29"/>
    <x v="5"/>
  </r>
  <r>
    <x v="27"/>
    <x v="2"/>
    <s v="2016-06-04 15:46:59"/>
    <s v="2016-06-04 16:19:38"/>
    <d v="1899-12-30T00:32:39"/>
    <x v="4"/>
    <d v="1899-12-30T00:00:56"/>
    <x v="5"/>
    <s v=""/>
    <x v="390"/>
    <s v="2016-06-04 16:20:17"/>
    <d v="1899-12-30T00:00:39"/>
    <d v="1899-12-30T00:32:39"/>
    <x v="5"/>
  </r>
  <r>
    <x v="27"/>
    <x v="2"/>
    <s v="2016-06-04 16:20:17"/>
    <s v="2016-06-04 16:20:50"/>
    <d v="1899-12-30T00:00:33"/>
    <x v="4"/>
    <d v="1899-12-30T00:00:39"/>
    <x v="5"/>
    <s v=""/>
    <x v="391"/>
    <s v="2016-06-04 16:21:20"/>
    <d v="1899-12-30T00:00:30"/>
    <d v="1899-12-30T00:00:33"/>
    <x v="5"/>
  </r>
  <r>
    <x v="27"/>
    <x v="2"/>
    <s v="2016-06-04 16:21:20"/>
    <s v="2016-06-04 16:24:29"/>
    <d v="1899-12-30T00:03:09"/>
    <x v="4"/>
    <d v="1899-12-30T00:00:30"/>
    <x v="5"/>
    <s v=""/>
    <x v="392"/>
    <s v="2016-06-04 16:26:33"/>
    <d v="1899-12-30T00:02:04"/>
    <d v="1899-12-30T00:03:09"/>
    <x v="5"/>
  </r>
  <r>
    <x v="27"/>
    <x v="2"/>
    <s v="2016-06-04 16:26:33"/>
    <s v="2016-06-04 16:54:03"/>
    <d v="1899-12-30T00:27:30"/>
    <x v="4"/>
    <d v="1899-12-30T00:02:04"/>
    <x v="5"/>
    <s v=""/>
    <x v="393"/>
    <s v="2016-06-04 16:54:55"/>
    <d v="1899-12-30T00:00:52"/>
    <d v="1899-12-30T00:27:30"/>
    <x v="5"/>
  </r>
  <r>
    <x v="27"/>
    <x v="2"/>
    <s v="2016-06-04 16:54:55"/>
    <s v="2016-06-04 17:05:29"/>
    <d v="1899-12-30T00:10:34"/>
    <x v="4"/>
    <d v="1899-12-30T00:00:52"/>
    <x v="5"/>
    <s v=""/>
    <x v="394"/>
    <s v="2016-06-04 17:06:49"/>
    <d v="1899-12-30T00:01:20"/>
    <d v="1899-12-30T00:10:34"/>
    <x v="5"/>
  </r>
  <r>
    <x v="27"/>
    <x v="2"/>
    <s v="2016-06-04 17:06:49"/>
    <s v="2016-06-04 17:08:20"/>
    <d v="1899-12-30T00:01:31"/>
    <x v="4"/>
    <d v="1899-12-30T00:01:20"/>
    <x v="5"/>
    <s v=""/>
    <x v="395"/>
    <s v="2016-06-04 17:09:58"/>
    <d v="1899-12-30T00:01:38"/>
    <d v="1899-12-30T00:01:31"/>
    <x v="5"/>
  </r>
  <r>
    <x v="27"/>
    <x v="2"/>
    <s v="2016-06-04 17:09:58"/>
    <s v="2016-06-04 17:11:25"/>
    <d v="1899-12-30T00:01:27"/>
    <x v="4"/>
    <d v="1899-12-30T00:01:38"/>
    <x v="5"/>
    <s v=""/>
    <x v="396"/>
    <s v="2016-06-04 17:13:28"/>
    <d v="1899-12-30T00:02:03"/>
    <d v="1899-12-30T00:01:27"/>
    <x v="5"/>
  </r>
  <r>
    <x v="27"/>
    <x v="2"/>
    <s v="2016-06-04 17:13:28"/>
    <s v="2016-06-04 17:13:55"/>
    <d v="1899-12-30T00:00:27"/>
    <x v="4"/>
    <d v="1899-12-30T00:02:03"/>
    <x v="5"/>
    <s v=""/>
    <x v="397"/>
    <s v="2016-06-04 17:15:49"/>
    <d v="1899-12-30T00:01:54"/>
    <d v="1899-12-30T00:00:27"/>
    <x v="5"/>
  </r>
  <r>
    <x v="27"/>
    <x v="2"/>
    <s v="2016-06-04 17:15:49"/>
    <s v="2016-06-04 17:23:11"/>
    <d v="1899-12-30T00:07:22"/>
    <x v="4"/>
    <d v="1899-12-30T00:01:54"/>
    <x v="5"/>
    <s v=""/>
    <x v="398"/>
    <s v="2016-06-04 17:23:55"/>
    <d v="1899-12-30T00:00:44"/>
    <d v="1899-12-30T00:07:22"/>
    <x v="5"/>
  </r>
  <r>
    <x v="27"/>
    <x v="2"/>
    <s v="2016-06-04 17:23:55"/>
    <s v="2016-06-04 17:25:01"/>
    <d v="1899-12-30T00:01:06"/>
    <x v="4"/>
    <d v="1899-12-30T00:00:44"/>
    <x v="5"/>
    <s v=""/>
    <x v="399"/>
    <s v="2016-06-04 17:25:29"/>
    <d v="1899-12-30T00:00:28"/>
    <d v="1899-12-30T00:01:06"/>
    <x v="5"/>
  </r>
  <r>
    <x v="27"/>
    <x v="2"/>
    <s v="2016-06-04 17:25:29"/>
    <s v="2016-06-04 17:26:21"/>
    <d v="1899-12-30T00:00:52"/>
    <x v="4"/>
    <d v="1899-12-30T00:00:28"/>
    <x v="5"/>
    <s v=""/>
    <x v="400"/>
    <s v="2016-06-04 17:28:12"/>
    <d v="1899-12-30T00:01:51"/>
    <d v="1899-12-30T00:00:52"/>
    <x v="5"/>
  </r>
  <r>
    <x v="27"/>
    <x v="2"/>
    <s v="2016-06-04 17:28:12"/>
    <s v="2016-06-04 17:29:19"/>
    <d v="1899-12-30T00:01:07"/>
    <x v="4"/>
    <d v="1899-12-30T00:01:51"/>
    <x v="5"/>
    <s v=""/>
    <x v="401"/>
    <s v="2016-06-04 17:30:14"/>
    <d v="1899-12-30T00:00:55"/>
    <d v="1899-12-30T00:01:07"/>
    <x v="5"/>
  </r>
  <r>
    <x v="27"/>
    <x v="2"/>
    <s v="2016-06-04 17:30:14"/>
    <s v="2016-06-04 17:31:25"/>
    <d v="1899-12-30T00:01:11"/>
    <x v="4"/>
    <d v="1899-12-30T00:00:55"/>
    <x v="5"/>
    <s v=""/>
    <x v="402"/>
    <s v="2016-06-04 17:32:40"/>
    <d v="1899-12-30T00:01:15"/>
    <d v="1899-12-30T00:01:11"/>
    <x v="5"/>
  </r>
  <r>
    <x v="27"/>
    <x v="2"/>
    <s v="2016-06-04 17:32:40"/>
    <s v="2016-06-04 17:33:28"/>
    <d v="1899-12-30T00:00:48"/>
    <x v="4"/>
    <d v="1899-12-30T00:01:15"/>
    <x v="5"/>
    <s v=""/>
    <x v="403"/>
    <s v="2016-06-04 17:37:11"/>
    <d v="1899-12-30T00:03:43"/>
    <d v="1899-12-30T00:00:48"/>
    <x v="5"/>
  </r>
  <r>
    <x v="27"/>
    <x v="2"/>
    <s v="2016-06-04 17:37:11"/>
    <s v="2016-06-04 17:38:35"/>
    <d v="1899-12-30T00:01:24"/>
    <x v="4"/>
    <d v="1899-12-30T00:03:43"/>
    <x v="5"/>
    <s v=""/>
    <x v="404"/>
    <s v="2016-06-04 17:40:46"/>
    <d v="1899-12-30T00:02:11"/>
    <d v="1899-12-30T00:01:24"/>
    <x v="5"/>
  </r>
  <r>
    <x v="27"/>
    <x v="2"/>
    <s v="2016-06-04 17:40:46"/>
    <s v="2016-06-04 17:47:12"/>
    <d v="1899-12-30T00:06:26"/>
    <x v="4"/>
    <d v="1899-12-30T00:02:11"/>
    <x v="5"/>
    <s v=""/>
    <x v="405"/>
    <s v="2016-06-04 17:47:58"/>
    <d v="1899-12-30T00:00:46"/>
    <d v="1899-12-30T00:06:26"/>
    <x v="5"/>
  </r>
  <r>
    <x v="27"/>
    <x v="2"/>
    <s v="2016-06-04 17:47:58"/>
    <s v="2016-06-04 18:00:48"/>
    <d v="1899-12-30T00:12:50"/>
    <x v="4"/>
    <d v="1899-12-30T00:00:46"/>
    <x v="5"/>
    <s v=""/>
    <x v="406"/>
    <s v="2016-06-04 18:03:15"/>
    <d v="1899-12-30T00:02:27"/>
    <d v="1899-12-30T00:12:50"/>
    <x v="5"/>
  </r>
  <r>
    <x v="27"/>
    <x v="2"/>
    <s v="2016-06-04 18:03:15"/>
    <s v="2016-06-04 18:05:32"/>
    <d v="1899-12-30T00:02:17"/>
    <x v="4"/>
    <d v="1899-12-30T00:02:27"/>
    <x v="5"/>
    <s v=""/>
    <x v="407"/>
    <s v="2016-06-04 18:07:36"/>
    <d v="1899-12-30T00:02:04"/>
    <d v="1899-12-30T00:02:17"/>
    <x v="5"/>
  </r>
  <r>
    <x v="27"/>
    <x v="2"/>
    <s v="2016-06-04 18:07:36"/>
    <s v="2016-06-04 18:09:34"/>
    <d v="1899-12-30T00:01:58"/>
    <x v="4"/>
    <d v="1899-12-30T00:02:04"/>
    <x v="5"/>
    <s v=""/>
    <x v="408"/>
    <s v="2016-06-04 18:10:48"/>
    <d v="1899-12-30T00:01:14"/>
    <d v="1899-12-30T00:01:58"/>
    <x v="5"/>
  </r>
  <r>
    <x v="27"/>
    <x v="2"/>
    <s v="2016-06-04 18:10:48"/>
    <s v="2016-06-04 18:16:29"/>
    <d v="1899-12-30T00:05:41"/>
    <x v="4"/>
    <d v="1899-12-30T00:01:14"/>
    <x v="5"/>
    <s v=""/>
    <x v="409"/>
    <s v="2016-06-04 18:17:31"/>
    <d v="1899-12-30T00:01:02"/>
    <d v="1899-12-30T00:05:41"/>
    <x v="5"/>
  </r>
  <r>
    <x v="27"/>
    <x v="2"/>
    <s v="2016-06-04 18:17:31"/>
    <s v="2016-06-04 18:18:01"/>
    <d v="1899-12-30T00:00:30"/>
    <x v="4"/>
    <d v="1899-12-30T00:01:02"/>
    <x v="5"/>
    <s v=""/>
    <x v="410"/>
    <s v="2016-06-04 18:18:31"/>
    <d v="1899-12-30T00:00:30"/>
    <d v="1899-12-30T00:00:30"/>
    <x v="5"/>
  </r>
  <r>
    <x v="27"/>
    <x v="2"/>
    <s v="2016-06-04 18:18:31"/>
    <s v="2016-06-04 18:19:48"/>
    <d v="1899-12-30T00:01:17"/>
    <x v="4"/>
    <d v="1899-12-30T00:00:30"/>
    <x v="5"/>
    <s v=""/>
    <x v="411"/>
    <s v="2016-06-04 18:20:53"/>
    <d v="1899-12-30T00:01:05"/>
    <d v="1899-12-30T00:01:17"/>
    <x v="5"/>
  </r>
  <r>
    <x v="27"/>
    <x v="2"/>
    <s v="2016-06-04 18:20:53"/>
    <s v="2016-06-04 18:22:58"/>
    <d v="1899-12-30T00:02:05"/>
    <x v="4"/>
    <d v="1899-12-30T00:01:05"/>
    <x v="5"/>
    <s v=""/>
    <x v="412"/>
    <s v="2016-06-04 18:25:10"/>
    <d v="1899-12-30T00:02:12"/>
    <d v="1899-12-30T00:02:05"/>
    <x v="5"/>
  </r>
  <r>
    <x v="27"/>
    <x v="2"/>
    <s v="2016-06-04 18:25:10"/>
    <s v="2016-06-04 18:27:42"/>
    <d v="1899-12-30T00:02:32"/>
    <x v="4"/>
    <d v="1899-12-30T00:02:12"/>
    <x v="5"/>
    <s v=""/>
    <x v="413"/>
    <s v="2016-06-04 18:28:31"/>
    <d v="1899-12-30T00:00:49"/>
    <d v="1899-12-30T00:02:32"/>
    <x v="5"/>
  </r>
  <r>
    <x v="27"/>
    <x v="2"/>
    <s v="2016-06-04 18:28:31"/>
    <s v="2016-06-04 18:45:45"/>
    <d v="1899-12-30T00:17:14"/>
    <x v="4"/>
    <d v="1899-12-30T00:00:49"/>
    <x v="5"/>
    <s v=""/>
    <x v="414"/>
    <s v="2016-06-04 18:50:01"/>
    <d v="1899-12-30T00:04:16"/>
    <d v="1899-12-30T00:17:14"/>
    <x v="5"/>
  </r>
  <r>
    <x v="27"/>
    <x v="2"/>
    <s v="2016-06-04 18:50:01"/>
    <s v="2016-06-04 18:55:29"/>
    <d v="1899-12-30T00:05:28"/>
    <x v="4"/>
    <d v="1899-12-30T00:04:16"/>
    <x v="5"/>
    <s v=""/>
    <x v="415"/>
    <s v="2016-06-04 18:56:05"/>
    <d v="1899-12-30T00:00:36"/>
    <d v="1899-12-30T00:05:28"/>
    <x v="5"/>
  </r>
  <r>
    <x v="27"/>
    <x v="2"/>
    <s v="2016-06-04 18:56:05"/>
    <s v="2016-06-04 18:58:03"/>
    <d v="1899-12-30T00:01:58"/>
    <x v="4"/>
    <d v="1899-12-30T00:00:36"/>
    <x v="5"/>
    <s v=""/>
    <x v="416"/>
    <s v="2016-06-04 19:02:20"/>
    <d v="1899-12-30T00:04:17"/>
    <d v="1899-12-30T00:01:58"/>
    <x v="5"/>
  </r>
  <r>
    <x v="27"/>
    <x v="2"/>
    <s v="2016-06-04 19:02:20"/>
    <s v="2016-06-04 19:08:23"/>
    <d v="1899-12-30T00:06:03"/>
    <x v="4"/>
    <d v="1899-12-30T00:04:17"/>
    <x v="5"/>
    <s v=""/>
    <x v="417"/>
    <s v="2016-06-04 19:11:51"/>
    <d v="1899-12-30T00:03:28"/>
    <d v="1899-12-30T00:06:03"/>
    <x v="5"/>
  </r>
  <r>
    <x v="27"/>
    <x v="2"/>
    <s v="2016-06-04 19:11:51"/>
    <s v="2016-06-04 19:15:50"/>
    <d v="1899-12-30T00:03:59"/>
    <x v="4"/>
    <d v="1899-12-30T00:03:28"/>
    <x v="5"/>
    <s v=""/>
    <x v="418"/>
    <s v="2016-06-04 19:16:39"/>
    <d v="1899-12-30T00:00:49"/>
    <d v="1899-12-30T00:03:59"/>
    <x v="5"/>
  </r>
  <r>
    <x v="27"/>
    <x v="2"/>
    <s v="2016-06-04 19:16:39"/>
    <s v="2016-06-04 19:19:16"/>
    <d v="1899-12-30T00:02:37"/>
    <x v="4"/>
    <d v="1899-12-30T00:00:49"/>
    <x v="5"/>
    <s v=""/>
    <x v="419"/>
    <s v="2016-06-04 19:20:41"/>
    <d v="1899-12-30T00:01:25"/>
    <d v="1899-12-30T00:02:37"/>
    <x v="5"/>
  </r>
  <r>
    <x v="27"/>
    <x v="2"/>
    <s v="2016-06-04 19:20:41"/>
    <s v="2016-06-04 19:23:22"/>
    <d v="1899-12-30T00:02:41"/>
    <x v="4"/>
    <d v="1899-12-30T00:01:25"/>
    <x v="5"/>
    <s v=""/>
    <x v="420"/>
    <s v="2016-06-04 19:24:07"/>
    <d v="1899-12-30T00:00:45"/>
    <d v="1899-12-30T00:02:41"/>
    <x v="5"/>
  </r>
  <r>
    <x v="27"/>
    <x v="2"/>
    <s v="2016-06-04 19:24:07"/>
    <s v="2016-06-04 19:26:58"/>
    <d v="1899-12-30T00:02:51"/>
    <x v="4"/>
    <d v="1899-12-30T00:00:45"/>
    <x v="5"/>
    <s v=""/>
    <x v="421"/>
    <s v="2016-06-04 19:29:53"/>
    <d v="1899-12-30T00:02:55"/>
    <d v="1899-12-30T00:02:51"/>
    <x v="5"/>
  </r>
  <r>
    <x v="27"/>
    <x v="2"/>
    <s v="2016-06-04 19:29:53"/>
    <s v="2016-06-04 19:32:59"/>
    <d v="1899-12-30T00:03:06"/>
    <x v="4"/>
    <d v="1899-12-30T00:02:55"/>
    <x v="5"/>
    <s v=""/>
    <x v="422"/>
    <s v="2016-06-04 19:34:32"/>
    <d v="1899-12-30T00:01:33"/>
    <d v="1899-12-30T00:03:06"/>
    <x v="5"/>
  </r>
  <r>
    <x v="27"/>
    <x v="2"/>
    <s v="2016-06-04 19:34:32"/>
    <s v="2016-06-04 19:35:28"/>
    <d v="1899-12-30T00:00:56"/>
    <x v="4"/>
    <d v="1899-12-30T00:01:33"/>
    <x v="5"/>
    <s v=""/>
    <x v="423"/>
    <s v="2016-06-04 19:38:26"/>
    <d v="1899-12-30T00:02:58"/>
    <d v="1899-12-30T00:00:56"/>
    <x v="5"/>
  </r>
  <r>
    <x v="27"/>
    <x v="2"/>
    <s v="2016-06-04 19:38:26"/>
    <s v="2016-06-04 19:40:40"/>
    <d v="1899-12-30T00:02:14"/>
    <x v="4"/>
    <d v="1899-12-30T00:02:58"/>
    <x v="5"/>
    <s v=""/>
    <x v="424"/>
    <s v="2016-06-04 19:43:23"/>
    <d v="1899-12-30T00:02:43"/>
    <d v="1899-12-30T00:02:14"/>
    <x v="5"/>
  </r>
  <r>
    <x v="27"/>
    <x v="2"/>
    <s v="2016-06-04 19:43:23"/>
    <s v="2016-06-04 19:45:58"/>
    <d v="1899-12-30T00:02:35"/>
    <x v="4"/>
    <d v="1899-12-30T00:02:43"/>
    <x v="5"/>
    <s v=""/>
    <x v="425"/>
    <s v="2016-06-04 19:46:50"/>
    <d v="1899-12-30T00:00:52"/>
    <d v="1899-12-30T00:02:35"/>
    <x v="5"/>
  </r>
  <r>
    <x v="27"/>
    <x v="2"/>
    <s v="2016-06-04 19:46:50"/>
    <s v="2016-06-04 19:52:12"/>
    <d v="1899-12-30T00:05:22"/>
    <x v="4"/>
    <d v="1899-12-30T00:00:52"/>
    <x v="5"/>
    <s v=""/>
    <x v="426"/>
    <s v="2016-06-04 19:53:30"/>
    <d v="1899-12-30T00:01:18"/>
    <d v="1899-12-30T00:05:22"/>
    <x v="5"/>
  </r>
  <r>
    <x v="27"/>
    <x v="2"/>
    <s v="2016-06-04 19:53:30"/>
    <s v="2016-06-04 19:57:47"/>
    <d v="1899-12-30T00:04:17"/>
    <x v="4"/>
    <d v="1899-12-30T00:01:18"/>
    <x v="5"/>
    <s v=""/>
    <x v="427"/>
    <s v="2016-06-04 19:58:45"/>
    <d v="1899-12-30T00:00:58"/>
    <d v="1899-12-30T00:04:17"/>
    <x v="5"/>
  </r>
  <r>
    <x v="27"/>
    <x v="2"/>
    <s v="2016-06-04 19:58:45"/>
    <s v="2016-06-04 19:59:39"/>
    <d v="1899-12-30T00:00:54"/>
    <x v="4"/>
    <d v="1899-12-30T00:00:58"/>
    <x v="5"/>
    <s v=""/>
    <x v="428"/>
    <s v="2016-06-04 20:01:24"/>
    <d v="1899-12-30T00:01:45"/>
    <d v="1899-12-30T00:00:54"/>
    <x v="5"/>
  </r>
  <r>
    <x v="27"/>
    <x v="2"/>
    <s v="2016-06-04 20:01:24"/>
    <s v="2016-06-04 20:04:26"/>
    <d v="1899-12-30T00:03:02"/>
    <x v="4"/>
    <d v="1899-12-30T00:01:45"/>
    <x v="5"/>
    <s v=""/>
    <x v="429"/>
    <s v="2016-06-04 20:06:12"/>
    <d v="1899-12-30T00:01:46"/>
    <d v="1899-12-30T00:03:02"/>
    <x v="5"/>
  </r>
  <r>
    <x v="27"/>
    <x v="2"/>
    <s v="2016-06-04 20:06:12"/>
    <s v="2016-06-04 20:06:39"/>
    <d v="1899-12-30T00:00:27"/>
    <x v="4"/>
    <d v="1899-12-30T00:01:46"/>
    <x v="5"/>
    <s v=""/>
    <x v="430"/>
    <s v="2016-06-04 20:07:32"/>
    <d v="1899-12-30T00:00:53"/>
    <d v="1899-12-30T00:00:27"/>
    <x v="5"/>
  </r>
  <r>
    <x v="27"/>
    <x v="2"/>
    <s v="2016-06-04 20:07:32"/>
    <s v="2016-06-04 20:17:21"/>
    <d v="1899-12-30T00:09:49"/>
    <x v="4"/>
    <d v="1899-12-30T00:00:53"/>
    <x v="5"/>
    <s v=""/>
    <x v="431"/>
    <s v="2016-06-04 20:20:33"/>
    <d v="1899-12-30T00:03:12"/>
    <d v="1899-12-30T00:09:49"/>
    <x v="5"/>
  </r>
  <r>
    <x v="27"/>
    <x v="2"/>
    <s v="2016-06-04 20:20:33"/>
    <s v="2016-06-04 20:27:20"/>
    <d v="1899-12-30T00:06:47"/>
    <x v="4"/>
    <d v="1899-12-30T00:03:12"/>
    <x v="5"/>
    <s v=""/>
    <x v="432"/>
    <s v="2016-06-04 20:30:47"/>
    <d v="1899-12-30T00:03:27"/>
    <d v="1899-12-30T00:06:47"/>
    <x v="5"/>
  </r>
  <r>
    <x v="27"/>
    <x v="2"/>
    <s v="2016-06-04 20:30:47"/>
    <s v="2016-06-04 20:35:59"/>
    <d v="1899-12-30T00:05:12"/>
    <x v="4"/>
    <d v="1899-12-30T00:03:27"/>
    <x v="5"/>
    <s v=""/>
    <x v="433"/>
    <s v="2016-06-04 20:39:00"/>
    <d v="1899-12-30T00:03:01"/>
    <d v="1899-12-30T00:05:12"/>
    <x v="5"/>
  </r>
  <r>
    <x v="27"/>
    <x v="2"/>
    <s v="2016-06-04 20:39:00"/>
    <s v="2016-06-04 20:47:19"/>
    <d v="1899-12-30T00:08:19"/>
    <x v="4"/>
    <d v="1899-12-30T00:03:01"/>
    <x v="5"/>
    <s v=""/>
    <x v="434"/>
    <s v="2016-06-04 20:48:27"/>
    <d v="1899-12-30T00:01:08"/>
    <d v="1899-12-30T00:08:19"/>
    <x v="5"/>
  </r>
  <r>
    <x v="27"/>
    <x v="2"/>
    <s v="2016-06-04 20:48:27"/>
    <s v="2016-06-04 20:58:08"/>
    <d v="1899-12-30T00:09:41"/>
    <x v="4"/>
    <d v="1899-12-30T00:01:08"/>
    <x v="5"/>
    <s v=""/>
    <x v="435"/>
    <s v="2016-06-04 20:59:08"/>
    <d v="1899-12-30T00:01:00"/>
    <d v="1899-12-30T00:09:41"/>
    <x v="5"/>
  </r>
  <r>
    <x v="27"/>
    <x v="2"/>
    <s v="2016-06-04 20:59:08"/>
    <s v="2016-06-04 21:01:11"/>
    <d v="1899-12-30T00:02:03"/>
    <x v="4"/>
    <d v="1899-12-30T00:01:00"/>
    <x v="5"/>
    <s v=""/>
    <x v="436"/>
    <s v="2016-06-04 21:03:09"/>
    <d v="1899-12-30T00:01:58"/>
    <d v="1899-12-30T00:02:03"/>
    <x v="5"/>
  </r>
  <r>
    <x v="27"/>
    <x v="2"/>
    <s v="2016-06-04 21:03:09"/>
    <s v="2016-06-04 21:05:25"/>
    <d v="1899-12-30T00:02:16"/>
    <x v="4"/>
    <d v="1899-12-30T00:01:58"/>
    <x v="5"/>
    <s v=""/>
    <x v="437"/>
    <s v="2016-06-04 21:05:53"/>
    <d v="1899-12-30T00:00:28"/>
    <d v="1899-12-30T00:02:16"/>
    <x v="5"/>
  </r>
  <r>
    <x v="27"/>
    <x v="2"/>
    <s v="2016-06-04 21:05:53"/>
    <s v="2016-06-04 21:10:56"/>
    <d v="1899-12-30T00:05:03"/>
    <x v="5"/>
    <d v="1899-12-30T00:00:28"/>
    <x v="5"/>
    <s v=""/>
    <x v="438"/>
    <s v="2016-06-04 21:13:55"/>
    <d v="1899-12-30T00:02:59"/>
    <d v="1899-12-30T00:05:03"/>
    <x v="5"/>
  </r>
  <r>
    <x v="27"/>
    <x v="2"/>
    <s v="2016-06-04 21:13:55"/>
    <s v="2016-06-04 21:17:03"/>
    <d v="1899-12-30T00:03:08"/>
    <x v="5"/>
    <d v="1899-12-30T00:02:59"/>
    <x v="5"/>
    <s v=""/>
    <x v="439"/>
    <s v="2016-06-04 21:17:54"/>
    <d v="1899-12-30T00:00:51"/>
    <d v="1899-12-30T00:03:08"/>
    <x v="5"/>
  </r>
  <r>
    <x v="27"/>
    <x v="2"/>
    <s v="2016-06-04 21:17:54"/>
    <s v="2016-06-04 21:28:07"/>
    <d v="1899-12-30T00:10:13"/>
    <x v="5"/>
    <d v="1899-12-30T00:00:51"/>
    <x v="5"/>
    <s v=""/>
    <x v="440"/>
    <s v="2016-06-04 21:29:08"/>
    <d v="1899-12-30T00:01:01"/>
    <d v="1899-12-30T00:10:13"/>
    <x v="5"/>
  </r>
  <r>
    <x v="27"/>
    <x v="2"/>
    <s v="2016-06-04 21:29:08"/>
    <s v="2016-06-04 21:35:41"/>
    <d v="1899-12-30T00:06:33"/>
    <x v="5"/>
    <d v="1899-12-30T00:01:01"/>
    <x v="5"/>
    <s v=""/>
    <x v="441"/>
    <s v="2016-06-04 21:36:24"/>
    <d v="1899-12-30T00:00:43"/>
    <d v="1899-12-30T00:06:33"/>
    <x v="5"/>
  </r>
  <r>
    <x v="27"/>
    <x v="2"/>
    <s v="2016-06-04 21:36:24"/>
    <s v="2016-06-04 21:37:04"/>
    <d v="1899-12-30T00:00:40"/>
    <x v="5"/>
    <d v="1899-12-30T00:00:43"/>
    <x v="5"/>
    <s v=""/>
    <x v="442"/>
    <s v="2016-06-04 21:37:53"/>
    <d v="1899-12-30T00:00:49"/>
    <d v="1899-12-30T00:00:40"/>
    <x v="5"/>
  </r>
  <r>
    <x v="27"/>
    <x v="2"/>
    <s v="2016-06-04 21:37:53"/>
    <s v="2016-06-04 21:41:40"/>
    <d v="1899-12-30T00:03:47"/>
    <x v="5"/>
    <d v="1899-12-30T00:00:49"/>
    <x v="5"/>
    <s v=""/>
    <x v="443"/>
    <s v="2016-06-04 21:42:47"/>
    <d v="1899-12-30T00:01:07"/>
    <d v="1899-12-30T00:03:47"/>
    <x v="5"/>
  </r>
  <r>
    <x v="27"/>
    <x v="2"/>
    <s v="2016-06-04 21:42:47"/>
    <s v="2016-06-04 22:01:59"/>
    <d v="1899-12-30T00:19:12"/>
    <x v="5"/>
    <d v="1899-12-30T00:01:07"/>
    <x v="5"/>
    <s v=""/>
    <x v="444"/>
    <s v="2016-06-04 22:03:11"/>
    <d v="1899-12-30T00:01:12"/>
    <d v="1899-12-30T00:19:12"/>
    <x v="5"/>
  </r>
  <r>
    <x v="27"/>
    <x v="2"/>
    <s v="2016-06-04 22:03:11"/>
    <s v="2016-06-04 22:10:40"/>
    <d v="1899-12-30T00:07:29"/>
    <x v="5"/>
    <d v="1899-12-30T00:01:12"/>
    <x v="5"/>
    <s v=""/>
    <x v="445"/>
    <s v="2016-06-04 22:11:31"/>
    <d v="1899-12-30T00:00:51"/>
    <d v="1899-12-30T00:07:29"/>
    <x v="5"/>
  </r>
  <r>
    <x v="27"/>
    <x v="2"/>
    <s v="2016-06-04 22:11:31"/>
    <s v="2016-06-04 22:32:13"/>
    <d v="1899-12-30T00:20:42"/>
    <x v="5"/>
    <d v="1899-12-30T00:00:51"/>
    <x v="5"/>
    <s v=""/>
    <x v="446"/>
    <s v="2016-06-04 22:32:50"/>
    <d v="1899-12-30T00:00:37"/>
    <d v="1899-12-30T00:20:42"/>
    <x v="5"/>
  </r>
  <r>
    <x v="27"/>
    <x v="2"/>
    <s v="2016-06-04 22:32:50"/>
    <s v="2016-06-04 22:47:18"/>
    <d v="1899-12-30T00:14:28"/>
    <x v="5"/>
    <d v="1899-12-30T00:00:37"/>
    <x v="5"/>
    <s v=""/>
    <x v="447"/>
    <s v="2016-06-04 22:48:02"/>
    <d v="1899-12-30T00:00:44"/>
    <d v="1899-12-30T00:14:28"/>
    <x v="5"/>
  </r>
  <r>
    <x v="27"/>
    <x v="2"/>
    <s v="2016-06-04 22:48:02"/>
    <s v="2016-06-04 22:52:43"/>
    <d v="1899-12-30T00:04:41"/>
    <x v="2"/>
    <d v="1899-12-30T00:00:44"/>
    <x v="5"/>
    <s v=""/>
    <x v="448"/>
    <s v="2016-06-04 22:55:57"/>
    <d v="1899-12-30T00:03:14"/>
    <d v="1899-12-30T00:04:41"/>
    <x v="5"/>
  </r>
  <r>
    <x v="27"/>
    <x v="2"/>
    <s v="2016-06-04 22:55:57"/>
    <s v="2016-06-04 23:08:39"/>
    <d v="1899-12-30T00:12:42"/>
    <x v="2"/>
    <d v="1899-12-30T00:03:14"/>
    <x v="5"/>
    <s v=""/>
    <x v="449"/>
    <s v="2016-06-04 23:10:16"/>
    <d v="1899-12-30T00:01:37"/>
    <d v="1899-12-30T00:12:42"/>
    <x v="5"/>
  </r>
  <r>
    <x v="27"/>
    <x v="2"/>
    <s v="2016-06-04 23:10:16"/>
    <s v="2016-06-04 23:14:05"/>
    <d v="1899-12-30T00:03:49"/>
    <x v="2"/>
    <d v="1899-12-30T00:01:37"/>
    <x v="5"/>
    <s v=""/>
    <x v="450"/>
    <s v="2016-06-04 23:14:40"/>
    <d v="1899-12-30T00:00:35"/>
    <d v="1899-12-30T00:03:49"/>
    <x v="5"/>
  </r>
  <r>
    <x v="27"/>
    <x v="2"/>
    <s v="2016-06-04 23:14:40"/>
    <s v="2016-06-04 23:22:59"/>
    <d v="1899-12-30T00:08:19"/>
    <x v="2"/>
    <d v="1899-12-30T00:00:35"/>
    <x v="5"/>
    <s v=""/>
    <x v="451"/>
    <s v="2016-06-04 23:23:49"/>
    <d v="1899-12-30T00:00:50"/>
    <d v="1899-12-30T00:08:19"/>
    <x v="5"/>
  </r>
  <r>
    <x v="27"/>
    <x v="2"/>
    <s v="2016-06-04 23:23:49"/>
    <s v="2016-06-04 23:24:20"/>
    <d v="1899-12-30T00:00:31"/>
    <x v="2"/>
    <d v="1899-12-30T00:00:50"/>
    <x v="5"/>
    <s v=""/>
    <x v="452"/>
    <s v="2016-06-04 23:24:57"/>
    <d v="1899-12-30T00:00:37"/>
    <d v="1899-12-30T00:00:31"/>
    <x v="5"/>
  </r>
  <r>
    <x v="27"/>
    <x v="2"/>
    <s v="2016-06-04 23:24:57"/>
    <s v="2016-06-04 23:25:50"/>
    <d v="1899-12-30T00:00:53"/>
    <x v="2"/>
    <d v="1899-12-30T00:00:37"/>
    <x v="5"/>
    <s v=""/>
    <x v="453"/>
    <s v="2016-06-04 23:27:02"/>
    <d v="1899-12-30T00:01:12"/>
    <d v="1899-12-30T00:00:53"/>
    <x v="5"/>
  </r>
  <r>
    <x v="27"/>
    <x v="2"/>
    <s v="2016-06-04 23:27:02"/>
    <s v="2016-06-04 23:30:38"/>
    <d v="1899-12-30T00:03:36"/>
    <x v="2"/>
    <d v="1899-12-30T00:01:12"/>
    <x v="5"/>
    <s v=""/>
    <x v="454"/>
    <s v="2016-06-04 23:31:08"/>
    <d v="1899-12-30T00:00:30"/>
    <d v="1899-12-30T00:03:36"/>
    <x v="5"/>
  </r>
  <r>
    <x v="27"/>
    <x v="2"/>
    <s v="2016-06-04 23:31:08"/>
    <s v="2016-06-04 23:31:36"/>
    <d v="1899-12-30T00:00:28"/>
    <x v="2"/>
    <d v="1899-12-30T00:00:30"/>
    <x v="5"/>
    <s v=""/>
    <x v="455"/>
    <s v="2016-06-04 23:32:08"/>
    <d v="1899-12-30T00:00:32"/>
    <d v="1899-12-30T00:00:28"/>
    <x v="5"/>
  </r>
  <r>
    <x v="27"/>
    <x v="2"/>
    <s v="2016-06-04 23:32:08"/>
    <s v="2016-06-05 00:34:31"/>
    <d v="1899-12-30T01:02:23"/>
    <x v="2"/>
    <d v="1899-12-30T00:00:32"/>
    <x v="5"/>
    <s v=""/>
    <x v="456"/>
    <s v="2016-06-05 00:35:42"/>
    <d v="1899-12-30T00:01:11"/>
    <d v="1899-12-30T01:02:23"/>
    <x v="5"/>
  </r>
  <r>
    <x v="27"/>
    <x v="2"/>
    <s v="2016-06-05 00:35:42"/>
    <s v="2016-06-05 00:37:51"/>
    <d v="1899-12-30T00:02:09"/>
    <x v="2"/>
    <d v="1899-12-30T00:01:11"/>
    <x v="5"/>
    <s v=""/>
    <x v="457"/>
    <s v="2016-06-05 00:40:18"/>
    <d v="1899-12-30T00:02:27"/>
    <d v="1899-12-30T00:02:09"/>
    <x v="5"/>
  </r>
  <r>
    <x v="27"/>
    <x v="2"/>
    <s v="2016-06-05 00:40:18"/>
    <s v="2016-06-05 00:41:57"/>
    <d v="1899-12-30T00:01:39"/>
    <x v="2"/>
    <d v="1899-12-30T00:02:27"/>
    <x v="5"/>
    <s v=""/>
    <x v="458"/>
    <s v="2016-06-05 00:43:28"/>
    <d v="1899-12-30T00:01:31"/>
    <d v="1899-12-30T00:01:39"/>
    <x v="5"/>
  </r>
  <r>
    <x v="27"/>
    <x v="2"/>
    <s v="2016-06-05 00:43:28"/>
    <s v="2016-06-05 00:49:59"/>
    <d v="1899-12-30T00:06:31"/>
    <x v="2"/>
    <d v="1899-12-30T00:01:31"/>
    <x v="5"/>
    <s v=""/>
    <x v="459"/>
    <s v="2016-06-05 00:50:27"/>
    <d v="1899-12-30T00:00:28"/>
    <d v="1899-12-30T00:06:31"/>
    <x v="5"/>
  </r>
  <r>
    <x v="27"/>
    <x v="2"/>
    <s v="2016-06-05 00:50:27"/>
    <s v="2016-06-05 00:57:06"/>
    <d v="1899-12-30T00:06:39"/>
    <x v="2"/>
    <d v="1899-12-30T00:00:28"/>
    <x v="5"/>
    <s v=""/>
    <x v="1"/>
    <s v=""/>
    <s v=""/>
    <s v=""/>
    <x v="1"/>
  </r>
  <r>
    <x v="16"/>
    <x v="12"/>
    <s v="2016-06-03 22:21:34"/>
    <s v="2016-06-04 07:54:55"/>
    <d v="1899-12-30T09:33:21"/>
    <x v="2"/>
    <s v=""/>
    <x v="0"/>
    <s v=""/>
    <x v="460"/>
    <s v="2016-06-04 09:05:33"/>
    <d v="1899-12-30T01:10:38"/>
    <d v="1899-12-30T09:33:21"/>
    <x v="29"/>
  </r>
  <r>
    <x v="16"/>
    <x v="11"/>
    <s v="2016-06-04 09:05:33"/>
    <s v="2016-06-04 09:06:08"/>
    <d v="1899-12-30T00:00:35"/>
    <x v="2"/>
    <d v="1899-12-30T01:10:38"/>
    <x v="29"/>
    <s v=""/>
    <x v="461"/>
    <s v="2016-06-04 09:58:32"/>
    <d v="1899-12-30T00:52:24"/>
    <d v="1899-12-30T00:00:35"/>
    <x v="30"/>
  </r>
  <r>
    <x v="16"/>
    <x v="11"/>
    <s v="2016-06-04 09:58:32"/>
    <s v="2016-06-04 09:59:23"/>
    <d v="1899-12-30T00:00:51"/>
    <x v="2"/>
    <d v="1899-12-30T00:52:24"/>
    <x v="30"/>
    <s v=""/>
    <x v="462"/>
    <s v="2016-06-04 10:45:41"/>
    <d v="1899-12-30T00:46:18"/>
    <d v="1899-12-30T00:00:51"/>
    <x v="26"/>
  </r>
  <r>
    <x v="16"/>
    <x v="12"/>
    <s v="2016-06-04 10:45:41"/>
    <s v="2016-06-04 11:07:17"/>
    <d v="1899-12-30T00:21:36"/>
    <x v="2"/>
    <d v="1899-12-30T00:46:18"/>
    <x v="26"/>
    <s v=""/>
    <x v="463"/>
    <s v="2016-06-04 18:10:33"/>
    <d v="1899-12-30T07:03:16"/>
    <d v="1899-12-30T00:21:36"/>
    <x v="40"/>
  </r>
  <r>
    <x v="16"/>
    <x v="12"/>
    <s v="2016-06-04 18:10:33"/>
    <s v="2016-06-05 07:33:37"/>
    <d v="1899-12-30T13:23:04"/>
    <x v="2"/>
    <d v="1899-12-30T07:03:16"/>
    <x v="40"/>
    <s v=""/>
    <x v="1"/>
    <s v=""/>
    <s v=""/>
    <s v=""/>
    <x v="1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  <r>
    <x v="28"/>
    <x v="14"/>
    <m/>
    <m/>
    <m/>
    <x v="6"/>
    <m/>
    <x v="42"/>
    <m/>
    <x v="464"/>
    <m/>
    <m/>
    <m/>
    <x v="4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65">
  <r>
    <x v="0"/>
    <x v="0"/>
    <s v="05:23:30"/>
    <n v="33.82"/>
    <n v="47"/>
    <n v="0"/>
    <n v="48"/>
    <n v="0"/>
    <s v=""/>
    <s v="05:23:30"/>
  </r>
  <r>
    <x v="0"/>
    <x v="1"/>
    <s v="06:33:20"/>
    <n v="48.73"/>
    <n v="44"/>
    <n v="0"/>
    <n v="82"/>
    <n v="0"/>
    <s v=""/>
    <s v="06:33:20"/>
  </r>
  <r>
    <x v="0"/>
    <x v="2"/>
    <s v=""/>
    <n v="0"/>
    <n v="0"/>
    <n v="0"/>
    <n v="0"/>
    <n v="0"/>
    <s v=""/>
    <s v=""/>
  </r>
  <r>
    <x v="0"/>
    <x v="3"/>
    <s v="03:30:26"/>
    <n v="36.020000000000003"/>
    <n v="53"/>
    <n v="0"/>
    <n v="30"/>
    <n v="2"/>
    <s v="00:27:35"/>
    <d v="1899-12-30T03:02:51"/>
  </r>
  <r>
    <x v="0"/>
    <x v="4"/>
    <s v=""/>
    <n v="0"/>
    <n v="0"/>
    <n v="0"/>
    <n v="0"/>
    <n v="0"/>
    <s v=""/>
    <s v=""/>
  </r>
  <r>
    <x v="0"/>
    <x v="5"/>
    <s v="00:00:12"/>
    <n v="0"/>
    <n v="0"/>
    <n v="0"/>
    <n v="0"/>
    <n v="0"/>
    <s v=""/>
    <s v="00:00:12"/>
  </r>
  <r>
    <x v="0"/>
    <x v="6"/>
    <s v="04:17:52"/>
    <n v="35.340000000000003"/>
    <n v="58"/>
    <n v="0"/>
    <n v="0"/>
    <n v="2"/>
    <s v="00:56:00"/>
    <d v="1899-12-30T03:21:52"/>
  </r>
  <r>
    <x v="0"/>
    <x v="7"/>
    <s v="00:10:51"/>
    <n v="0.01"/>
    <n v="0"/>
    <n v="0"/>
    <n v="0"/>
    <n v="1"/>
    <s v="00:10:58"/>
    <m/>
  </r>
  <r>
    <x v="0"/>
    <x v="8"/>
    <s v="00:55:59"/>
    <n v="0.22"/>
    <n v="15"/>
    <n v="0"/>
    <n v="0"/>
    <n v="1"/>
    <s v="00:26:15"/>
    <d v="1899-12-30T00:29:44"/>
  </r>
  <r>
    <x v="0"/>
    <x v="9"/>
    <s v="10:29:08"/>
    <n v="184.1"/>
    <n v="64"/>
    <n v="0"/>
    <n v="25"/>
    <n v="8"/>
    <s v="02:27:07"/>
    <d v="1899-12-30T08:02:01"/>
  </r>
  <r>
    <x v="0"/>
    <x v="10"/>
    <s v=""/>
    <n v="0"/>
    <n v="0"/>
    <n v="0"/>
    <n v="0"/>
    <n v="0"/>
    <s v=""/>
    <s v=""/>
  </r>
  <r>
    <x v="0"/>
    <x v="11"/>
    <s v="07:01:13"/>
    <n v="140.44"/>
    <n v="59"/>
    <n v="0"/>
    <n v="2"/>
    <n v="5"/>
    <s v="01:19:33"/>
    <d v="1899-12-30T05:41:40"/>
  </r>
  <r>
    <x v="0"/>
    <x v="12"/>
    <s v=""/>
    <n v="0"/>
    <n v="0"/>
    <n v="0"/>
    <n v="0"/>
    <n v="0"/>
    <s v=""/>
    <s v=""/>
  </r>
  <r>
    <x v="0"/>
    <x v="13"/>
    <s v="12:08:53"/>
    <n v="297.52999999999997"/>
    <n v="63"/>
    <n v="0"/>
    <n v="0"/>
    <n v="7"/>
    <s v="03:14:55"/>
    <d v="1899-12-30T08:53:58"/>
  </r>
  <r>
    <x v="0"/>
    <x v="14"/>
    <s v="00:43:56"/>
    <n v="0.56000000000000005"/>
    <n v="10"/>
    <n v="0"/>
    <n v="0"/>
    <n v="2"/>
    <s v="00:29:40"/>
    <d v="1899-12-30T00:14:16"/>
  </r>
  <r>
    <x v="0"/>
    <x v="15"/>
    <s v="08:41:19"/>
    <n v="248.39"/>
    <n v="70"/>
    <n v="0"/>
    <n v="0"/>
    <n v="0"/>
    <s v=""/>
    <s v="08:41:19"/>
  </r>
  <r>
    <x v="0"/>
    <x v="16"/>
    <s v="06:57:36"/>
    <n v="28.48"/>
    <n v="72"/>
    <n v="1"/>
    <n v="0"/>
    <n v="3"/>
    <s v="04:53:37"/>
    <d v="1899-12-30T02:03:59"/>
  </r>
  <r>
    <x v="0"/>
    <x v="17"/>
    <s v="06:04:31"/>
    <n v="33.86"/>
    <n v="57"/>
    <n v="0"/>
    <n v="0"/>
    <n v="3"/>
    <s v="01:55:07"/>
    <d v="1899-12-30T04:09:24"/>
  </r>
  <r>
    <x v="0"/>
    <x v="18"/>
    <s v=""/>
    <n v="0"/>
    <n v="0"/>
    <n v="0"/>
    <n v="0"/>
    <n v="0"/>
    <s v=""/>
    <s v=""/>
  </r>
  <r>
    <x v="0"/>
    <x v="19"/>
    <s v="03:37:58"/>
    <n v="37.94"/>
    <n v="55"/>
    <n v="0"/>
    <n v="0"/>
    <n v="3"/>
    <s v="01:02:17"/>
    <d v="1899-12-30T02:35:41"/>
  </r>
  <r>
    <x v="0"/>
    <x v="20"/>
    <s v=""/>
    <n v="0"/>
    <n v="0"/>
    <n v="0"/>
    <n v="0"/>
    <n v="0"/>
    <s v=""/>
    <s v=""/>
  </r>
  <r>
    <x v="0"/>
    <x v="21"/>
    <s v="02:03:03"/>
    <n v="1.56"/>
    <n v="15"/>
    <n v="0"/>
    <n v="0"/>
    <n v="3"/>
    <s v="00:56:14"/>
    <d v="1899-12-30T01:06:49"/>
  </r>
  <r>
    <x v="0"/>
    <x v="22"/>
    <s v="04:36:44"/>
    <n v="13.61"/>
    <n v="33"/>
    <n v="0"/>
    <n v="0"/>
    <n v="6"/>
    <s v="02:36:18"/>
    <d v="1899-12-30T02:00:26"/>
  </r>
  <r>
    <x v="0"/>
    <x v="23"/>
    <s v="08:37:36"/>
    <n v="211.22"/>
    <n v="68"/>
    <n v="0"/>
    <n v="0"/>
    <n v="4"/>
    <s v="01:05:57"/>
    <d v="1899-12-30T07:31:39"/>
  </r>
  <r>
    <x v="0"/>
    <x v="24"/>
    <s v="07:54:50"/>
    <n v="216.1"/>
    <n v="77"/>
    <n v="4"/>
    <n v="1"/>
    <n v="0"/>
    <s v=""/>
    <s v="07:54:50"/>
  </r>
  <r>
    <x v="0"/>
    <x v="25"/>
    <s v="08:05:47"/>
    <n v="207.67"/>
    <n v="69"/>
    <n v="0"/>
    <n v="13"/>
    <n v="3"/>
    <s v="00:37:28"/>
    <d v="1899-12-30T07:28:19"/>
  </r>
  <r>
    <x v="0"/>
    <x v="26"/>
    <s v="10:00:32"/>
    <n v="181.52"/>
    <n v="63"/>
    <n v="0"/>
    <n v="1"/>
    <n v="7"/>
    <s v="03:20:18"/>
    <d v="1899-12-30T06:40:14"/>
  </r>
  <r>
    <x v="0"/>
    <x v="27"/>
    <s v=""/>
    <n v="0"/>
    <n v="0"/>
    <n v="0"/>
    <n v="0"/>
    <n v="0"/>
    <s v=""/>
    <s v=""/>
  </r>
  <r>
    <x v="0"/>
    <x v="28"/>
    <s v="10:59:18"/>
    <n v="209.54"/>
    <n v="62"/>
    <n v="0"/>
    <n v="2"/>
    <n v="7"/>
    <s v="03:24:50"/>
    <d v="1899-12-30T07:34:28"/>
  </r>
  <r>
    <x v="1"/>
    <x v="0"/>
    <s v="07:40:24"/>
    <n v="67.180000000000007"/>
    <n v="49"/>
    <n v="0"/>
    <n v="89"/>
    <n v="0"/>
    <s v=""/>
    <s v="07:40:24"/>
  </r>
  <r>
    <x v="1"/>
    <x v="1"/>
    <s v="08:07:56"/>
    <n v="48.73"/>
    <n v="34"/>
    <n v="0"/>
    <n v="76"/>
    <n v="0"/>
    <s v=""/>
    <s v="08:07:56"/>
  </r>
  <r>
    <x v="1"/>
    <x v="2"/>
    <s v="02:29:08"/>
    <n v="16.23"/>
    <n v="43"/>
    <n v="0"/>
    <n v="45"/>
    <n v="2"/>
    <s v="00:21:58"/>
    <d v="1899-12-30T02:07:10"/>
  </r>
  <r>
    <x v="1"/>
    <x v="3"/>
    <s v="05:37:03"/>
    <n v="56.05"/>
    <n v="44"/>
    <n v="0"/>
    <n v="68"/>
    <n v="0"/>
    <s v=""/>
    <s v="05:37:03"/>
  </r>
  <r>
    <x v="1"/>
    <x v="4"/>
    <s v=""/>
    <n v="0"/>
    <n v="0"/>
    <n v="0"/>
    <n v="0"/>
    <n v="0"/>
    <s v=""/>
    <s v=""/>
  </r>
  <r>
    <x v="1"/>
    <x v="5"/>
    <s v=""/>
    <n v="0"/>
    <n v="0"/>
    <n v="0"/>
    <n v="0"/>
    <n v="0"/>
    <s v=""/>
    <s v=""/>
  </r>
  <r>
    <x v="1"/>
    <x v="6"/>
    <s v="09:33:44"/>
    <n v="207.42"/>
    <n v="62"/>
    <n v="0"/>
    <n v="0"/>
    <n v="4"/>
    <s v="02:25:13"/>
    <d v="1899-12-30T07:08:31"/>
  </r>
  <r>
    <x v="1"/>
    <x v="7"/>
    <s v=""/>
    <n v="0"/>
    <n v="0"/>
    <n v="0"/>
    <n v="0"/>
    <n v="0"/>
    <s v=""/>
    <s v=""/>
  </r>
  <r>
    <x v="1"/>
    <x v="8"/>
    <s v="05:06:05"/>
    <n v="0.8"/>
    <n v="21"/>
    <n v="0"/>
    <n v="0"/>
    <n v="3"/>
    <s v="04:15:02"/>
    <d v="1899-12-30T00:51:03"/>
  </r>
  <r>
    <x v="1"/>
    <x v="9"/>
    <s v="10:31:07"/>
    <n v="166.06"/>
    <n v="68"/>
    <n v="0"/>
    <n v="10"/>
    <n v="5"/>
    <s v="01:21:25"/>
    <d v="1899-12-30T09:09:42"/>
  </r>
  <r>
    <x v="1"/>
    <x v="10"/>
    <s v="00:18:08"/>
    <n v="0.89"/>
    <n v="35"/>
    <n v="0"/>
    <n v="6"/>
    <n v="0"/>
    <s v=""/>
    <s v="00:18:08"/>
  </r>
  <r>
    <x v="1"/>
    <x v="11"/>
    <s v="11:20:15"/>
    <n v="279.19"/>
    <n v="66"/>
    <n v="0"/>
    <n v="3"/>
    <n v="3"/>
    <s v="00:41:33"/>
    <d v="1899-12-30T10:38:42"/>
  </r>
  <r>
    <x v="1"/>
    <x v="12"/>
    <s v=""/>
    <n v="0"/>
    <n v="0"/>
    <n v="0"/>
    <n v="0"/>
    <n v="0"/>
    <s v=""/>
    <s v=""/>
  </r>
  <r>
    <x v="1"/>
    <x v="13"/>
    <s v="06:50:08"/>
    <n v="205.28"/>
    <n v="64"/>
    <n v="0"/>
    <n v="0"/>
    <n v="4"/>
    <s v="01:00:09"/>
    <d v="1899-12-30T05:49:59"/>
  </r>
  <r>
    <x v="1"/>
    <x v="14"/>
    <s v="08:20:23"/>
    <n v="261.17"/>
    <n v="81"/>
    <n v="8"/>
    <n v="0"/>
    <n v="2"/>
    <s v="00:33:26"/>
    <d v="1899-12-30T07:46:57"/>
  </r>
  <r>
    <x v="1"/>
    <x v="15"/>
    <s v="06:38:55"/>
    <n v="71.7"/>
    <n v="49"/>
    <n v="0"/>
    <n v="0"/>
    <n v="5"/>
    <s v="01:32:54"/>
    <d v="1899-12-30T05:06:01"/>
  </r>
  <r>
    <x v="1"/>
    <x v="16"/>
    <s v="08:31:06"/>
    <n v="30.42"/>
    <n v="79"/>
    <n v="0"/>
    <n v="0"/>
    <n v="4"/>
    <s v="06:24:02"/>
    <d v="1899-12-30T02:07:04"/>
  </r>
  <r>
    <x v="1"/>
    <x v="17"/>
    <s v="00:59:38"/>
    <n v="7.32"/>
    <n v="36"/>
    <n v="0"/>
    <n v="0"/>
    <n v="0"/>
    <s v=""/>
    <s v="00:59:38"/>
  </r>
  <r>
    <x v="1"/>
    <x v="18"/>
    <s v=""/>
    <n v="0"/>
    <n v="0"/>
    <n v="0"/>
    <n v="0"/>
    <n v="0"/>
    <s v=""/>
    <s v=""/>
  </r>
  <r>
    <x v="1"/>
    <x v="19"/>
    <s v="03:36:19"/>
    <n v="49"/>
    <n v="55"/>
    <n v="0"/>
    <n v="0"/>
    <n v="1"/>
    <s v="00:13:41"/>
    <d v="1899-12-30T03:22:38"/>
  </r>
  <r>
    <x v="1"/>
    <x v="20"/>
    <s v="00:53:51"/>
    <n v="0.05"/>
    <n v="0"/>
    <n v="0"/>
    <n v="0"/>
    <n v="1"/>
    <s v="00:54:04"/>
    <m/>
  </r>
  <r>
    <x v="1"/>
    <x v="21"/>
    <s v="09:35:51"/>
    <n v="80.709999999999994"/>
    <n v="66"/>
    <n v="0"/>
    <n v="1"/>
    <n v="8"/>
    <s v="02:24:17"/>
    <d v="1899-12-30T07:11:34"/>
  </r>
  <r>
    <x v="1"/>
    <x v="22"/>
    <s v="05:16:24"/>
    <n v="112.21"/>
    <n v="75"/>
    <n v="4"/>
    <n v="0"/>
    <n v="4"/>
    <s v="01:03:42"/>
    <d v="1899-12-30T04:12:42"/>
  </r>
  <r>
    <x v="1"/>
    <x v="23"/>
    <s v="09:15:01"/>
    <n v="226.58"/>
    <n v="68"/>
    <n v="0"/>
    <n v="0"/>
    <n v="2"/>
    <s v="00:44:12"/>
    <d v="1899-12-30T08:30:49"/>
  </r>
  <r>
    <x v="1"/>
    <x v="24"/>
    <s v="10:25:44"/>
    <n v="344.66"/>
    <n v="74"/>
    <n v="16"/>
    <n v="0"/>
    <n v="3"/>
    <s v="01:01:13"/>
    <d v="1899-12-30T09:24:31"/>
  </r>
  <r>
    <x v="1"/>
    <x v="25"/>
    <s v="07:49:22"/>
    <n v="207.43"/>
    <n v="66"/>
    <n v="0"/>
    <n v="14"/>
    <n v="1"/>
    <s v="00:11:44"/>
    <d v="1899-12-30T07:37:38"/>
  </r>
  <r>
    <x v="1"/>
    <x v="26"/>
    <s v="12:06:31"/>
    <n v="279.26"/>
    <n v="62"/>
    <n v="0"/>
    <n v="2"/>
    <n v="6"/>
    <s v="01:54:35"/>
    <d v="1899-12-30T10:11:56"/>
  </r>
  <r>
    <x v="1"/>
    <x v="27"/>
    <s v=""/>
    <n v="0"/>
    <n v="0"/>
    <n v="0"/>
    <n v="0"/>
    <n v="0"/>
    <s v=""/>
    <s v=""/>
  </r>
  <r>
    <x v="1"/>
    <x v="28"/>
    <s v="12:19:03"/>
    <n v="216.12"/>
    <n v="62"/>
    <n v="0"/>
    <n v="2"/>
    <n v="7"/>
    <s v="03:52:17"/>
    <d v="1899-12-30T08:26:46"/>
  </r>
  <r>
    <x v="2"/>
    <x v="0"/>
    <s v="05:21:41"/>
    <n v="48.07"/>
    <n v="38"/>
    <n v="0"/>
    <n v="61"/>
    <n v="0"/>
    <s v=""/>
    <s v="05:21:41"/>
  </r>
  <r>
    <x v="2"/>
    <x v="1"/>
    <s v="06:45:46"/>
    <n v="50.4"/>
    <n v="37"/>
    <n v="0"/>
    <n v="99"/>
    <n v="0"/>
    <s v=""/>
    <s v="06:45:46"/>
  </r>
  <r>
    <x v="2"/>
    <x v="2"/>
    <s v=""/>
    <n v="0"/>
    <n v="0"/>
    <n v="0"/>
    <n v="0"/>
    <n v="0"/>
    <s v=""/>
    <s v=""/>
  </r>
  <r>
    <x v="2"/>
    <x v="3"/>
    <s v="04:08:04"/>
    <n v="31.62"/>
    <n v="47"/>
    <n v="0"/>
    <n v="35"/>
    <n v="1"/>
    <s v="01:34:06"/>
    <d v="1899-12-30T02:33:58"/>
  </r>
  <r>
    <x v="2"/>
    <x v="4"/>
    <s v=""/>
    <n v="0"/>
    <n v="0"/>
    <n v="0"/>
    <n v="0"/>
    <n v="0"/>
    <s v=""/>
    <s v=""/>
  </r>
  <r>
    <x v="2"/>
    <x v="5"/>
    <s v=""/>
    <n v="0"/>
    <n v="0"/>
    <n v="0"/>
    <n v="0"/>
    <n v="0"/>
    <s v=""/>
    <s v=""/>
  </r>
  <r>
    <x v="2"/>
    <x v="6"/>
    <s v="16:47:28"/>
    <n v="313.17"/>
    <n v="64"/>
    <n v="0"/>
    <n v="0"/>
    <n v="7"/>
    <s v="01:55:35"/>
    <d v="1899-12-30T14:51:53"/>
  </r>
  <r>
    <x v="2"/>
    <x v="7"/>
    <s v="02:29:19"/>
    <n v="23.14"/>
    <n v="65"/>
    <n v="0"/>
    <n v="0"/>
    <n v="1"/>
    <s v="00:29:43"/>
    <d v="1899-12-30T01:59:36"/>
  </r>
  <r>
    <x v="2"/>
    <x v="8"/>
    <s v="06:38:40"/>
    <n v="103.5"/>
    <n v="67"/>
    <n v="0"/>
    <n v="0"/>
    <n v="4"/>
    <s v="01:51:59"/>
    <d v="1899-12-30T04:46:41"/>
  </r>
  <r>
    <x v="2"/>
    <x v="9"/>
    <s v="11:17:20"/>
    <n v="202.36"/>
    <n v="69"/>
    <n v="0"/>
    <n v="27"/>
    <n v="10"/>
    <s v="02:34:34"/>
    <d v="1899-12-30T08:42:46"/>
  </r>
  <r>
    <x v="2"/>
    <x v="10"/>
    <s v="05:02:53"/>
    <n v="96.2"/>
    <n v="82"/>
    <n v="2"/>
    <n v="2"/>
    <n v="1"/>
    <s v="00:15:30"/>
    <d v="1899-12-30T04:47:23"/>
  </r>
  <r>
    <x v="2"/>
    <x v="11"/>
    <s v="11:35:17"/>
    <n v="281.08999999999997"/>
    <n v="63"/>
    <n v="0"/>
    <n v="3"/>
    <n v="7"/>
    <s v="01:33:50"/>
    <d v="1899-12-30T10:01:27"/>
  </r>
  <r>
    <x v="2"/>
    <x v="12"/>
    <s v=""/>
    <n v="0"/>
    <n v="0"/>
    <n v="0"/>
    <n v="0"/>
    <n v="0"/>
    <s v=""/>
    <s v=""/>
  </r>
  <r>
    <x v="2"/>
    <x v="13"/>
    <s v="11:54:29"/>
    <n v="278.76"/>
    <n v="65"/>
    <n v="0"/>
    <n v="0"/>
    <n v="6"/>
    <s v="01:18:47"/>
    <d v="1899-12-30T10:35:42"/>
  </r>
  <r>
    <x v="2"/>
    <x v="14"/>
    <s v="04:11:13"/>
    <n v="9.44"/>
    <n v="37"/>
    <n v="0"/>
    <n v="0"/>
    <n v="6"/>
    <s v="02:25:42"/>
    <d v="1899-12-30T01:45:31"/>
  </r>
  <r>
    <x v="2"/>
    <x v="15"/>
    <s v="06:36:13"/>
    <n v="246.94"/>
    <n v="73"/>
    <n v="3"/>
    <n v="1"/>
    <n v="0"/>
    <s v=""/>
    <s v="06:36:13"/>
  </r>
  <r>
    <x v="2"/>
    <x v="16"/>
    <s v="10:33:03"/>
    <n v="28.11"/>
    <n v="75"/>
    <n v="1"/>
    <n v="0"/>
    <n v="2"/>
    <s v="09:19:48"/>
    <d v="1899-12-30T01:13:15"/>
  </r>
  <r>
    <x v="2"/>
    <x v="17"/>
    <s v="02:00:37"/>
    <n v="11.83"/>
    <n v="58"/>
    <n v="0"/>
    <n v="0"/>
    <n v="1"/>
    <s v="00:16:16"/>
    <d v="1899-12-30T01:44:21"/>
  </r>
  <r>
    <x v="2"/>
    <x v="18"/>
    <s v=""/>
    <n v="0"/>
    <n v="0"/>
    <n v="0"/>
    <n v="0"/>
    <n v="0"/>
    <s v=""/>
    <s v=""/>
  </r>
  <r>
    <x v="2"/>
    <x v="19"/>
    <s v="04:42:36"/>
    <n v="60.63"/>
    <n v="49"/>
    <n v="0"/>
    <n v="0"/>
    <n v="1"/>
    <s v="00:14:03"/>
    <m/>
  </r>
  <r>
    <x v="2"/>
    <x v="20"/>
    <s v="07:47:40"/>
    <n v="0.78"/>
    <n v="15"/>
    <n v="0"/>
    <n v="0"/>
    <n v="1"/>
    <s v="00:32:36"/>
    <d v="1899-12-30T07:15:04"/>
  </r>
  <r>
    <x v="2"/>
    <x v="21"/>
    <s v="08:18:33"/>
    <n v="121.92"/>
    <n v="69"/>
    <n v="0"/>
    <n v="0"/>
    <n v="7"/>
    <s v="02:22:28"/>
    <d v="1899-12-30T05:56:05"/>
  </r>
  <r>
    <x v="2"/>
    <x v="22"/>
    <s v="06:29:53"/>
    <n v="113.14"/>
    <n v="73"/>
    <n v="2"/>
    <n v="0"/>
    <n v="4"/>
    <s v="01:10:23"/>
    <d v="1899-12-30T05:19:30"/>
  </r>
  <r>
    <x v="2"/>
    <x v="23"/>
    <s v="08:13:27"/>
    <n v="210.49"/>
    <n v="65"/>
    <n v="0"/>
    <n v="0"/>
    <n v="2"/>
    <s v="00:43:46"/>
    <d v="1899-12-30T07:29:41"/>
  </r>
  <r>
    <x v="2"/>
    <x v="24"/>
    <s v="05:36:11"/>
    <n v="199.42"/>
    <n v="75"/>
    <n v="2"/>
    <n v="0"/>
    <n v="0"/>
    <s v=""/>
    <s v="05:36:11"/>
  </r>
  <r>
    <x v="2"/>
    <x v="25"/>
    <s v="09:00:13"/>
    <n v="207.43"/>
    <n v="66"/>
    <n v="0"/>
    <n v="7"/>
    <n v="4"/>
    <s v="01:27:21"/>
    <d v="1899-12-30T07:32:52"/>
  </r>
  <r>
    <x v="2"/>
    <x v="26"/>
    <s v="11:17:59"/>
    <n v="182.14"/>
    <n v="60"/>
    <n v="0"/>
    <n v="0"/>
    <n v="5"/>
    <s v="04:33:15"/>
    <d v="1899-12-30T06:44:44"/>
  </r>
  <r>
    <x v="2"/>
    <x v="27"/>
    <s v=""/>
    <n v="0"/>
    <n v="0"/>
    <n v="0"/>
    <n v="0"/>
    <n v="0"/>
    <s v=""/>
    <s v=""/>
  </r>
  <r>
    <x v="2"/>
    <x v="28"/>
    <s v="10:52:28"/>
    <n v="183.25"/>
    <n v="63"/>
    <n v="0"/>
    <n v="0"/>
    <n v="6"/>
    <s v="03:26:10"/>
    <d v="1899-12-30T07:26:18"/>
  </r>
  <r>
    <x v="3"/>
    <x v="0"/>
    <s v="06:38:22"/>
    <n v="66.510000000000005"/>
    <n v="52"/>
    <n v="0"/>
    <n v="66"/>
    <n v="0"/>
    <s v=""/>
    <s v="06:38:22"/>
  </r>
  <r>
    <x v="3"/>
    <x v="1"/>
    <s v="06:39:24"/>
    <n v="62.13"/>
    <n v="43"/>
    <n v="0"/>
    <n v="140"/>
    <n v="0"/>
    <s v=""/>
    <s v="06:39:24"/>
  </r>
  <r>
    <x v="3"/>
    <x v="2"/>
    <s v=""/>
    <n v="0"/>
    <n v="0"/>
    <n v="0"/>
    <n v="0"/>
    <n v="0"/>
    <s v=""/>
    <s v=""/>
  </r>
  <r>
    <x v="3"/>
    <x v="3"/>
    <s v="00:50:36"/>
    <n v="0.44"/>
    <n v="10"/>
    <n v="0"/>
    <n v="2"/>
    <n v="1"/>
    <s v="00:31:31"/>
    <d v="1899-12-30T00:19:05"/>
  </r>
  <r>
    <x v="3"/>
    <x v="4"/>
    <s v="00:14:20"/>
    <n v="2.64"/>
    <n v="0"/>
    <n v="0"/>
    <n v="0"/>
    <n v="0"/>
    <s v=""/>
    <s v="00:14:20"/>
  </r>
  <r>
    <x v="3"/>
    <x v="5"/>
    <s v=""/>
    <n v="0"/>
    <n v="0"/>
    <n v="0"/>
    <n v="0"/>
    <n v="0"/>
    <s v=""/>
    <s v=""/>
  </r>
  <r>
    <x v="3"/>
    <x v="6"/>
    <s v="07:18:24"/>
    <n v="17.88"/>
    <n v="48"/>
    <n v="0"/>
    <n v="0"/>
    <n v="4"/>
    <s v="00:53:13"/>
    <d v="1899-12-30T06:25:11"/>
  </r>
  <r>
    <x v="3"/>
    <x v="7"/>
    <s v="04:22:43"/>
    <n v="24.34"/>
    <n v="66"/>
    <n v="0"/>
    <n v="0"/>
    <n v="3"/>
    <s v="02:00:58"/>
    <d v="1899-12-30T02:21:45"/>
  </r>
  <r>
    <x v="3"/>
    <x v="8"/>
    <s v="03:31:47"/>
    <n v="11.92"/>
    <n v="63"/>
    <n v="0"/>
    <n v="0"/>
    <n v="7"/>
    <s v="02:02:58"/>
    <d v="1899-12-30T01:28:49"/>
  </r>
  <r>
    <x v="3"/>
    <x v="9"/>
    <s v="10:30:27"/>
    <n v="218.79"/>
    <n v="62"/>
    <n v="0"/>
    <n v="29"/>
    <n v="6"/>
    <s v="01:37:21"/>
    <d v="1899-12-30T08:53:06"/>
  </r>
  <r>
    <x v="3"/>
    <x v="10"/>
    <s v="09:17:57"/>
    <n v="185.26"/>
    <n v="80"/>
    <n v="4"/>
    <n v="0"/>
    <n v="1"/>
    <s v="01:06:09"/>
    <d v="1899-12-30T08:11:48"/>
  </r>
  <r>
    <x v="3"/>
    <x v="11"/>
    <s v="09:53:38"/>
    <n v="210.27"/>
    <n v="60"/>
    <n v="0"/>
    <n v="1"/>
    <n v="2"/>
    <s v="00:32:06"/>
    <d v="1899-12-30T09:21:32"/>
  </r>
  <r>
    <x v="3"/>
    <x v="12"/>
    <s v=""/>
    <n v="0"/>
    <n v="0"/>
    <n v="0"/>
    <n v="0"/>
    <n v="0"/>
    <s v=""/>
    <s v=""/>
  </r>
  <r>
    <x v="3"/>
    <x v="13"/>
    <s v="12:12:08"/>
    <n v="245.27"/>
    <n v="61"/>
    <n v="0"/>
    <n v="17"/>
    <n v="8"/>
    <s v="02:05:17"/>
    <d v="1899-12-30T10:06:51"/>
  </r>
  <r>
    <x v="3"/>
    <x v="14"/>
    <s v="03:45:46"/>
    <n v="13.65"/>
    <n v="44"/>
    <n v="0"/>
    <n v="0"/>
    <n v="4"/>
    <s v="02:03:30"/>
    <d v="1899-12-30T01:42:16"/>
  </r>
  <r>
    <x v="3"/>
    <x v="15"/>
    <s v="09:45:50"/>
    <n v="73.88"/>
    <n v="60"/>
    <n v="0"/>
    <n v="0"/>
    <n v="11"/>
    <s v="03:18:33"/>
    <d v="1899-12-30T06:27:17"/>
  </r>
  <r>
    <x v="3"/>
    <x v="16"/>
    <s v="11:44:17"/>
    <n v="29.4"/>
    <n v="66"/>
    <n v="0"/>
    <n v="0"/>
    <n v="3"/>
    <s v="08:20:21"/>
    <d v="1899-12-30T03:23:56"/>
  </r>
  <r>
    <x v="3"/>
    <x v="17"/>
    <s v="05:29:28"/>
    <n v="36.979999999999997"/>
    <n v="73"/>
    <n v="2"/>
    <n v="0"/>
    <n v="5"/>
    <s v="02:14:49"/>
    <d v="1899-12-30T03:14:39"/>
  </r>
  <r>
    <x v="3"/>
    <x v="18"/>
    <s v=""/>
    <n v="0"/>
    <n v="0"/>
    <n v="0"/>
    <n v="0"/>
    <n v="0"/>
    <s v=""/>
    <s v=""/>
  </r>
  <r>
    <x v="3"/>
    <x v="19"/>
    <s v="01:06:00"/>
    <n v="20.79"/>
    <n v="55"/>
    <n v="0"/>
    <n v="0"/>
    <n v="0"/>
    <s v=""/>
    <s v="01:06:00"/>
  </r>
  <r>
    <x v="3"/>
    <x v="20"/>
    <s v="12:57:32"/>
    <n v="2.0099999999999998"/>
    <n v="17"/>
    <n v="0"/>
    <n v="0"/>
    <n v="2"/>
    <s v="10:10:57"/>
    <d v="1899-12-30T02:46:35"/>
  </r>
  <r>
    <x v="3"/>
    <x v="21"/>
    <s v="03:47:01"/>
    <n v="43.37"/>
    <n v="74"/>
    <n v="1"/>
    <n v="1"/>
    <n v="1"/>
    <s v="00:15:45"/>
    <d v="1899-12-30T03:31:16"/>
  </r>
  <r>
    <x v="3"/>
    <x v="22"/>
    <s v="01:30:41"/>
    <n v="10.7"/>
    <n v="60"/>
    <n v="0"/>
    <n v="0"/>
    <n v="1"/>
    <s v="00:31:00"/>
    <d v="1899-12-30T00:59:41"/>
  </r>
  <r>
    <x v="3"/>
    <x v="23"/>
    <s v="11:18:59"/>
    <n v="290.95"/>
    <n v="66"/>
    <n v="0"/>
    <n v="0"/>
    <n v="3"/>
    <s v="00:44:33"/>
    <d v="1899-12-30T10:34:26"/>
  </r>
  <r>
    <x v="3"/>
    <x v="24"/>
    <s v="10:16:25"/>
    <n v="341.83"/>
    <n v="77"/>
    <n v="10"/>
    <n v="0"/>
    <n v="0"/>
    <s v=""/>
    <s v="10:16:25"/>
  </r>
  <r>
    <x v="3"/>
    <x v="25"/>
    <s v="11:01:14"/>
    <n v="288.04000000000002"/>
    <n v="68"/>
    <n v="0"/>
    <n v="3"/>
    <n v="1"/>
    <s v="00:10:16"/>
    <d v="1899-12-30T10:50:58"/>
  </r>
  <r>
    <x v="3"/>
    <x v="26"/>
    <s v="10:05:53"/>
    <n v="244.23"/>
    <n v="60"/>
    <n v="0"/>
    <n v="3"/>
    <n v="4"/>
    <s v="01:16:27"/>
    <d v="1899-12-30T08:49:26"/>
  </r>
  <r>
    <x v="3"/>
    <x v="27"/>
    <s v=""/>
    <n v="0"/>
    <n v="0"/>
    <n v="0"/>
    <n v="0"/>
    <n v="0"/>
    <s v=""/>
    <s v=""/>
  </r>
  <r>
    <x v="3"/>
    <x v="28"/>
    <s v="11:24:24"/>
    <n v="245.05"/>
    <n v="59"/>
    <n v="0"/>
    <n v="0"/>
    <n v="8"/>
    <s v="02:55:01"/>
    <d v="1899-12-30T08:29:23"/>
  </r>
  <r>
    <x v="4"/>
    <x v="0"/>
    <s v="07:48:11"/>
    <n v="69.739999999999995"/>
    <n v="49"/>
    <n v="0"/>
    <n v="50"/>
    <n v="0"/>
    <s v=""/>
    <s v="07:48:11"/>
  </r>
  <r>
    <x v="4"/>
    <x v="1"/>
    <s v="10:30:37"/>
    <n v="123.51"/>
    <n v="50"/>
    <n v="0"/>
    <n v="217"/>
    <n v="0"/>
    <s v=""/>
    <s v="10:30:37"/>
  </r>
  <r>
    <x v="4"/>
    <x v="2"/>
    <s v=""/>
    <n v="0"/>
    <n v="0"/>
    <n v="0"/>
    <n v="0"/>
    <n v="0"/>
    <s v=""/>
    <s v=""/>
  </r>
  <r>
    <x v="4"/>
    <x v="3"/>
    <s v="01:51:51"/>
    <n v="13.6"/>
    <n v="46"/>
    <n v="0"/>
    <n v="15"/>
    <n v="0"/>
    <s v=""/>
    <s v="01:51:51"/>
  </r>
  <r>
    <x v="4"/>
    <x v="4"/>
    <s v="03:02:09"/>
    <n v="36.39"/>
    <n v="61"/>
    <n v="0"/>
    <n v="1"/>
    <n v="3"/>
    <s v="00:22:11"/>
    <d v="1899-12-30T02:39:58"/>
  </r>
  <r>
    <x v="4"/>
    <x v="5"/>
    <s v=""/>
    <n v="0"/>
    <n v="0"/>
    <n v="0"/>
    <n v="0"/>
    <n v="0"/>
    <s v=""/>
    <s v=""/>
  </r>
  <r>
    <x v="4"/>
    <x v="6"/>
    <s v="08:04:18"/>
    <n v="260.02999999999997"/>
    <n v="62"/>
    <n v="0"/>
    <n v="0"/>
    <n v="0"/>
    <s v=""/>
    <s v="08:04:18"/>
  </r>
  <r>
    <x v="4"/>
    <x v="7"/>
    <s v="08:13:52"/>
    <n v="262.88"/>
    <n v="77"/>
    <n v="1"/>
    <n v="0"/>
    <n v="0"/>
    <s v=""/>
    <s v="08:13:52"/>
  </r>
  <r>
    <x v="4"/>
    <x v="8"/>
    <s v="08:28:45"/>
    <n v="52.93"/>
    <n v="67"/>
    <n v="0"/>
    <n v="0"/>
    <n v="9"/>
    <s v="04:31:27"/>
    <d v="1899-12-30T03:57:18"/>
  </r>
  <r>
    <x v="4"/>
    <x v="9"/>
    <s v="11:10:28"/>
    <n v="271.95"/>
    <n v="66"/>
    <n v="0"/>
    <n v="18"/>
    <n v="4"/>
    <s v="00:57:38"/>
    <d v="1899-12-30T10:12:50"/>
  </r>
  <r>
    <x v="4"/>
    <x v="10"/>
    <s v="10:43:16"/>
    <n v="242.06"/>
    <n v="81"/>
    <n v="9"/>
    <n v="4"/>
    <n v="2"/>
    <s v="00:29:24"/>
    <d v="1899-12-30T10:13:52"/>
  </r>
  <r>
    <x v="4"/>
    <x v="11"/>
    <s v="06:02:06"/>
    <n v="71.62"/>
    <n v="61"/>
    <n v="0"/>
    <n v="2"/>
    <n v="3"/>
    <s v="02:07:19"/>
    <d v="1899-12-30T03:54:47"/>
  </r>
  <r>
    <x v="4"/>
    <x v="12"/>
    <s v=""/>
    <n v="0"/>
    <n v="0"/>
    <n v="0"/>
    <n v="0"/>
    <n v="0"/>
    <s v=""/>
    <s v=""/>
  </r>
  <r>
    <x v="4"/>
    <x v="13"/>
    <s v=""/>
    <n v="0"/>
    <n v="0"/>
    <n v="0"/>
    <n v="0"/>
    <n v="0"/>
    <s v=""/>
    <s v=""/>
  </r>
  <r>
    <x v="4"/>
    <x v="14"/>
    <s v="07:17:44"/>
    <n v="252.48"/>
    <n v="76"/>
    <n v="3"/>
    <n v="0"/>
    <n v="4"/>
    <s v="01:15:40"/>
    <d v="1899-12-30T06:02:04"/>
  </r>
  <r>
    <x v="4"/>
    <x v="15"/>
    <s v="08:38:46"/>
    <n v="52.72"/>
    <n v="65"/>
    <n v="0"/>
    <n v="0"/>
    <n v="6"/>
    <s v="02:42:23"/>
    <d v="1899-12-30T05:56:23"/>
  </r>
  <r>
    <x v="4"/>
    <x v="16"/>
    <s v="05:53:28"/>
    <n v="1.9"/>
    <n v="10"/>
    <n v="0"/>
    <n v="0"/>
    <n v="2"/>
    <s v="05:33:12"/>
    <d v="1899-12-30T00:20:16"/>
  </r>
  <r>
    <x v="4"/>
    <x v="17"/>
    <s v="04:04:10"/>
    <n v="35.71"/>
    <n v="63"/>
    <n v="0"/>
    <n v="0"/>
    <n v="3"/>
    <s v="00:47:15"/>
    <d v="1899-12-30T03:16:55"/>
  </r>
  <r>
    <x v="4"/>
    <x v="18"/>
    <s v=""/>
    <n v="0"/>
    <n v="0"/>
    <n v="0"/>
    <n v="0"/>
    <n v="0"/>
    <s v=""/>
    <s v=""/>
  </r>
  <r>
    <x v="4"/>
    <x v="19"/>
    <s v="13:05:07"/>
    <n v="473.46"/>
    <n v="64"/>
    <n v="0"/>
    <n v="0"/>
    <n v="2"/>
    <s v="01:15:53"/>
    <d v="1899-12-30T11:49:14"/>
  </r>
  <r>
    <x v="4"/>
    <x v="20"/>
    <s v=""/>
    <n v="0"/>
    <n v="0"/>
    <n v="0"/>
    <n v="0"/>
    <n v="0"/>
    <s v=""/>
    <s v=""/>
  </r>
  <r>
    <x v="4"/>
    <x v="21"/>
    <s v="10:27:02"/>
    <n v="55.43"/>
    <n v="71"/>
    <n v="2"/>
    <n v="1"/>
    <n v="12"/>
    <s v="05:00:44"/>
    <d v="1899-12-30T05:26:18"/>
  </r>
  <r>
    <x v="4"/>
    <x v="22"/>
    <s v="08:45:00"/>
    <n v="295.99"/>
    <n v="76"/>
    <n v="1"/>
    <n v="0"/>
    <n v="1"/>
    <s v="00:11:06"/>
    <d v="1899-12-30T08:33:54"/>
  </r>
  <r>
    <x v="4"/>
    <x v="23"/>
    <s v="12:20:06"/>
    <n v="285.33"/>
    <n v="68"/>
    <n v="0"/>
    <n v="0"/>
    <n v="9"/>
    <s v="02:35:09"/>
    <d v="1899-12-30T09:44:57"/>
  </r>
  <r>
    <x v="4"/>
    <x v="24"/>
    <s v="06:16:26"/>
    <n v="200.86"/>
    <n v="85"/>
    <n v="15"/>
    <n v="0"/>
    <n v="1"/>
    <s v="00:36:25"/>
    <d v="1899-12-30T05:40:01"/>
  </r>
  <r>
    <x v="4"/>
    <x v="25"/>
    <s v="11:21:29"/>
    <n v="283.25"/>
    <n v="67"/>
    <n v="0"/>
    <n v="2"/>
    <n v="2"/>
    <s v="00:45:47"/>
    <d v="1899-12-30T10:35:42"/>
  </r>
  <r>
    <x v="4"/>
    <x v="26"/>
    <s v=""/>
    <n v="0"/>
    <n v="0"/>
    <n v="0"/>
    <n v="0"/>
    <n v="0"/>
    <s v=""/>
    <s v=""/>
  </r>
  <r>
    <x v="4"/>
    <x v="27"/>
    <s v="00:07:21"/>
    <n v="0"/>
    <n v="0"/>
    <n v="0"/>
    <n v="0"/>
    <n v="0"/>
    <s v=""/>
    <s v="00:07:21"/>
  </r>
  <r>
    <x v="4"/>
    <x v="28"/>
    <s v=""/>
    <n v="0"/>
    <n v="0"/>
    <n v="0"/>
    <n v="0"/>
    <n v="0"/>
    <s v=""/>
    <s v=""/>
  </r>
  <r>
    <x v="5"/>
    <x v="0"/>
    <s v="05:01:23"/>
    <n v="46.1"/>
    <n v="51"/>
    <n v="0"/>
    <n v="75"/>
    <n v="0"/>
    <s v=""/>
    <s v="05:01:23"/>
  </r>
  <r>
    <x v="5"/>
    <x v="1"/>
    <s v="04:59:56"/>
    <n v="48.07"/>
    <n v="40"/>
    <n v="0"/>
    <n v="70"/>
    <n v="0"/>
    <s v=""/>
    <s v="04:59:56"/>
  </r>
  <r>
    <x v="5"/>
    <x v="2"/>
    <s v=""/>
    <n v="0"/>
    <n v="0"/>
    <n v="0"/>
    <n v="0"/>
    <n v="0"/>
    <s v=""/>
    <s v=""/>
  </r>
  <r>
    <x v="5"/>
    <x v="3"/>
    <s v="12:42:59"/>
    <n v="0.4"/>
    <n v="8"/>
    <n v="0"/>
    <n v="7"/>
    <n v="1"/>
    <s v="00:10:26"/>
    <d v="1899-12-30T12:32:33"/>
  </r>
  <r>
    <x v="5"/>
    <x v="4"/>
    <s v="01:43:56"/>
    <n v="13.96"/>
    <n v="31"/>
    <n v="0"/>
    <n v="0"/>
    <n v="0"/>
    <s v=""/>
    <s v="01:43:56"/>
  </r>
  <r>
    <x v="5"/>
    <x v="5"/>
    <s v=""/>
    <n v="0"/>
    <n v="0"/>
    <n v="0"/>
    <n v="0"/>
    <n v="0"/>
    <s v=""/>
    <s v=""/>
  </r>
  <r>
    <x v="5"/>
    <x v="6"/>
    <s v="00:19:19"/>
    <n v="0.01"/>
    <n v="0"/>
    <n v="0"/>
    <n v="0"/>
    <n v="0"/>
    <s v=""/>
    <s v="00:19:19"/>
  </r>
  <r>
    <x v="5"/>
    <x v="7"/>
    <s v="07:32:24"/>
    <n v="253.92"/>
    <n v="85"/>
    <n v="4"/>
    <n v="0"/>
    <n v="2"/>
    <s v="00:39:43"/>
    <d v="1899-12-30T06:52:41"/>
  </r>
  <r>
    <x v="5"/>
    <x v="8"/>
    <s v="00:36:24"/>
    <n v="10.56"/>
    <n v="68"/>
    <n v="0"/>
    <n v="0"/>
    <n v="0"/>
    <s v=""/>
    <s v="00:36:24"/>
  </r>
  <r>
    <x v="5"/>
    <x v="9"/>
    <s v="05:42:12"/>
    <n v="114.08"/>
    <n v="66"/>
    <n v="0"/>
    <n v="12"/>
    <n v="3"/>
    <s v="00:41:06"/>
    <d v="1899-12-30T05:01:06"/>
  </r>
  <r>
    <x v="5"/>
    <x v="10"/>
    <s v="06:11:47"/>
    <n v="137.93"/>
    <n v="76"/>
    <n v="5"/>
    <n v="0"/>
    <n v="2"/>
    <s v="00:31:20"/>
    <d v="1899-12-30T05:40:27"/>
  </r>
  <r>
    <x v="5"/>
    <x v="11"/>
    <s v=""/>
    <n v="0"/>
    <n v="0"/>
    <n v="0"/>
    <n v="0"/>
    <n v="0"/>
    <s v=""/>
    <s v=""/>
  </r>
  <r>
    <x v="5"/>
    <x v="12"/>
    <s v=""/>
    <n v="0"/>
    <n v="0"/>
    <n v="0"/>
    <n v="0"/>
    <n v="0"/>
    <s v=""/>
    <s v=""/>
  </r>
  <r>
    <x v="5"/>
    <x v="13"/>
    <s v=""/>
    <n v="0"/>
    <n v="0"/>
    <n v="0"/>
    <n v="0"/>
    <n v="0"/>
    <s v=""/>
    <s v=""/>
  </r>
  <r>
    <x v="5"/>
    <x v="14"/>
    <s v="00:08:29"/>
    <n v="0"/>
    <n v="0"/>
    <n v="0"/>
    <n v="0"/>
    <n v="0"/>
    <s v=""/>
    <s v="00:08:29"/>
  </r>
  <r>
    <x v="5"/>
    <x v="15"/>
    <s v="00:55:16"/>
    <n v="0.97"/>
    <n v="10"/>
    <n v="0"/>
    <n v="0"/>
    <n v="1"/>
    <s v="00:11:16"/>
    <d v="1899-12-30T00:44:00"/>
  </r>
  <r>
    <x v="5"/>
    <x v="16"/>
    <s v="09:13:07"/>
    <n v="29.02"/>
    <n v="71"/>
    <n v="0"/>
    <n v="0"/>
    <n v="5"/>
    <s v="05:50:27"/>
    <d v="1899-12-30T03:22:40"/>
  </r>
  <r>
    <x v="5"/>
    <x v="17"/>
    <s v="01:15:44"/>
    <n v="22.4"/>
    <n v="68"/>
    <n v="0"/>
    <n v="0"/>
    <n v="1"/>
    <s v="00:12:06"/>
    <d v="1899-12-30T01:03:38"/>
  </r>
  <r>
    <x v="5"/>
    <x v="18"/>
    <s v="00:16:07"/>
    <n v="0.11"/>
    <n v="1"/>
    <n v="0"/>
    <n v="0"/>
    <n v="0"/>
    <s v=""/>
    <s v="00:16:07"/>
  </r>
  <r>
    <x v="5"/>
    <x v="19"/>
    <s v="05:13:17"/>
    <n v="44.62"/>
    <n v="51"/>
    <n v="0"/>
    <n v="0"/>
    <n v="8"/>
    <s v="02:57:12"/>
    <d v="1899-12-30T02:16:05"/>
  </r>
  <r>
    <x v="5"/>
    <x v="20"/>
    <s v=""/>
    <n v="0"/>
    <n v="0"/>
    <n v="0"/>
    <n v="0"/>
    <n v="0"/>
    <s v=""/>
    <s v=""/>
  </r>
  <r>
    <x v="5"/>
    <x v="21"/>
    <s v="03:49:17"/>
    <n v="15.31"/>
    <n v="68"/>
    <n v="0"/>
    <n v="0"/>
    <n v="6"/>
    <s v="01:25:00"/>
    <d v="1899-12-30T02:24:17"/>
  </r>
  <r>
    <x v="5"/>
    <x v="22"/>
    <s v="04:26:20"/>
    <n v="87.67"/>
    <n v="56"/>
    <n v="0"/>
    <n v="0"/>
    <n v="0"/>
    <s v=""/>
    <s v="04:26:20"/>
  </r>
  <r>
    <x v="5"/>
    <x v="23"/>
    <s v="05:23:38"/>
    <n v="114.84"/>
    <n v="69"/>
    <n v="0"/>
    <n v="0"/>
    <n v="5"/>
    <s v="01:22:07"/>
    <d v="1899-12-30T04:01:31"/>
  </r>
  <r>
    <x v="5"/>
    <x v="24"/>
    <s v="10:40:47"/>
    <n v="345.54"/>
    <n v="81"/>
    <n v="28"/>
    <n v="0"/>
    <n v="3"/>
    <s v="00:47:30"/>
    <d v="1899-12-30T09:53:17"/>
  </r>
  <r>
    <x v="5"/>
    <x v="25"/>
    <s v="07:03:50"/>
    <n v="187.9"/>
    <n v="69"/>
    <n v="0"/>
    <n v="8"/>
    <n v="1"/>
    <s v="00:16:40"/>
    <d v="1899-12-30T06:47:10"/>
  </r>
  <r>
    <x v="5"/>
    <x v="26"/>
    <s v=""/>
    <n v="0"/>
    <n v="0"/>
    <n v="0"/>
    <n v="0"/>
    <n v="0"/>
    <s v=""/>
    <s v=""/>
  </r>
  <r>
    <x v="5"/>
    <x v="27"/>
    <s v=""/>
    <n v="0"/>
    <n v="0"/>
    <n v="0"/>
    <n v="0"/>
    <n v="0"/>
    <s v=""/>
    <s v=""/>
  </r>
  <r>
    <x v="5"/>
    <x v="28"/>
    <s v=""/>
    <n v="0"/>
    <n v="0"/>
    <n v="0"/>
    <n v="0"/>
    <n v="0"/>
    <s v=""/>
    <s v=""/>
  </r>
  <r>
    <x v="6"/>
    <x v="0"/>
    <s v=""/>
    <n v="0"/>
    <n v="0"/>
    <n v="0"/>
    <n v="0"/>
    <n v="0"/>
    <s v=""/>
    <s v=""/>
  </r>
  <r>
    <x v="6"/>
    <x v="1"/>
    <s v=""/>
    <n v="0"/>
    <n v="0"/>
    <n v="0"/>
    <n v="0"/>
    <n v="0"/>
    <s v=""/>
    <s v=""/>
  </r>
  <r>
    <x v="6"/>
    <x v="2"/>
    <s v=""/>
    <n v="0"/>
    <n v="0"/>
    <n v="0"/>
    <n v="0"/>
    <n v="0"/>
    <s v=""/>
    <s v=""/>
  </r>
  <r>
    <x v="6"/>
    <x v="3"/>
    <s v=""/>
    <n v="0"/>
    <n v="0"/>
    <n v="0"/>
    <n v="0"/>
    <n v="1"/>
    <s v="00:00:06"/>
    <s v=""/>
  </r>
  <r>
    <x v="6"/>
    <x v="4"/>
    <s v=""/>
    <n v="0"/>
    <n v="0"/>
    <n v="0"/>
    <n v="0"/>
    <n v="0"/>
    <s v=""/>
    <s v=""/>
  </r>
  <r>
    <x v="6"/>
    <x v="5"/>
    <s v=""/>
    <n v="0"/>
    <n v="0"/>
    <n v="0"/>
    <n v="0"/>
    <n v="0"/>
    <s v=""/>
    <s v=""/>
  </r>
  <r>
    <x v="6"/>
    <x v="6"/>
    <s v=""/>
    <n v="0"/>
    <n v="0"/>
    <n v="0"/>
    <n v="0"/>
    <n v="0"/>
    <s v=""/>
    <s v=""/>
  </r>
  <r>
    <x v="6"/>
    <x v="7"/>
    <s v=""/>
    <n v="0"/>
    <n v="0"/>
    <n v="0"/>
    <n v="0"/>
    <n v="0"/>
    <s v=""/>
    <s v=""/>
  </r>
  <r>
    <x v="6"/>
    <x v="8"/>
    <s v=""/>
    <n v="0"/>
    <n v="0"/>
    <n v="0"/>
    <n v="0"/>
    <n v="0"/>
    <s v=""/>
    <s v=""/>
  </r>
  <r>
    <x v="6"/>
    <x v="9"/>
    <s v=""/>
    <n v="0"/>
    <n v="0"/>
    <n v="0"/>
    <n v="0"/>
    <n v="0"/>
    <s v=""/>
    <s v=""/>
  </r>
  <r>
    <x v="6"/>
    <x v="10"/>
    <s v=""/>
    <n v="0"/>
    <n v="0"/>
    <n v="0"/>
    <n v="0"/>
    <n v="0"/>
    <s v=""/>
    <s v=""/>
  </r>
  <r>
    <x v="6"/>
    <x v="11"/>
    <s v=""/>
    <n v="0"/>
    <n v="0"/>
    <n v="0"/>
    <n v="0"/>
    <n v="0"/>
    <s v=""/>
    <s v=""/>
  </r>
  <r>
    <x v="6"/>
    <x v="12"/>
    <s v=""/>
    <n v="0"/>
    <n v="0"/>
    <n v="0"/>
    <n v="0"/>
    <n v="0"/>
    <s v=""/>
    <s v=""/>
  </r>
  <r>
    <x v="6"/>
    <x v="13"/>
    <s v=""/>
    <n v="0"/>
    <n v="0"/>
    <n v="0"/>
    <n v="0"/>
    <n v="0"/>
    <s v=""/>
    <s v=""/>
  </r>
  <r>
    <x v="6"/>
    <x v="14"/>
    <s v=""/>
    <n v="0"/>
    <n v="0"/>
    <n v="0"/>
    <n v="0"/>
    <n v="0"/>
    <s v=""/>
    <s v=""/>
  </r>
  <r>
    <x v="6"/>
    <x v="15"/>
    <s v=""/>
    <n v="0"/>
    <n v="0"/>
    <n v="0"/>
    <n v="0"/>
    <n v="0"/>
    <s v=""/>
    <s v=""/>
  </r>
  <r>
    <x v="6"/>
    <x v="16"/>
    <s v=""/>
    <n v="0"/>
    <n v="0"/>
    <n v="0"/>
    <n v="0"/>
    <n v="0"/>
    <s v=""/>
    <s v=""/>
  </r>
  <r>
    <x v="6"/>
    <x v="17"/>
    <s v=""/>
    <n v="0"/>
    <n v="0"/>
    <n v="0"/>
    <n v="0"/>
    <n v="0"/>
    <s v=""/>
    <s v=""/>
  </r>
  <r>
    <x v="6"/>
    <x v="18"/>
    <s v=""/>
    <n v="0"/>
    <n v="2"/>
    <n v="0"/>
    <n v="0"/>
    <n v="0"/>
    <s v=""/>
    <s v=""/>
  </r>
  <r>
    <x v="6"/>
    <x v="19"/>
    <s v="01:48:39"/>
    <n v="15.7"/>
    <n v="44"/>
    <n v="0"/>
    <n v="0"/>
    <n v="2"/>
    <s v="00:45:52"/>
    <d v="1899-12-30T01:02:47"/>
  </r>
  <r>
    <x v="6"/>
    <x v="20"/>
    <s v=""/>
    <n v="0"/>
    <n v="0"/>
    <n v="0"/>
    <n v="0"/>
    <n v="0"/>
    <s v=""/>
    <s v=""/>
  </r>
  <r>
    <x v="6"/>
    <x v="21"/>
    <s v=""/>
    <n v="0"/>
    <n v="0"/>
    <n v="0"/>
    <n v="0"/>
    <n v="0"/>
    <s v=""/>
    <s v=""/>
  </r>
  <r>
    <x v="6"/>
    <x v="22"/>
    <s v=""/>
    <n v="0"/>
    <n v="0"/>
    <n v="0"/>
    <n v="0"/>
    <n v="0"/>
    <s v=""/>
    <s v=""/>
  </r>
  <r>
    <x v="6"/>
    <x v="23"/>
    <s v=""/>
    <n v="0"/>
    <n v="0"/>
    <n v="0"/>
    <n v="0"/>
    <n v="0"/>
    <s v=""/>
    <s v=""/>
  </r>
  <r>
    <x v="6"/>
    <x v="24"/>
    <s v=""/>
    <n v="0"/>
    <n v="0"/>
    <n v="0"/>
    <n v="0"/>
    <n v="0"/>
    <s v=""/>
    <s v=""/>
  </r>
  <r>
    <x v="6"/>
    <x v="25"/>
    <s v=""/>
    <n v="0"/>
    <n v="0"/>
    <n v="0"/>
    <n v="0"/>
    <n v="0"/>
    <s v=""/>
    <s v=""/>
  </r>
  <r>
    <x v="6"/>
    <x v="26"/>
    <s v=""/>
    <n v="0"/>
    <n v="0"/>
    <n v="0"/>
    <n v="0"/>
    <n v="0"/>
    <s v=""/>
    <s v=""/>
  </r>
  <r>
    <x v="6"/>
    <x v="27"/>
    <s v=""/>
    <n v="0"/>
    <n v="0"/>
    <n v="0"/>
    <n v="0"/>
    <n v="0"/>
    <s v=""/>
    <s v=""/>
  </r>
  <r>
    <x v="6"/>
    <x v="28"/>
    <s v=""/>
    <n v="0"/>
    <n v="0"/>
    <n v="0"/>
    <n v="0"/>
    <n v="0"/>
    <s v=""/>
    <s v=""/>
  </r>
  <r>
    <x v="0"/>
    <x v="29"/>
    <s v="11:06:27"/>
    <n v="64.158411000000001"/>
    <n v="68"/>
    <m/>
    <m/>
    <m/>
    <m/>
    <d v="1899-12-30T11:06:27"/>
  </r>
  <r>
    <x v="0"/>
    <x v="30"/>
    <s v="11:07:51"/>
    <n v="38.676051000000001"/>
    <n v="60"/>
    <m/>
    <m/>
    <m/>
    <m/>
    <d v="1899-12-30T11:07:51"/>
  </r>
  <r>
    <x v="0"/>
    <x v="31"/>
    <s v="10:47:19"/>
    <n v="41.702696000000003"/>
    <n v="67"/>
    <m/>
    <m/>
    <m/>
    <m/>
    <d v="1899-12-30T10:47:19"/>
  </r>
  <r>
    <x v="0"/>
    <x v="32"/>
    <s v="8:23:38"/>
    <n v="55.308760999999997"/>
    <n v="56"/>
    <m/>
    <m/>
    <m/>
    <m/>
    <d v="1899-12-30T08:23:38"/>
  </r>
  <r>
    <x v="0"/>
    <x v="27"/>
    <s v="11:48:55"/>
    <n v="197.83368999999999"/>
    <n v="65"/>
    <m/>
    <m/>
    <m/>
    <m/>
    <d v="1899-12-30T11:48:55"/>
  </r>
  <r>
    <x v="0"/>
    <x v="28"/>
    <s v="11:07:13"/>
    <n v="204.69545199999999"/>
    <n v="67"/>
    <m/>
    <m/>
    <m/>
    <m/>
    <d v="1899-12-30T11:07:13"/>
  </r>
  <r>
    <x v="0"/>
    <x v="33"/>
    <s v="10:23:57"/>
    <n v="176.50144299999999"/>
    <n v="70"/>
    <m/>
    <m/>
    <m/>
    <m/>
    <d v="1899-12-30T10:23:57"/>
  </r>
  <r>
    <x v="0"/>
    <x v="34"/>
    <s v="9:28:03"/>
    <n v="176.15204800000001"/>
    <n v="72"/>
    <m/>
    <m/>
    <m/>
    <m/>
    <d v="1899-12-30T09:28:03"/>
  </r>
  <r>
    <x v="0"/>
    <x v="35"/>
    <s v="10:24:51"/>
    <n v="176.140579"/>
    <n v="61"/>
    <m/>
    <m/>
    <m/>
    <m/>
    <d v="1899-12-30T10:24:51"/>
  </r>
  <r>
    <x v="1"/>
    <x v="29"/>
    <s v="10:07:05"/>
    <n v="61.270932000000002"/>
    <n v="50"/>
    <m/>
    <m/>
    <m/>
    <m/>
    <d v="1899-12-30T10:07:05"/>
  </r>
  <r>
    <x v="1"/>
    <x v="30"/>
    <s v="10:28:50"/>
    <n v="32.452558000000003"/>
    <n v="53"/>
    <m/>
    <m/>
    <m/>
    <m/>
    <d v="1899-12-30T10:28:50"/>
  </r>
  <r>
    <x v="1"/>
    <x v="31"/>
    <s v="9:48:02"/>
    <n v="41.068122000000002"/>
    <n v="58"/>
    <m/>
    <m/>
    <m/>
    <m/>
    <d v="1899-12-30T09:48:02"/>
  </r>
  <r>
    <x v="1"/>
    <x v="32"/>
    <s v="8:51:23"/>
    <n v="59.300193999999998"/>
    <n v="56"/>
    <m/>
    <m/>
    <m/>
    <m/>
    <d v="1899-12-30T08:51:23"/>
  </r>
  <r>
    <x v="1"/>
    <x v="27"/>
    <s v="11:06:21"/>
    <n v="206.763634"/>
    <n v="60"/>
    <m/>
    <m/>
    <m/>
    <m/>
    <d v="1899-12-30T11:06:21"/>
  </r>
  <r>
    <x v="1"/>
    <x v="28"/>
    <s v="12:25:08"/>
    <n v="210.796538"/>
    <n v="65"/>
    <m/>
    <m/>
    <m/>
    <m/>
    <d v="1899-12-30T12:25:08"/>
  </r>
  <r>
    <x v="1"/>
    <x v="33"/>
    <s v="8:56:36"/>
    <n v="38.187911999999997"/>
    <n v="64"/>
    <m/>
    <m/>
    <m/>
    <m/>
    <d v="1899-12-30T08:56:36"/>
  </r>
  <r>
    <x v="1"/>
    <x v="34"/>
    <s v="8:52:58"/>
    <n v="67.779936000000006"/>
    <n v="64"/>
    <m/>
    <m/>
    <m/>
    <m/>
    <d v="1899-12-30T08:52:58"/>
  </r>
  <r>
    <x v="1"/>
    <x v="35"/>
    <s v="10:49:35"/>
    <n v="70.757277999999999"/>
    <n v="63"/>
    <m/>
    <m/>
    <m/>
    <m/>
    <d v="1899-12-30T10:49:35"/>
  </r>
  <r>
    <x v="2"/>
    <x v="29"/>
    <s v="11:12:37"/>
    <n v="67.542662000000007"/>
    <n v="60"/>
    <m/>
    <m/>
    <m/>
    <m/>
    <d v="1899-12-30T11:12:37"/>
  </r>
  <r>
    <x v="2"/>
    <x v="30"/>
    <s v="9:59:53"/>
    <n v="35.436630000000001"/>
    <n v="65"/>
    <m/>
    <m/>
    <m/>
    <m/>
    <d v="1899-12-30T09:59:53"/>
  </r>
  <r>
    <x v="2"/>
    <x v="31"/>
    <s v="9:42:36"/>
    <n v="26.947457"/>
    <n v="41"/>
    <m/>
    <m/>
    <m/>
    <m/>
    <d v="1899-12-30T09:42:36"/>
  </r>
  <r>
    <x v="2"/>
    <x v="32"/>
    <s v="7:52:03"/>
    <n v="52.107725000000002"/>
    <n v="55"/>
    <m/>
    <m/>
    <m/>
    <m/>
    <d v="1899-12-30T07:52:03"/>
  </r>
  <r>
    <x v="2"/>
    <x v="27"/>
    <s v="11:47:06"/>
    <n v="231.064123"/>
    <n v="65"/>
    <m/>
    <m/>
    <m/>
    <m/>
    <d v="1899-12-30T11:47:06"/>
  </r>
  <r>
    <x v="2"/>
    <x v="28"/>
    <s v="11:41:25"/>
    <n v="179.778502"/>
    <n v="63"/>
    <m/>
    <m/>
    <m/>
    <m/>
    <d v="1899-12-30T11:41:25"/>
  </r>
  <r>
    <x v="2"/>
    <x v="33"/>
    <s v="10:31:42"/>
    <n v="72.805415999999994"/>
    <n v="46"/>
    <m/>
    <m/>
    <m/>
    <m/>
    <d v="1899-12-30T10:31:42"/>
  </r>
  <r>
    <x v="2"/>
    <x v="34"/>
    <s v="10:27:21"/>
    <n v="63.974030999999997"/>
    <n v="45"/>
    <m/>
    <m/>
    <m/>
    <m/>
    <d v="1899-12-30T10:27:21"/>
  </r>
  <r>
    <x v="2"/>
    <x v="35"/>
    <s v="9:38:40"/>
    <n v="94.286537999999993"/>
    <n v="57"/>
    <m/>
    <m/>
    <m/>
    <m/>
    <d v="1899-12-30T09:38:40"/>
  </r>
  <r>
    <x v="3"/>
    <x v="29"/>
    <s v="11:17:27"/>
    <n v="67.870148"/>
    <n v="63"/>
    <m/>
    <m/>
    <m/>
    <m/>
    <d v="1899-12-30T11:17:27"/>
  </r>
  <r>
    <x v="3"/>
    <x v="30"/>
    <s v="11:20:42"/>
    <n v="43.328688"/>
    <n v="68"/>
    <m/>
    <m/>
    <m/>
    <m/>
    <d v="1899-12-30T11:20:42"/>
  </r>
  <r>
    <x v="3"/>
    <x v="31"/>
    <s v="11:24:58"/>
    <n v="63.795005000000003"/>
    <n v="53"/>
    <m/>
    <m/>
    <m/>
    <m/>
    <d v="1899-12-30T11:24:58"/>
  </r>
  <r>
    <x v="3"/>
    <x v="4"/>
    <s v="0:13:00"/>
    <n v="2.6"/>
    <n v="32"/>
    <m/>
    <m/>
    <m/>
    <m/>
    <d v="1899-12-30T00:13:00"/>
  </r>
  <r>
    <x v="3"/>
    <x v="32"/>
    <s v="10:07:21"/>
    <n v="225.21593200000001"/>
    <n v="63"/>
    <m/>
    <m/>
    <m/>
    <m/>
    <d v="1899-12-30T10:07:21"/>
  </r>
  <r>
    <x v="3"/>
    <x v="27"/>
    <s v="10:05:04"/>
    <n v="213.93274500000001"/>
    <n v="57"/>
    <m/>
    <m/>
    <m/>
    <m/>
    <d v="1899-12-30T10:05:04"/>
  </r>
  <r>
    <x v="3"/>
    <x v="28"/>
    <s v="10:50:29"/>
    <n v="243.393981"/>
    <n v="69"/>
    <m/>
    <m/>
    <m/>
    <m/>
    <d v="1899-12-30T10:50:29"/>
  </r>
  <r>
    <x v="3"/>
    <x v="33"/>
    <s v="10:01:40"/>
    <n v="31.058215000000001"/>
    <n v="42"/>
    <m/>
    <m/>
    <m/>
    <m/>
    <d v="1899-12-30T10:01:40"/>
  </r>
  <r>
    <x v="3"/>
    <x v="34"/>
    <s v="9:57:06"/>
    <n v="23.705024999999999"/>
    <n v="30"/>
    <m/>
    <m/>
    <m/>
    <m/>
    <d v="1899-12-30T09:57:06"/>
  </r>
  <r>
    <x v="3"/>
    <x v="35"/>
    <s v="7:35:26"/>
    <n v="0.45243100000000003"/>
    <n v="17"/>
    <m/>
    <m/>
    <m/>
    <m/>
    <d v="1899-12-30T07:35:26"/>
  </r>
  <r>
    <x v="4"/>
    <x v="29"/>
    <s v="11:22:40"/>
    <n v="143.28218100000001"/>
    <n v="68"/>
    <m/>
    <m/>
    <m/>
    <m/>
    <d v="1899-12-30T11:22:40"/>
  </r>
  <r>
    <x v="4"/>
    <x v="30"/>
    <s v="11:23:48"/>
    <n v="57.657767999999997"/>
    <n v="63"/>
    <m/>
    <m/>
    <m/>
    <m/>
    <d v="1899-12-30T11:23:48"/>
  </r>
  <r>
    <x v="4"/>
    <x v="31"/>
    <s v="11:06:46"/>
    <n v="52.428249000000001"/>
    <n v="48"/>
    <m/>
    <m/>
    <m/>
    <m/>
    <d v="1899-12-30T11:06:46"/>
  </r>
  <r>
    <x v="4"/>
    <x v="4"/>
    <s v="8:42:01"/>
    <n v="35.200000000000003"/>
    <n v="67"/>
    <m/>
    <m/>
    <m/>
    <m/>
    <d v="1899-12-30T08:42:01"/>
  </r>
  <r>
    <x v="4"/>
    <x v="13"/>
    <s v="10:51:53"/>
    <n v="239.39209399999999"/>
    <n v="67"/>
    <m/>
    <m/>
    <m/>
    <m/>
    <d v="1899-12-30T10:51:53"/>
  </r>
  <r>
    <x v="4"/>
    <x v="32"/>
    <s v="12:26:25"/>
    <n v="332.690969"/>
    <n v="64"/>
    <m/>
    <m/>
    <m/>
    <m/>
    <d v="1899-12-30T12:26:25"/>
  </r>
  <r>
    <x v="4"/>
    <x v="26"/>
    <s v="11:45:29"/>
    <n v="273.28983099999999"/>
    <n v="66"/>
    <m/>
    <m/>
    <m/>
    <m/>
    <d v="1899-12-30T11:45:29"/>
  </r>
  <r>
    <x v="4"/>
    <x v="27"/>
    <s v="11:10:18"/>
    <n v="269.276769"/>
    <n v="57"/>
    <m/>
    <m/>
    <m/>
    <m/>
    <d v="1899-12-30T11:10:18"/>
  </r>
  <r>
    <x v="4"/>
    <x v="28"/>
    <s v="8:06:34"/>
    <n v="102.58023300000001"/>
    <n v="67"/>
    <m/>
    <m/>
    <m/>
    <m/>
    <d v="1899-12-30T08:06:34"/>
  </r>
  <r>
    <x v="4"/>
    <x v="33"/>
    <s v="10:14:08"/>
    <n v="34.561546"/>
    <n v="47"/>
    <m/>
    <m/>
    <m/>
    <m/>
    <d v="1899-12-30T10:14:08"/>
  </r>
  <r>
    <x v="4"/>
    <x v="34"/>
    <s v="10:04:46"/>
    <n v="21.035997999999999"/>
    <n v="34"/>
    <m/>
    <m/>
    <m/>
    <m/>
    <d v="1899-12-30T10:04:46"/>
  </r>
  <r>
    <x v="4"/>
    <x v="35"/>
    <s v="11:03:58"/>
    <n v="76.562676999999994"/>
    <n v="61"/>
    <m/>
    <m/>
    <m/>
    <m/>
    <d v="1899-12-30T11:03:58"/>
  </r>
  <r>
    <x v="5"/>
    <x v="29"/>
    <s v="5:00:28"/>
    <n v="45.751569000000003"/>
    <n v="60"/>
    <m/>
    <m/>
    <m/>
    <m/>
    <d v="1899-12-30T05:00:28"/>
  </r>
  <r>
    <x v="5"/>
    <x v="30"/>
    <s v="5:23:58"/>
    <n v="43.694217999999999"/>
    <n v="68"/>
    <m/>
    <m/>
    <m/>
    <m/>
    <d v="1899-12-30T05:23:58"/>
  </r>
  <r>
    <x v="5"/>
    <x v="31"/>
    <s v="5:43:10"/>
    <n v="42.870325999999999"/>
    <n v="49"/>
    <m/>
    <m/>
    <m/>
    <m/>
    <d v="1899-12-30T05:43:10"/>
  </r>
  <r>
    <x v="5"/>
    <x v="4"/>
    <s v="1:56:48"/>
    <n v="15.9"/>
    <n v="61"/>
    <m/>
    <m/>
    <m/>
    <m/>
    <d v="1899-12-30T01:56:48"/>
  </r>
  <r>
    <x v="5"/>
    <x v="13"/>
    <s v="11:41:00"/>
    <n v="274.02333499999997"/>
    <n v="63"/>
    <m/>
    <m/>
    <m/>
    <m/>
    <d v="1899-12-30T11:41:00"/>
  </r>
  <r>
    <x v="5"/>
    <x v="32"/>
    <s v="6:55:13"/>
    <n v="78.522772000000003"/>
    <n v="58"/>
    <m/>
    <m/>
    <m/>
    <m/>
    <d v="1899-12-30T06:55:13"/>
  </r>
  <r>
    <x v="5"/>
    <x v="26"/>
    <s v="11:33:27"/>
    <n v="272.68073299999998"/>
    <n v="60"/>
    <m/>
    <m/>
    <m/>
    <m/>
    <d v="1899-12-30T11:33:27"/>
  </r>
  <r>
    <x v="5"/>
    <x v="27"/>
    <s v="7:10:07"/>
    <n v="136.67039299999999"/>
    <n v="60"/>
    <m/>
    <m/>
    <m/>
    <m/>
    <d v="1899-12-30T07:10:07"/>
  </r>
  <r>
    <x v="5"/>
    <x v="28"/>
    <s v="11:36:41"/>
    <n v="209.571044"/>
    <n v="70"/>
    <m/>
    <m/>
    <m/>
    <m/>
    <d v="1899-12-30T11:36:41"/>
  </r>
  <r>
    <x v="5"/>
    <x v="33"/>
    <s v="6:43:54"/>
    <n v="15.992269"/>
    <n v="38"/>
    <m/>
    <m/>
    <m/>
    <m/>
    <d v="1899-12-30T06:43:54"/>
  </r>
  <r>
    <x v="5"/>
    <x v="34"/>
    <s v="6:41:07"/>
    <n v="15.642967000000001"/>
    <n v="32"/>
    <m/>
    <m/>
    <m/>
    <m/>
    <d v="1899-12-30T06:41:07"/>
  </r>
  <r>
    <x v="5"/>
    <x v="35"/>
    <s v="6:38:40"/>
    <n v="40.591053000000002"/>
    <n v="54"/>
    <m/>
    <m/>
    <m/>
    <m/>
    <d v="1899-12-30T06:38:40"/>
  </r>
  <r>
    <x v="7"/>
    <x v="3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ableau croisé dynamique6" cacheId="2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4">
  <location ref="M3:N6" firstHeaderRow="1" firstDataRow="1" firstDataCol="1" rowPageCount="1" colPageCount="1"/>
  <pivotFields count="14">
    <pivotField axis="axisRow" showAll="0">
      <items count="38">
        <item h="1" m="1" x="34"/>
        <item h="1" m="1" x="29"/>
        <item h="1" x="20"/>
        <item h="1" m="1" x="32"/>
        <item h="1" x="25"/>
        <item h="1" x="12"/>
        <item h="1" x="24"/>
        <item h="1" x="13"/>
        <item h="1" m="1" x="33"/>
        <item h="1" x="10"/>
        <item h="1" x="14"/>
        <item h="1" x="4"/>
        <item h="1" x="15"/>
        <item h="1" x="21"/>
        <item h="1" x="22"/>
        <item h="1" x="27"/>
        <item h="1" x="16"/>
        <item h="1" m="1" x="30"/>
        <item h="1" x="23"/>
        <item h="1" x="26"/>
        <item h="1" x="17"/>
        <item h="1" x="18"/>
        <item h="1" x="19"/>
        <item h="1" x="11"/>
        <item h="1" x="5"/>
        <item h="1" x="6"/>
        <item h="1" x="28"/>
        <item h="1" m="1" x="35"/>
        <item h="1" m="1" x="36"/>
        <item h="1" x="3"/>
        <item h="1" m="1" x="31"/>
        <item x="0"/>
        <item h="1" x="1"/>
        <item h="1" x="2"/>
        <item h="1" x="7"/>
        <item h="1" x="8"/>
        <item h="1" x="9"/>
        <item t="default"/>
      </items>
    </pivotField>
    <pivotField axis="axisRow" dataField="1" showAll="0" includeNewItemsInFilter="1">
      <items count="18">
        <item x="12"/>
        <item m="1" x="15"/>
        <item x="7"/>
        <item x="8"/>
        <item x="10"/>
        <item x="3"/>
        <item x="5"/>
        <item x="14"/>
        <item x="13"/>
        <item x="2"/>
        <item m="1" x="16"/>
        <item x="11"/>
        <item x="0"/>
        <item x="1"/>
        <item x="4"/>
        <item x="6"/>
        <item x="9"/>
        <item t="default"/>
      </items>
    </pivotField>
    <pivotField showAll="0"/>
    <pivotField showAll="0"/>
    <pivotField showAll="0"/>
    <pivotField axis="axisPage" multipleItemSelectionAllowed="1" showAll="0" defaultSubtotal="0">
      <items count="10">
        <item x="0"/>
        <item x="1"/>
        <item x="3"/>
        <item x="4"/>
        <item x="2"/>
        <item m="1" x="9"/>
        <item x="5"/>
        <item x="6"/>
        <item m="1" x="8"/>
        <item m="1"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0"/>
  </rowFields>
  <rowItems count="3">
    <i>
      <x v="12"/>
    </i>
    <i r="1">
      <x v="31"/>
    </i>
    <i t="grand">
      <x/>
    </i>
  </rowItems>
  <colItems count="1">
    <i/>
  </colItems>
  <pageFields count="1">
    <pageField fld="5" hier="-1"/>
  </pageFields>
  <dataFields count="1">
    <dataField name="Nombre de Base" fld="1" subtotal="count" baseField="0" baseItem="0"/>
  </dataFields>
  <chartFormats count="1"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4" cacheId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J1:K12" firstHeaderRow="1" firstDataRow="1" firstDataCol="1"/>
  <pivotFields count="5">
    <pivotField axis="axisRow" showAll="0">
      <items count="36">
        <item m="1" x="31"/>
        <item m="1" x="11"/>
        <item m="1" x="34"/>
        <item m="1" x="30"/>
        <item m="1" x="29"/>
        <item m="1" x="23"/>
        <item m="1" x="28"/>
        <item m="1" x="15"/>
        <item m="1" x="10"/>
        <item m="1" x="32"/>
        <item m="1" x="25"/>
        <item m="1" x="26"/>
        <item m="1" x="22"/>
        <item x="4"/>
        <item m="1" x="24"/>
        <item m="1" x="20"/>
        <item m="1" x="19"/>
        <item m="1" x="14"/>
        <item m="1" x="21"/>
        <item m="1" x="18"/>
        <item m="1" x="13"/>
        <item m="1" x="27"/>
        <item m="1" x="17"/>
        <item m="1" x="12"/>
        <item m="1" x="33"/>
        <item m="1" x="16"/>
        <item x="5"/>
        <item x="6"/>
        <item x="0"/>
        <item x="1"/>
        <item x="2"/>
        <item x="3"/>
        <item x="7"/>
        <item x="8"/>
        <item x="9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13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Nombre de Bas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1">
  <location ref="D3:E6" firstHeaderRow="1" firstDataRow="1" firstDataCol="1"/>
  <pivotFields count="10">
    <pivotField axis="axisRow" multipleItemSelectionAllowed="1" showAll="0" defaultSubtotal="0">
      <items count="9">
        <item h="1" x="0"/>
        <item h="1" x="1"/>
        <item h="1" x="2"/>
        <item h="1" x="3"/>
        <item h="1" x="4"/>
        <item x="5"/>
        <item h="1" x="6"/>
        <item h="1" x="7"/>
        <item h="1" m="1" x="8"/>
      </items>
    </pivotField>
    <pivotField axis="axisRow" showAll="0" defaultSubtotal="0">
      <items count="67"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32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0"/>
        <item h="1" x="1"/>
        <item h="1" x="36"/>
        <item h="1" x="2"/>
        <item h="1" x="3"/>
        <item h="1" x="4"/>
        <item h="1" x="5"/>
        <item h="1" m="1" x="59"/>
        <item h="1" m="1" x="57"/>
        <item h="1" m="1" x="45"/>
        <item h="1" m="1" x="46"/>
        <item h="1" m="1" x="53"/>
        <item h="1" m="1" x="66"/>
        <item h="1" m="1" x="37"/>
        <item h="1" m="1" x="38"/>
        <item h="1" m="1" x="63"/>
        <item h="1" m="1" x="48"/>
        <item h="1" m="1" x="64"/>
        <item h="1" m="1" x="58"/>
        <item h="1" m="1" x="56"/>
        <item h="1" m="1" x="54"/>
        <item h="1" m="1" x="60"/>
        <item h="1" m="1" x="61"/>
        <item h="1" m="1" x="43"/>
        <item h="1" m="1" x="55"/>
        <item h="1" m="1" x="62"/>
        <item h="1" m="1" x="47"/>
        <item h="1" m="1" x="39"/>
        <item h="1" m="1" x="52"/>
        <item h="1" m="1" x="65"/>
        <item h="1" m="1" x="44"/>
        <item h="1" m="1" x="40"/>
        <item h="1" m="1" x="41"/>
        <item h="1" m="1" x="42"/>
        <item h="1" m="1" x="49"/>
        <item h="1" m="1" x="50"/>
        <item h="1" m="1" x="51"/>
        <item h="1" x="29"/>
        <item h="1" x="30"/>
        <item h="1" x="31"/>
        <item h="1" x="33"/>
        <item x="34"/>
        <item h="1" x="3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2">
    <field x="1"/>
    <field x="0"/>
  </rowFields>
  <rowItems count="3">
    <i>
      <x v="65"/>
    </i>
    <i r="1">
      <x v="5"/>
    </i>
    <i t="grand">
      <x/>
    </i>
  </rowItems>
  <colItems count="1">
    <i/>
  </colItems>
  <dataFields count="1">
    <dataField name="Somme de Durée Utilisation" fld="9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5" cacheId="2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26">
  <location ref="S3:T8" firstHeaderRow="1" firstDataRow="1" firstDataCol="1" rowPageCount="1" colPageCount="1"/>
  <pivotFields count="14">
    <pivotField axis="axisRow" showAll="0">
      <items count="38">
        <item h="1" m="1" x="34"/>
        <item h="1" m="1" x="29"/>
        <item h="1" x="20"/>
        <item h="1" m="1" x="32"/>
        <item h="1" x="25"/>
        <item h="1" x="12"/>
        <item h="1" x="24"/>
        <item h="1" x="13"/>
        <item h="1" m="1" x="33"/>
        <item h="1" x="10"/>
        <item h="1" x="14"/>
        <item h="1" x="4"/>
        <item h="1" x="15"/>
        <item h="1" x="21"/>
        <item h="1" x="22"/>
        <item h="1" x="27"/>
        <item h="1" x="16"/>
        <item h="1" m="1" x="30"/>
        <item h="1" x="23"/>
        <item h="1" x="26"/>
        <item h="1" x="17"/>
        <item h="1" x="18"/>
        <item h="1" x="19"/>
        <item h="1" x="11"/>
        <item h="1" x="5"/>
        <item h="1" x="6"/>
        <item h="1" x="28"/>
        <item h="1" m="1" x="35"/>
        <item h="1" m="1" x="36"/>
        <item h="1" x="3"/>
        <item h="1" m="1" x="31"/>
        <item x="0"/>
        <item h="1" x="1"/>
        <item h="1" x="2"/>
        <item h="1" x="7"/>
        <item h="1" x="8"/>
        <item h="1" x="9"/>
        <item t="default"/>
      </items>
    </pivotField>
    <pivotField showAll="0" includeNewItemsInFilter="1"/>
    <pivotField showAll="0"/>
    <pivotField showAll="0"/>
    <pivotField showAll="0"/>
    <pivotField axis="axisPage" multipleItemSelectionAllowed="1" showAll="0">
      <items count="11">
        <item x="0"/>
        <item x="1"/>
        <item x="3"/>
        <item x="4"/>
        <item x="2"/>
        <item m="1" x="9"/>
        <item x="5"/>
        <item x="6"/>
        <item m="1" x="8"/>
        <item m="1" x="7"/>
        <item t="default"/>
      </items>
    </pivotField>
    <pivotField dataField="1" showAll="0"/>
    <pivotField axis="axisRow" showAll="0">
      <items count="92">
        <item x="40"/>
        <item x="34"/>
        <item x="27"/>
        <item m="1" x="65"/>
        <item m="1" x="66"/>
        <item m="1" x="58"/>
        <item m="1" x="77"/>
        <item m="1" x="72"/>
        <item x="35"/>
        <item x="33"/>
        <item m="1" x="44"/>
        <item m="1" x="54"/>
        <item x="28"/>
        <item m="1" x="52"/>
        <item m="1" x="55"/>
        <item x="23"/>
        <item m="1" x="60"/>
        <item x="12"/>
        <item x="36"/>
        <item m="1" x="89"/>
        <item x="24"/>
        <item x="42"/>
        <item x="0"/>
        <item m="1" x="88"/>
        <item m="1" x="68"/>
        <item m="1" x="69"/>
        <item x="31"/>
        <item m="1" x="51"/>
        <item m="1" x="59"/>
        <item m="1" x="75"/>
        <item m="1" x="80"/>
        <item m="1" x="43"/>
        <item m="1" x="62"/>
        <item m="1" x="78"/>
        <item x="7"/>
        <item x="6"/>
        <item m="1" x="73"/>
        <item m="1" x="90"/>
        <item m="1" x="79"/>
        <item m="1" x="48"/>
        <item x="5"/>
        <item x="16"/>
        <item m="1" x="63"/>
        <item x="18"/>
        <item m="1" x="53"/>
        <item m="1" x="76"/>
        <item m="1" x="74"/>
        <item m="1" x="47"/>
        <item m="1" x="85"/>
        <item m="1" x="84"/>
        <item x="17"/>
        <item m="1" x="67"/>
        <item m="1" x="87"/>
        <item m="1" x="82"/>
        <item x="41"/>
        <item m="1" x="49"/>
        <item m="1" x="83"/>
        <item m="1" x="57"/>
        <item m="1" x="50"/>
        <item m="1" x="86"/>
        <item m="1" x="81"/>
        <item m="1" x="70"/>
        <item x="29"/>
        <item x="30"/>
        <item x="26"/>
        <item m="1" x="45"/>
        <item x="37"/>
        <item x="25"/>
        <item x="39"/>
        <item m="1" x="64"/>
        <item m="1" x="61"/>
        <item x="38"/>
        <item m="1" x="46"/>
        <item m="1" x="71"/>
        <item m="1" x="56"/>
        <item x="1"/>
        <item x="2"/>
        <item x="3"/>
        <item x="4"/>
        <item x="8"/>
        <item x="9"/>
        <item x="10"/>
        <item x="11"/>
        <item x="13"/>
        <item x="14"/>
        <item x="15"/>
        <item x="19"/>
        <item x="20"/>
        <item x="21"/>
        <item x="22"/>
        <item x="32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7"/>
    <field x="0"/>
  </rowFields>
  <rowItems count="5">
    <i>
      <x v="22"/>
    </i>
    <i r="1">
      <x v="31"/>
    </i>
    <i>
      <x v="75"/>
    </i>
    <i r="1">
      <x v="31"/>
    </i>
    <i t="grand">
      <x/>
    </i>
  </rowItems>
  <colItems count="1">
    <i/>
  </colItems>
  <pageFields count="1">
    <pageField fld="5" hier="-1"/>
  </pageFields>
  <dataFields count="1">
    <dataField name="Max de Durée Transit" fld="6" subtotal="max" baseField="0" baseItem="25" numFmtId="46"/>
  </dataFields>
  <chartFormats count="1"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3" cacheId="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41">
  <location ref="G3:H6" firstHeaderRow="1" firstDataRow="1" firstDataCol="1"/>
  <pivotFields count="10">
    <pivotField axis="axisRow" multipleItemSelectionAllowed="1" showAll="0">
      <items count="10">
        <item h="1" x="0"/>
        <item h="1" x="1"/>
        <item h="1" x="2"/>
        <item h="1" x="3"/>
        <item h="1" x="4"/>
        <item x="5"/>
        <item h="1" x="6"/>
        <item h="1" x="7"/>
        <item h="1" m="1" x="8"/>
        <item t="default"/>
      </items>
    </pivotField>
    <pivotField axis="axisRow" showAll="0">
      <items count="68"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32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0"/>
        <item h="1" x="1"/>
        <item h="1" x="36"/>
        <item h="1" x="2"/>
        <item h="1" x="3"/>
        <item h="1" x="4"/>
        <item h="1" x="5"/>
        <item h="1" m="1" x="59"/>
        <item h="1" m="1" x="57"/>
        <item h="1" m="1" x="45"/>
        <item h="1" m="1" x="46"/>
        <item h="1" m="1" x="53"/>
        <item h="1" m="1" x="66"/>
        <item h="1" m="1" x="37"/>
        <item h="1" m="1" x="38"/>
        <item h="1" m="1" x="63"/>
        <item h="1" m="1" x="48"/>
        <item h="1" m="1" x="64"/>
        <item h="1" m="1" x="58"/>
        <item h="1" m="1" x="56"/>
        <item h="1" m="1" x="54"/>
        <item h="1" m="1" x="60"/>
        <item h="1" m="1" x="61"/>
        <item h="1" m="1" x="43"/>
        <item h="1" m="1" x="55"/>
        <item h="1" m="1" x="62"/>
        <item h="1" m="1" x="47"/>
        <item h="1" m="1" x="39"/>
        <item h="1" m="1" x="52"/>
        <item h="1" m="1" x="65"/>
        <item h="1" m="1" x="44"/>
        <item h="1" m="1" x="40"/>
        <item h="1" m="1" x="41"/>
        <item h="1" m="1" x="42"/>
        <item h="1" m="1" x="49"/>
        <item h="1" m="1" x="50"/>
        <item h="1" m="1" x="51"/>
        <item h="1" x="29"/>
        <item h="1" x="30"/>
        <item h="1" x="31"/>
        <item h="1" x="33"/>
        <item x="34"/>
        <item h="1" x="3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1"/>
    <field x="0"/>
  </rowFields>
  <rowItems count="3">
    <i>
      <x v="65"/>
    </i>
    <i r="1">
      <x v="5"/>
    </i>
    <i t="grand">
      <x/>
    </i>
  </rowItems>
  <colItems count="1">
    <i/>
  </colItems>
  <dataFields count="1">
    <dataField name="Survitesse" fld="5" baseField="0" baseItem="0"/>
  </dataFields>
  <chartFormats count="1">
    <chartFormat chart="3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7" cacheId="2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27">
  <location ref="P3:Q6" firstHeaderRow="1" firstDataRow="1" firstDataCol="1"/>
  <pivotFields count="14">
    <pivotField axis="axisRow" showAll="0">
      <items count="38">
        <item h="1" x="20"/>
        <item h="1" m="1" x="32"/>
        <item h="1" x="25"/>
        <item h="1" x="12"/>
        <item h="1" x="24"/>
        <item h="1" x="13"/>
        <item h="1" m="1" x="33"/>
        <item h="1" x="10"/>
        <item h="1" x="14"/>
        <item h="1" x="4"/>
        <item h="1" x="15"/>
        <item h="1" x="21"/>
        <item h="1" x="22"/>
        <item h="1" x="27"/>
        <item h="1" x="16"/>
        <item h="1" m="1" x="30"/>
        <item h="1" x="23"/>
        <item h="1" x="26"/>
        <item h="1" x="17"/>
        <item h="1" x="18"/>
        <item h="1" x="19"/>
        <item h="1" x="11"/>
        <item h="1" x="5"/>
        <item h="1" x="6"/>
        <item h="1" x="28"/>
        <item h="1" m="1" x="29"/>
        <item h="1" m="1" x="34"/>
        <item h="1" m="1" x="35"/>
        <item h="1" m="1" x="36"/>
        <item h="1" x="3"/>
        <item h="1" m="1" x="31"/>
        <item x="0"/>
        <item h="1" x="1"/>
        <item h="1" x="2"/>
        <item h="1" x="7"/>
        <item h="1" x="8"/>
        <item h="1" x="9"/>
        <item t="default"/>
      </items>
    </pivotField>
    <pivotField axis="axisRow" showAll="0" includeNewItemsInFilter="1">
      <items count="18">
        <item x="12"/>
        <item m="1" x="15"/>
        <item x="7"/>
        <item x="8"/>
        <item x="10"/>
        <item x="3"/>
        <item x="5"/>
        <item x="14"/>
        <item x="13"/>
        <item x="2"/>
        <item m="1" x="16"/>
        <item x="11"/>
        <item x="0"/>
        <item x="1"/>
        <item x="4"/>
        <item x="6"/>
        <item x="9"/>
        <item t="default"/>
      </items>
    </pivotField>
    <pivotField showAll="0"/>
    <pivotField showAll="0"/>
    <pivotField dataField="1" showAll="0"/>
    <pivotField multipleItemSelectionAllowed="1" showAll="0" defaultSubtotal="0">
      <items count="10">
        <item x="0"/>
        <item x="1"/>
        <item x="3"/>
        <item x="4"/>
        <item x="2"/>
        <item m="1" x="9"/>
        <item x="5"/>
        <item m="1" x="8"/>
        <item m="1" x="7"/>
        <item x="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0"/>
  </rowFields>
  <rowItems count="3">
    <i>
      <x v="12"/>
    </i>
    <i r="1">
      <x v="31"/>
    </i>
    <i t="grand">
      <x/>
    </i>
  </rowItems>
  <colItems count="1">
    <i/>
  </colItems>
  <dataFields count="1">
    <dataField name="Somme de Durée" fld="4" baseField="1" baseItem="1" numFmtId="46"/>
  </dataFields>
  <formats count="5">
    <format dxfId="4">
      <pivotArea collapsedLevelsAreSubtotals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eau croisé dynamique9" cacheId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0">
  <location ref="V3:Y7" firstHeaderRow="0" firstDataRow="1" firstDataCol="1"/>
  <pivotFields count="9">
    <pivotField axis="axisRow" showAll="0">
      <items count="36">
        <item m="1" x="33"/>
        <item m="1" x="19"/>
        <item m="1" x="29"/>
        <item m="1" x="23"/>
        <item m="1" x="32"/>
        <item m="1" x="27"/>
        <item m="1" x="31"/>
        <item x="12"/>
        <item m="1" x="18"/>
        <item x="13"/>
        <item m="1" x="28"/>
        <item x="10"/>
        <item x="14"/>
        <item x="4"/>
        <item x="15"/>
        <item m="1" x="26"/>
        <item m="1" x="25"/>
        <item m="1" x="22"/>
        <item x="16"/>
        <item m="1" x="24"/>
        <item m="1" x="21"/>
        <item m="1" x="30"/>
        <item x="17"/>
        <item m="1" x="20"/>
        <item m="1" x="34"/>
        <item x="11"/>
        <item x="5"/>
        <item x="6"/>
        <item x="0"/>
        <item x="1"/>
        <item x="2"/>
        <item x="3"/>
        <item x="7"/>
        <item x="8"/>
        <item x="9"/>
        <item t="default"/>
      </items>
    </pivotField>
    <pivotField axis="axisRow" showAll="0">
      <items count="16">
        <item x="12"/>
        <item h="1" m="1" x="13"/>
        <item h="1" m="1" x="14"/>
        <item h="1" x="7"/>
        <item h="1" x="8"/>
        <item h="1" x="10"/>
        <item h="1" x="3"/>
        <item h="1" x="5"/>
        <item h="1" x="2"/>
        <item h="1" x="11"/>
        <item h="1" x="0"/>
        <item h="1" x="1"/>
        <item h="1" x="4"/>
        <item h="1" x="6"/>
        <item h="1" x="9"/>
        <item t="default"/>
      </items>
    </pivotField>
    <pivotField showAll="0"/>
    <pivotField showAll="0"/>
    <pivotField dataField="1" numFmtId="46" showAll="0"/>
    <pivotField multipleItemSelectionAllowed="1" showAll="0"/>
    <pivotField dataField="1" showAll="0"/>
    <pivotField showAll="0"/>
    <pivotField dataField="1" showAll="0" defaultSubtotal="0"/>
  </pivotFields>
  <rowFields count="2">
    <field x="1"/>
    <field x="0"/>
  </rowFields>
  <rowItems count="4">
    <i>
      <x/>
    </i>
    <i r="1">
      <x v="18"/>
    </i>
    <i r="1"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urée Site" fld="4" baseField="0" baseItem="0" numFmtId="46"/>
    <dataField name="Durée de Transit" fld="6" subtotal="max" baseField="0" baseItem="0" numFmtId="46"/>
    <dataField name="Durée Arrêt C. On" fld="8" subtotal="max" baseField="0" baseItem="0" numFmtId="4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eau croisé dynamique8" cacheId="2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5">
  <location ref="AC3:AE10" firstHeaderRow="0" firstDataRow="1" firstDataCol="1" rowPageCount="1" colPageCount="1"/>
  <pivotFields count="14">
    <pivotField axis="axisRow" showAll="0">
      <items count="38">
        <item h="1" m="1" x="34"/>
        <item h="1" m="1" x="29"/>
        <item h="1" x="20"/>
        <item h="1" m="1" x="32"/>
        <item h="1" x="25"/>
        <item h="1" x="12"/>
        <item h="1" x="24"/>
        <item h="1" x="13"/>
        <item h="1" m="1" x="33"/>
        <item h="1" x="10"/>
        <item h="1" x="14"/>
        <item h="1" x="4"/>
        <item h="1" x="15"/>
        <item h="1" x="21"/>
        <item h="1" x="22"/>
        <item h="1" x="27"/>
        <item h="1" x="16"/>
        <item h="1" m="1" x="30"/>
        <item h="1" x="23"/>
        <item h="1" x="26"/>
        <item h="1" x="17"/>
        <item h="1" x="18"/>
        <item h="1" x="19"/>
        <item h="1" x="11"/>
        <item h="1" x="5"/>
        <item h="1" x="6"/>
        <item h="1" x="28"/>
        <item h="1" m="1" x="35"/>
        <item h="1" m="1" x="36"/>
        <item h="1" x="3"/>
        <item h="1" m="1" x="31"/>
        <item x="0"/>
        <item h="1" x="1"/>
        <item h="1" x="2"/>
        <item h="1" x="7"/>
        <item h="1" x="8"/>
        <item h="1" x="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1">
        <item x="0"/>
        <item x="1"/>
        <item x="3"/>
        <item x="4"/>
        <item x="2"/>
        <item m="1" x="9"/>
        <item x="5"/>
        <item x="6"/>
        <item m="1" x="8"/>
        <item m="1" x="7"/>
        <item t="default"/>
      </items>
    </pivotField>
    <pivotField showAll="0"/>
    <pivotField showAll="0"/>
    <pivotField showAll="0"/>
    <pivotField axis="axisRow" showAll="0" defaultSubtotal="0">
      <items count="7034">
        <item x="1"/>
        <item m="1" x="2808"/>
        <item m="1" x="1283"/>
        <item m="1" x="6215"/>
        <item m="1" x="731"/>
        <item m="1" x="4595"/>
        <item m="1" x="3158"/>
        <item m="1" x="5336"/>
        <item m="1" x="6201"/>
        <item m="1" x="6082"/>
        <item m="1" x="6368"/>
        <item m="1" x="4395"/>
        <item m="1" x="3317"/>
        <item m="1" x="4737"/>
        <item m="1" x="2888"/>
        <item m="1" x="6398"/>
        <item m="1" x="1086"/>
        <item m="1" x="2860"/>
        <item m="1" x="4738"/>
        <item m="1" x="2979"/>
        <item m="1" x="6892"/>
        <item m="1" x="4942"/>
        <item m="1" x="2816"/>
        <item m="1" x="5541"/>
        <item m="1" x="3273"/>
        <item m="1" x="2029"/>
        <item m="1" x="632"/>
        <item m="1" x="5338"/>
        <item m="1" x="5954"/>
        <item m="1" x="6787"/>
        <item m="1" x="917"/>
        <item m="1" x="3492"/>
        <item m="1" x="5268"/>
        <item m="1" x="4817"/>
        <item m="1" x="5421"/>
        <item m="1" x="6184"/>
        <item m="1" x="6535"/>
        <item m="1" x="1284"/>
        <item m="1" x="5431"/>
        <item m="1" x="619"/>
        <item m="1" x="4629"/>
        <item m="1" x="3885"/>
        <item m="1" x="5957"/>
        <item m="1" x="3445"/>
        <item m="1" x="3816"/>
        <item m="1" x="6926"/>
        <item m="1" x="1315"/>
        <item m="1" x="1521"/>
        <item m="1" x="1480"/>
        <item m="1" x="865"/>
        <item m="1" x="2635"/>
        <item m="1" x="2331"/>
        <item m="1" x="1377"/>
        <item m="1" x="4353"/>
        <item m="1" x="4923"/>
        <item m="1" x="4267"/>
        <item m="1" x="1934"/>
        <item m="1" x="4673"/>
        <item m="1" x="3358"/>
        <item m="1" x="1262"/>
        <item m="1" x="5532"/>
        <item m="1" x="2991"/>
        <item m="1" x="5478"/>
        <item m="1" x="1570"/>
        <item m="1" x="3598"/>
        <item m="1" x="1576"/>
        <item m="1" x="1717"/>
        <item m="1" x="1710"/>
        <item m="1" x="1795"/>
        <item m="1" x="3506"/>
        <item m="1" x="907"/>
        <item m="1" x="6888"/>
        <item m="1" x="1646"/>
        <item m="1" x="1807"/>
        <item m="1" x="2618"/>
        <item m="1" x="4354"/>
        <item m="1" x="4187"/>
        <item m="1" x="2075"/>
        <item m="1" x="1533"/>
        <item m="1" x="2782"/>
        <item m="1" x="4647"/>
        <item m="1" x="2076"/>
        <item m="1" x="5007"/>
        <item m="1" x="6441"/>
        <item m="1" x="6503"/>
        <item m="1" x="7023"/>
        <item m="1" x="3583"/>
        <item m="1" x="3579"/>
        <item m="1" x="930"/>
        <item m="1" x="1810"/>
        <item m="1" x="2388"/>
        <item m="1" x="5230"/>
        <item m="1" x="783"/>
        <item m="1" x="5746"/>
        <item m="1" x="3256"/>
        <item m="1" x="5350"/>
        <item m="1" x="6930"/>
        <item m="1" x="3653"/>
        <item m="1" x="3019"/>
        <item m="1" x="1800"/>
        <item m="1" x="3925"/>
        <item m="1" x="5697"/>
        <item m="1" x="5184"/>
        <item m="1" x="1319"/>
        <item m="1" x="1134"/>
        <item m="1" x="2681"/>
        <item m="1" x="6880"/>
        <item m="1" x="4515"/>
        <item m="1" x="709"/>
        <item m="1" x="2583"/>
        <item m="1" x="4082"/>
        <item m="1" x="985"/>
        <item m="1" x="1029"/>
        <item m="1" x="861"/>
        <item m="1" x="6187"/>
        <item m="1" x="466"/>
        <item m="1" x="812"/>
        <item m="1" x="4373"/>
        <item m="1" x="2982"/>
        <item m="1" x="2928"/>
        <item m="1" x="3274"/>
        <item m="1" x="1387"/>
        <item m="1" x="5360"/>
        <item m="1" x="1944"/>
        <item m="1" x="3997"/>
        <item m="1" x="2567"/>
        <item m="1" x="515"/>
        <item m="1" x="3959"/>
        <item m="1" x="2898"/>
        <item m="1" x="2140"/>
        <item m="1" x="2673"/>
        <item m="1" x="606"/>
        <item m="1" x="5603"/>
        <item m="1" x="4215"/>
        <item m="1" x="694"/>
        <item m="1" x="3978"/>
        <item m="1" x="2961"/>
        <item m="1" x="3171"/>
        <item m="1" x="5071"/>
        <item m="1" x="4131"/>
        <item m="1" x="3079"/>
        <item m="1" x="1176"/>
        <item m="1" x="6517"/>
        <item m="1" x="4743"/>
        <item m="1" x="6090"/>
        <item m="1" x="4448"/>
        <item m="1" x="2757"/>
        <item m="1" x="3127"/>
        <item m="1" x="4095"/>
        <item m="1" x="5023"/>
        <item m="1" x="3399"/>
        <item m="1" x="2441"/>
        <item m="1" x="2840"/>
        <item m="1" x="3637"/>
        <item m="1" x="3660"/>
        <item m="1" x="5811"/>
        <item m="1" x="4860"/>
        <item m="1" x="4010"/>
        <item m="1" x="5523"/>
        <item m="1" x="4596"/>
        <item m="1" x="6862"/>
        <item m="1" x="5165"/>
        <item m="1" x="3881"/>
        <item m="1" x="3606"/>
        <item m="1" x="5176"/>
        <item m="1" x="2310"/>
        <item m="1" x="5083"/>
        <item m="1" x="5666"/>
        <item m="1" x="1649"/>
        <item m="1" x="3919"/>
        <item m="1" x="1412"/>
        <item m="1" x="5299"/>
        <item m="1" x="966"/>
        <item m="1" x="819"/>
        <item m="1" x="1413"/>
        <item m="1" x="4903"/>
        <item m="1" x="3877"/>
        <item m="1" x="5931"/>
        <item m="1" x="6418"/>
        <item m="1" x="5654"/>
        <item m="1" x="670"/>
        <item m="1" x="953"/>
        <item m="1" x="2458"/>
        <item m="1" x="6796"/>
        <item m="1" x="3587"/>
        <item m="1" x="6791"/>
        <item m="1" x="1558"/>
        <item m="1" x="6621"/>
        <item m="1" x="624"/>
        <item m="1" x="6323"/>
        <item m="1" x="6788"/>
        <item m="1" x="4502"/>
        <item m="1" x="3808"/>
        <item m="1" x="7025"/>
        <item m="1" x="5442"/>
        <item m="1" x="5058"/>
        <item m="1" x="6189"/>
        <item m="1" x="5413"/>
        <item m="1" x="2129"/>
        <item m="1" x="3800"/>
        <item m="1" x="4772"/>
        <item m="1" x="877"/>
        <item m="1" x="6947"/>
        <item m="1" x="6955"/>
        <item m="1" x="6904"/>
        <item m="1" x="6785"/>
        <item m="1" x="2126"/>
        <item m="1" x="5915"/>
        <item m="1" x="5783"/>
        <item m="1" x="848"/>
        <item m="1" x="3036"/>
        <item m="1" x="779"/>
        <item m="1" x="838"/>
        <item m="1" x="2485"/>
        <item m="1" x="806"/>
        <item m="1" x="2996"/>
        <item m="1" x="4686"/>
        <item m="1" x="5664"/>
        <item m="1" x="1297"/>
        <item m="1" x="2781"/>
        <item m="1" x="2943"/>
        <item m="1" x="1602"/>
        <item m="1" x="6687"/>
        <item m="1" x="480"/>
        <item m="1" x="5436"/>
        <item m="1" x="1352"/>
        <item m="1" x="1586"/>
        <item m="1" x="2063"/>
        <item m="1" x="788"/>
        <item m="1" x="2642"/>
        <item m="1" x="5366"/>
        <item m="1" x="5569"/>
        <item m="1" x="3615"/>
        <item m="1" x="5326"/>
        <item m="1" x="1257"/>
        <item m="1" x="2165"/>
        <item m="1" x="6852"/>
        <item m="1" x="3422"/>
        <item m="1" x="1224"/>
        <item m="1" x="5960"/>
        <item m="1" x="6897"/>
        <item m="1" x="769"/>
        <item m="1" x="1745"/>
        <item m="1" x="6710"/>
        <item m="1" x="784"/>
        <item m="1" x="2817"/>
        <item m="1" x="5156"/>
        <item m="1" x="3525"/>
        <item m="1" x="1053"/>
        <item m="1" x="727"/>
        <item m="1" x="1017"/>
        <item m="1" x="2651"/>
        <item m="1" x="3840"/>
        <item m="1" x="1328"/>
        <item m="1" x="3314"/>
        <item m="1" x="3507"/>
        <item m="1" x="4992"/>
        <item m="1" x="5363"/>
        <item m="1" x="1823"/>
        <item m="1" x="3949"/>
        <item m="1" x="3549"/>
        <item m="1" x="5598"/>
        <item m="1" x="4516"/>
        <item m="1" x="6155"/>
        <item m="1" x="1607"/>
        <item m="1" x="1364"/>
        <item m="1" x="3446"/>
        <item m="1" x="3343"/>
        <item m="1" x="3793"/>
        <item m="1" x="4577"/>
        <item m="1" x="1339"/>
        <item m="1" x="4777"/>
        <item m="1" x="2459"/>
        <item m="1" x="3115"/>
        <item m="1" x="4057"/>
        <item m="1" x="4528"/>
        <item m="1" x="6332"/>
        <item m="1" x="3361"/>
        <item m="1" x="6604"/>
        <item m="1" x="4838"/>
        <item m="1" x="6160"/>
        <item m="1" x="4661"/>
        <item m="1" x="1574"/>
        <item m="1" x="1117"/>
        <item m="1" x="2406"/>
        <item m="1" x="1098"/>
        <item m="1" x="1431"/>
        <item m="1" x="5685"/>
        <item m="1" x="3971"/>
        <item m="1" x="3984"/>
        <item m="1" x="6080"/>
        <item m="1" x="2501"/>
        <item m="1" x="4945"/>
        <item m="1" x="6181"/>
        <item m="1" x="5846"/>
        <item m="1" x="5779"/>
        <item m="1" x="4953"/>
        <item m="1" x="6213"/>
        <item m="1" x="1158"/>
        <item m="1" x="4508"/>
        <item m="1" x="1192"/>
        <item m="1" x="4254"/>
        <item m="1" x="1084"/>
        <item m="1" x="4513"/>
        <item m="1" x="1904"/>
        <item m="1" x="5308"/>
        <item m="1" x="6226"/>
        <item m="1" x="6917"/>
        <item m="1" x="3577"/>
        <item m="1" x="6281"/>
        <item m="1" x="5620"/>
        <item m="1" x="6971"/>
        <item m="1" x="2374"/>
        <item m="1" x="6282"/>
        <item m="1" x="5438"/>
        <item m="1" x="6689"/>
        <item m="1" x="905"/>
        <item m="1" x="2827"/>
        <item m="1" x="2503"/>
        <item m="1" x="4343"/>
        <item m="1" x="3065"/>
        <item m="1" x="1151"/>
        <item m="1" x="5063"/>
        <item m="1" x="807"/>
        <item m="1" x="1853"/>
        <item m="1" x="1564"/>
        <item m="1" x="3262"/>
        <item m="1" x="6129"/>
        <item m="1" x="2881"/>
        <item m="1" x="6214"/>
        <item m="1" x="1274"/>
        <item m="1" x="6838"/>
        <item m="1" x="6737"/>
        <item m="1" x="969"/>
        <item m="1" x="2054"/>
        <item m="1" x="5720"/>
        <item m="1" x="6477"/>
        <item m="1" x="5053"/>
        <item m="1" x="1778"/>
        <item m="1" x="1987"/>
        <item m="1" x="5271"/>
        <item m="1" x="5076"/>
        <item m="1" x="1802"/>
        <item m="1" x="6074"/>
        <item m="1" x="2953"/>
        <item m="1" x="5927"/>
        <item m="1" x="3411"/>
        <item m="1" x="3645"/>
        <item m="1" x="5821"/>
        <item m="1" x="4381"/>
        <item m="1" x="4994"/>
        <item m="1" x="1543"/>
        <item m="1" x="1782"/>
        <item m="1" x="1446"/>
        <item m="1" x="3148"/>
        <item m="1" x="2805"/>
        <item m="1" x="1555"/>
        <item m="1" x="5152"/>
        <item m="1" x="4727"/>
        <item m="1" x="4875"/>
        <item m="1" x="2254"/>
        <item m="1" x="2656"/>
        <item m="1" x="1843"/>
        <item m="1" x="6610"/>
        <item m="1" x="2545"/>
        <item m="1" x="6161"/>
        <item m="1" x="590"/>
        <item m="1" x="2542"/>
        <item m="1" x="914"/>
        <item m="1" x="4147"/>
        <item m="1" x="2495"/>
        <item m="1" x="4318"/>
        <item m="1" x="2469"/>
        <item m="1" x="3040"/>
        <item m="1" x="4982"/>
        <item m="1" x="4270"/>
        <item m="1" x="4855"/>
        <item m="1" x="1057"/>
        <item m="1" x="1880"/>
        <item m="1" x="3823"/>
        <item m="1" x="4631"/>
        <item m="1" x="2883"/>
        <item m="1" x="3938"/>
        <item m="1" x="6034"/>
        <item m="1" x="5035"/>
        <item m="1" x="5037"/>
        <item m="1" x="4856"/>
        <item m="1" x="3883"/>
        <item m="1" x="909"/>
        <item m="1" x="5848"/>
        <item m="1" x="5089"/>
        <item m="1" x="5043"/>
        <item m="1" x="4040"/>
        <item m="1" x="5792"/>
        <item m="1" x="6438"/>
        <item m="1" x="2571"/>
        <item m="1" x="2648"/>
        <item m="1" x="5948"/>
        <item m="1" x="3085"/>
        <item m="1" x="5648"/>
        <item m="1" x="4352"/>
        <item m="1" x="2905"/>
        <item m="1" x="3337"/>
        <item m="1" x="5695"/>
        <item x="464"/>
        <item m="1" x="536"/>
        <item m="1" x="6550"/>
        <item m="1" x="791"/>
        <item m="1" x="1647"/>
        <item m="1" x="792"/>
        <item m="1" x="578"/>
        <item m="1" x="1936"/>
        <item m="1" x="2903"/>
        <item m="1" x="2461"/>
        <item m="1" x="2789"/>
        <item m="1" x="5325"/>
        <item m="1" x="2078"/>
        <item m="1" x="2147"/>
        <item m="1" x="1516"/>
        <item m="1" x="1693"/>
        <item m="1" x="1091"/>
        <item m="1" x="2089"/>
        <item m="1" x="1149"/>
        <item m="1" x="2942"/>
        <item m="1" x="1718"/>
        <item m="1" x="1163"/>
        <item m="1" x="532"/>
        <item m="1" x="5486"/>
        <item m="1" x="2955"/>
        <item m="1" x="1310"/>
        <item m="1" x="2415"/>
        <item m="1" x="4764"/>
        <item m="1" x="6016"/>
        <item m="1" x="6773"/>
        <item m="1" x="5427"/>
        <item m="1" x="6311"/>
        <item m="1" x="864"/>
        <item m="1" x="4894"/>
        <item m="1" x="1979"/>
        <item m="1" x="5937"/>
        <item m="1" x="7005"/>
        <item m="1" x="2937"/>
        <item m="1" x="583"/>
        <item m="1" x="4534"/>
        <item m="1" x="6457"/>
        <item m="1" x="5583"/>
        <item m="1" x="6885"/>
        <item m="1" x="4979"/>
        <item m="1" x="2784"/>
        <item m="1" x="5887"/>
        <item m="1" x="505"/>
        <item m="1" x="3469"/>
        <item m="1" x="2201"/>
        <item m="1" x="5869"/>
        <item m="1" x="6254"/>
        <item m="1" x="5596"/>
        <item m="1" x="4290"/>
        <item m="1" x="2575"/>
        <item m="1" x="1184"/>
        <item m="1" x="4592"/>
        <item m="1" x="3880"/>
        <item m="1" x="5220"/>
        <item m="1" x="2138"/>
        <item m="1" x="3265"/>
        <item m="1" x="4545"/>
        <item m="1" x="2874"/>
        <item m="1" x="4501"/>
        <item m="1" x="6530"/>
        <item m="1" x="4507"/>
        <item m="1" x="3901"/>
        <item m="1" x="771"/>
        <item m="1" x="6165"/>
        <item m="1" x="6511"/>
        <item m="1" x="2482"/>
        <item m="1" x="2323"/>
        <item m="1" x="2632"/>
        <item m="1" x="893"/>
        <item m="1" x="1756"/>
        <item m="1" x="6078"/>
        <item m="1" x="2302"/>
        <item m="1" x="5624"/>
        <item m="1" x="2799"/>
        <item m="1" x="4952"/>
        <item m="1" x="4059"/>
        <item m="1" x="2085"/>
        <item m="1" x="5009"/>
        <item m="1" x="2171"/>
        <item m="1" x="4018"/>
        <item m="1" x="3502"/>
        <item m="1" x="1157"/>
        <item m="1" x="6966"/>
        <item m="1" x="2532"/>
        <item m="1" x="553"/>
        <item m="1" x="4177"/>
        <item m="1" x="5830"/>
        <item m="1" x="2617"/>
        <item m="1" x="1216"/>
        <item m="1" x="1929"/>
        <item m="1" x="5127"/>
        <item m="1" x="5347"/>
        <item m="1" x="2744"/>
        <item m="1" x="4726"/>
        <item m="1" x="843"/>
        <item m="1" x="6499"/>
        <item m="1" x="2422"/>
        <item m="1" x="4871"/>
        <item m="1" x="2032"/>
        <item m="1" x="2627"/>
        <item m="1" x="472"/>
        <item m="1" x="4844"/>
        <item m="1" x="6007"/>
        <item m="1" x="3026"/>
        <item m="1" x="2848"/>
        <item m="1" x="4164"/>
        <item m="1" x="3162"/>
        <item m="1" x="3459"/>
        <item m="1" x="2807"/>
        <item m="1" x="3828"/>
        <item m="1" x="5699"/>
        <item m="1" x="4226"/>
        <item m="1" x="6326"/>
        <item m="1" x="2741"/>
        <item m="1" x="5641"/>
        <item m="1" x="7020"/>
        <item m="1" x="3610"/>
        <item m="1" x="5892"/>
        <item m="1" x="2830"/>
        <item m="1" x="982"/>
        <item m="1" x="3409"/>
        <item m="1" x="5475"/>
        <item m="1" x="1468"/>
        <item m="1" x="5186"/>
        <item m="1" x="6688"/>
        <item m="1" x="2616"/>
        <item m="1" x="5519"/>
        <item m="1" x="2779"/>
        <item m="1" x="6025"/>
        <item m="1" x="1123"/>
        <item m="1" x="3323"/>
        <item m="1" x="5999"/>
        <item m="1" x="3113"/>
        <item m="1" x="2152"/>
        <item m="1" x="4666"/>
        <item m="1" x="2120"/>
        <item m="1" x="2412"/>
        <item m="1" x="4932"/>
        <item m="1" x="2068"/>
        <item m="1" x="3045"/>
        <item m="1" x="5124"/>
        <item m="1" x="2471"/>
        <item m="1" x="3174"/>
        <item m="1" x="2544"/>
        <item m="1" x="1171"/>
        <item m="1" x="2026"/>
        <item m="1" x="1231"/>
        <item m="1" x="5317"/>
        <item m="1" x="1613"/>
        <item m="1" x="707"/>
        <item m="1" x="5439"/>
        <item m="1" x="3221"/>
        <item m="1" x="4703"/>
        <item m="1" x="5590"/>
        <item m="1" x="4359"/>
        <item m="1" x="3404"/>
        <item m="1" x="4972"/>
        <item m="1" x="2992"/>
        <item m="1" x="5235"/>
        <item m="1" x="2277"/>
        <item m="1" x="5157"/>
        <item m="1" x="3213"/>
        <item m="1" x="3675"/>
        <item m="1" x="5232"/>
        <item m="1" x="6315"/>
        <item m="1" x="2115"/>
        <item m="1" x="3732"/>
        <item m="1" x="5283"/>
        <item m="1" x="1146"/>
        <item m="1" x="4644"/>
        <item m="1" x="4320"/>
        <item m="1" x="5995"/>
        <item m="1" x="4110"/>
        <item m="1" x="2975"/>
        <item m="1" x="4222"/>
        <item m="1" x="6549"/>
        <item m="1" x="2132"/>
        <item m="1" x="2084"/>
        <item m="1" x="6524"/>
        <item m="1" x="3797"/>
        <item m="1" x="2820"/>
        <item m="1" x="6013"/>
        <item m="1" x="5542"/>
        <item m="1" x="6193"/>
        <item m="1" x="4565"/>
        <item m="1" x="1588"/>
        <item m="1" x="1250"/>
        <item m="1" x="2341"/>
        <item m="1" x="4542"/>
        <item m="1" x="4268"/>
        <item m="1" x="6140"/>
        <item m="1" x="4115"/>
        <item m="1" x="2099"/>
        <item m="1" x="5148"/>
        <item m="1" x="3868"/>
        <item m="1" x="1040"/>
        <item m="1" x="2194"/>
        <item m="1" x="1803"/>
        <item m="1" x="625"/>
        <item m="1" x="3237"/>
        <item m="1" x="5496"/>
        <item m="1" x="4321"/>
        <item m="1" x="3192"/>
        <item m="1" x="6944"/>
        <item m="1" x="4734"/>
        <item m="1" x="4559"/>
        <item m="1" x="2837"/>
        <item m="1" x="5306"/>
        <item m="1" x="6769"/>
        <item m="1" x="2735"/>
        <item m="1" x="2823"/>
        <item m="1" x="5901"/>
        <item m="1" x="3893"/>
        <item m="1" x="4758"/>
        <item m="1" x="4387"/>
        <item m="1" x="1793"/>
        <item m="1" x="3902"/>
        <item m="1" x="2753"/>
        <item m="1" x="5285"/>
        <item m="1" x="896"/>
        <item m="1" x="6123"/>
        <item m="1" x="4303"/>
        <item m="1" x="3287"/>
        <item m="1" x="4712"/>
        <item m="1" x="892"/>
        <item m="1" x="493"/>
        <item m="1" x="1610"/>
        <item m="1" x="6654"/>
        <item m="1" x="7006"/>
        <item m="1" x="1722"/>
        <item m="1" x="3384"/>
        <item m="1" x="5368"/>
        <item m="1" x="1348"/>
        <item m="1" x="6956"/>
        <item m="1" x="5703"/>
        <item m="1" x="1362"/>
        <item m="1" x="4803"/>
        <item m="1" x="5066"/>
        <item m="1" x="3771"/>
        <item m="1" x="2912"/>
        <item m="1" x="2046"/>
        <item m="1" x="3966"/>
        <item m="1" x="3064"/>
        <item m="1" x="5511"/>
        <item m="1" x="4907"/>
        <item m="1" x="1748"/>
        <item m="1" x="1302"/>
        <item m="1" x="4383"/>
        <item m="1" x="2000"/>
        <item m="1" x="1388"/>
        <item m="1" x="6199"/>
        <item m="1" x="4761"/>
        <item m="1" x="2389"/>
        <item m="1" x="4438"/>
        <item m="1" x="6629"/>
        <item m="1" x="5041"/>
        <item m="1" x="3167"/>
        <item m="1" x="2005"/>
        <item m="1" x="1208"/>
        <item m="1" x="714"/>
        <item m="1" x="6890"/>
        <item m="1" x="1963"/>
        <item m="1" x="3853"/>
        <item m="1" x="1544"/>
        <item m="1" x="5108"/>
        <item m="1" x="5689"/>
        <item m="1" x="3907"/>
        <item m="1" x="6296"/>
        <item m="1" x="6500"/>
        <item m="1" x="2829"/>
        <item m="1" x="6986"/>
        <item m="1" x="4297"/>
        <item m="1" x="3588"/>
        <item m="1" x="5577"/>
        <item m="1" x="3834"/>
        <item m="1" x="6216"/>
        <item m="1" x="5531"/>
        <item m="1" x="3917"/>
        <item m="1" x="2923"/>
        <item m="1" x="6048"/>
        <item m="1" x="3367"/>
        <item m="1" x="2932"/>
        <item m="1" x="4257"/>
        <item m="1" x="5275"/>
        <item m="1" x="2318"/>
        <item m="1" x="1671"/>
        <item m="1" x="3398"/>
        <item m="1" x="4506"/>
        <item m="1" x="4557"/>
        <item m="1" x="4685"/>
        <item m="1" x="1336"/>
        <item m="1" x="1739"/>
        <item m="1" x="5587"/>
        <item m="1" x="3844"/>
        <item m="1" x="1420"/>
        <item m="1" x="4034"/>
        <item m="1" x="2213"/>
        <item m="1" x="4154"/>
        <item m="1" x="3028"/>
        <item m="1" x="4238"/>
        <item m="1" x="1379"/>
        <item m="1" x="6529"/>
        <item m="1" x="2853"/>
        <item m="1" x="4773"/>
        <item m="1" x="2345"/>
        <item m="1" x="1864"/>
        <item m="1" x="4058"/>
        <item m="1" x="1857"/>
        <item m="1" x="6376"/>
        <item m="1" x="5292"/>
        <item m="1" x="6826"/>
        <item m="1" x="2811"/>
        <item m="1" x="6136"/>
        <item m="1" x="2714"/>
        <item m="1" x="881"/>
        <item m="1" x="4428"/>
        <item m="1" x="5885"/>
        <item m="1" x="1046"/>
        <item m="1" x="2452"/>
        <item m="1" x="6512"/>
        <item m="1" x="6938"/>
        <item m="1" x="5062"/>
        <item m="1" x="5057"/>
        <item m="1" x="504"/>
        <item m="1" x="6102"/>
        <item m="1" x="3570"/>
        <item m="1" x="5264"/>
        <item m="1" x="2034"/>
        <item m="1" x="5506"/>
        <item m="1" x="3887"/>
        <item m="1" x="5291"/>
        <item m="1" x="6714"/>
        <item m="1" x="6845"/>
        <item m="1" x="4998"/>
        <item m="1" x="5189"/>
        <item m="1" x="4276"/>
        <item m="1" x="5094"/>
        <item m="1" x="5910"/>
        <item m="1" x="6901"/>
        <item m="1" x="6383"/>
        <item m="1" x="5134"/>
        <item m="1" x="3172"/>
        <item m="1" x="5333"/>
        <item m="1" x="4588"/>
        <item m="1" x="1320"/>
        <item m="1" x="3684"/>
        <item m="1" x="5712"/>
        <item m="1" x="1476"/>
        <item m="1" x="3812"/>
        <item m="1" x="4366"/>
        <item m="1" x="6521"/>
        <item m="1" x="6053"/>
        <item m="1" x="3635"/>
        <item m="1" x="1679"/>
        <item m="1" x="6765"/>
        <item m="1" x="2748"/>
        <item m="1" x="2921"/>
        <item m="1" x="2671"/>
        <item m="1" x="5022"/>
        <item m="1" x="605"/>
        <item m="1" x="6152"/>
        <item m="1" x="6386"/>
        <item m="1" x="3532"/>
        <item m="1" x="6928"/>
        <item m="1" x="3293"/>
        <item m="1" x="4173"/>
        <item m="1" x="3478"/>
        <item m="1" x="5072"/>
        <item m="1" x="5126"/>
        <item m="1" x="2949"/>
        <item m="1" x="6729"/>
        <item m="1" x="2246"/>
        <item m="1" x="3034"/>
        <item m="1" x="4250"/>
        <item m="1" x="1186"/>
        <item m="1" x="5612"/>
        <item m="1" x="3176"/>
        <item m="1" x="6481"/>
        <item m="1" x="3904"/>
        <item m="1" x="5122"/>
        <item m="1" x="1119"/>
        <item m="1" x="5452"/>
        <item m="1" x="6394"/>
        <item m="1" x="4107"/>
        <item m="1" x="6713"/>
        <item m="1" x="1972"/>
        <item m="1" x="6347"/>
        <item m="1" x="6042"/>
        <item m="1" x="764"/>
        <item m="1" x="2863"/>
        <item m="1" x="5339"/>
        <item m="1" x="1828"/>
        <item m="1" x="5595"/>
        <item m="1" x="2911"/>
        <item m="1" x="6031"/>
        <item m="1" x="5627"/>
        <item m="1" x="4183"/>
        <item m="1" x="4468"/>
        <item m="1" x="1787"/>
        <item m="1" x="5890"/>
        <item m="1" x="2405"/>
        <item m="1" x="6668"/>
        <item m="1" x="2170"/>
        <item m="1" x="4375"/>
        <item m="1" x="2586"/>
        <item m="1" x="3009"/>
        <item m="1" x="2718"/>
        <item m="1" x="4265"/>
        <item m="1" x="3543"/>
        <item m="1" x="6021"/>
        <item m="1" x="5874"/>
        <item m="1" x="4887"/>
        <item m="1" x="4245"/>
        <item m="1" x="638"/>
        <item m="1" x="5533"/>
        <item m="1" x="6304"/>
        <item m="1" x="6174"/>
        <item m="1" x="6251"/>
        <item m="1" x="3920"/>
        <item m="1" x="3120"/>
        <item m="1" x="3400"/>
        <item m="1" x="1906"/>
        <item m="1" x="3235"/>
        <item m="1" x="6528"/>
        <item m="1" x="1961"/>
        <item m="1" x="4694"/>
        <item m="1" x="5391"/>
        <item m="1" x="5700"/>
        <item m="1" x="5786"/>
        <item m="1" x="808"/>
        <item m="1" x="1559"/>
        <item m="1" x="1361"/>
        <item m="1" x="5353"/>
        <item m="1" x="6044"/>
        <item m="1" x="5967"/>
        <item m="1" x="3494"/>
        <item m="1" x="2927"/>
        <item m="1" x="6027"/>
        <item m="1" x="1941"/>
        <item m="1" x="4272"/>
        <item m="1" x="6377"/>
        <item m="1" x="2411"/>
        <item m="1" x="4168"/>
        <item m="1" x="5866"/>
        <item m="1" x="4818"/>
        <item m="1" x="1071"/>
        <item m="1" x="4740"/>
        <item m="1" x="1943"/>
        <item m="1" x="3538"/>
        <item m="1" x="2104"/>
        <item m="1" x="4042"/>
        <item m="1" x="1444"/>
        <item m="1" x="4275"/>
        <item m="1" x="2244"/>
        <item m="1" x="4581"/>
        <item m="1" x="5358"/>
        <item m="1" x="3315"/>
        <item m="1" x="5498"/>
        <item m="1" x="3763"/>
        <item m="1" x="3933"/>
        <item m="1" x="4519"/>
        <item m="1" x="4684"/>
        <item m="1" x="2195"/>
        <item m="1" x="5562"/>
        <item m="1" x="635"/>
        <item m="1" x="2926"/>
        <item m="1" x="6066"/>
        <item m="1" x="6864"/>
        <item m="1" x="4316"/>
        <item m="1" x="2636"/>
        <item m="1" x="1676"/>
        <item m="1" x="6725"/>
        <item m="1" x="4466"/>
        <item m="1" x="5408"/>
        <item m="1" x="2407"/>
        <item m="1" x="4260"/>
        <item m="1" x="6179"/>
        <item m="1" x="3928"/>
        <item m="1" x="3047"/>
        <item m="1" x="1039"/>
        <item m="1" x="6450"/>
        <item m="1" x="5395"/>
        <item m="1" x="2850"/>
        <item m="1" x="4697"/>
        <item m="1" x="1442"/>
        <item m="1" x="1791"/>
        <item m="1" x="1459"/>
        <item m="1" x="3058"/>
        <item m="1" x="6730"/>
        <item m="1" x="1417"/>
        <item m="1" x="3805"/>
        <item m="1" x="4956"/>
        <item m="1" x="3434"/>
        <item m="1" x="787"/>
        <item m="1" x="4604"/>
        <item m="1" x="5369"/>
        <item m="1" x="6043"/>
        <item m="1" x="5505"/>
        <item m="1" x="3921"/>
        <item m="1" x="1152"/>
        <item m="1" x="2706"/>
        <item m="1" x="5737"/>
        <item m="1" x="1976"/>
        <item m="1" x="1333"/>
        <item m="1" x="5116"/>
        <item m="1" x="2652"/>
        <item m="1" x="6314"/>
        <item m="1" x="2154"/>
        <item m="1" x="3022"/>
        <item m="1" x="3303"/>
        <item m="1" x="6523"/>
        <item m="1" x="494"/>
        <item m="1" x="6854"/>
        <item m="1" x="3631"/>
        <item m="1" x="6824"/>
        <item m="1" x="6542"/>
        <item m="1" x="934"/>
        <item m="1" x="6079"/>
        <item m="1" x="5323"/>
        <item m="1" x="4706"/>
        <item m="1" x="765"/>
        <item m="1" x="6038"/>
        <item m="1" x="5555"/>
        <item m="1" x="6583"/>
        <item m="1" x="6997"/>
        <item m="1" x="7021"/>
        <item m="1" x="5389"/>
        <item m="1" x="3617"/>
        <item m="1" x="1569"/>
        <item m="1" x="1813"/>
        <item m="1" x="3531"/>
        <item m="1" x="1423"/>
        <item m="1" x="1654"/>
        <item m="1" x="3931"/>
        <item m="1" x="1051"/>
        <item m="1" x="855"/>
        <item m="1" x="6813"/>
        <item m="1" x="4360"/>
        <item m="1" x="2427"/>
        <item m="1" x="4259"/>
        <item m="1" x="3234"/>
        <item m="1" x="2976"/>
        <item m="1" x="4783"/>
        <item m="1" x="785"/>
        <item m="1" x="3253"/>
        <item m="1" x="600"/>
        <item m="1" x="5202"/>
        <item m="1" x="6143"/>
        <item m="1" x="5923"/>
        <item m="1" x="955"/>
        <item m="1" x="3108"/>
        <item m="1" x="6699"/>
        <item m="1" x="5513"/>
        <item m="1" x="872"/>
        <item m="1" x="5908"/>
        <item m="1" x="1866"/>
        <item m="1" x="478"/>
        <item m="1" x="798"/>
        <item m="1" x="1702"/>
        <item m="1" x="496"/>
        <item m="1" x="1525"/>
        <item m="1" x="4522"/>
        <item m="1" x="1618"/>
        <item m="1" x="6427"/>
        <item m="1" x="4482"/>
        <item m="1" x="3107"/>
        <item m="1" x="5602"/>
        <item m="1" x="614"/>
        <item m="1" x="5050"/>
        <item m="1" x="5690"/>
        <item m="1" x="6794"/>
        <item m="1" x="4273"/>
        <item m="1" x="2668"/>
        <item m="1" x="3674"/>
        <item m="1" x="3412"/>
        <item m="1" x="6789"/>
        <item m="1" x="4627"/>
        <item m="1" x="3794"/>
        <item m="1" x="944"/>
        <item m="1" x="2732"/>
        <item m="1" x="3250"/>
        <item m="1" x="964"/>
        <item m="1" x="5214"/>
        <item m="1" x="5721"/>
        <item m="1" x="4055"/>
        <item m="1" x="3247"/>
        <item m="1" x="2173"/>
        <item m="1" x="4003"/>
        <item m="1" x="1385"/>
        <item m="1" x="3180"/>
        <item m="1" x="6963"/>
        <item m="1" x="866"/>
        <item m="1" x="4182"/>
        <item m="1" x="2110"/>
        <item m="1" x="2370"/>
        <item m="1" x="4418"/>
        <item m="1" x="1230"/>
        <item m="1" x="6833"/>
        <item m="1" x="3934"/>
        <item m="1" x="3908"/>
        <item m="1" x="887"/>
        <item m="1" x="3612"/>
        <item m="1" x="3363"/>
        <item m="1" x="5536"/>
        <item m="1" x="6596"/>
        <item m="1" x="1886"/>
        <item m="1" x="3080"/>
        <item m="1" x="6414"/>
        <item m="1" x="4695"/>
        <item m="1" x="2710"/>
        <item m="1" x="3782"/>
        <item m="1" x="5453"/>
        <item m="1" x="5305"/>
        <item m="1" x="3553"/>
        <item m="1" x="489"/>
        <item m="1" x="2064"/>
        <item m="1" x="5705"/>
        <item m="1" x="2891"/>
        <item m="1" x="1299"/>
        <item m="1" x="1605"/>
        <item m="1" x="3360"/>
        <item m="1" x="3390"/>
        <item m="1" x="4423"/>
        <item m="1" x="1326"/>
        <item m="1" x="4654"/>
        <item m="1" x="6719"/>
        <item m="1" x="4247"/>
        <item m="1" x="3759"/>
        <item m="1" x="3970"/>
        <item m="1" x="5059"/>
        <item m="1" x="3037"/>
        <item m="1" x="3498"/>
        <item m="1" x="5414"/>
        <item m="1" x="5730"/>
        <item m="1" x="3391"/>
        <item m="1" x="1138"/>
        <item m="1" x="1609"/>
        <item m="1" x="7030"/>
        <item m="1" x="5790"/>
        <item m="1" x="6619"/>
        <item m="1" x="711"/>
        <item m="1" x="3737"/>
        <item m="1" x="567"/>
        <item m="1" x="3871"/>
        <item m="1" x="3718"/>
        <item m="1" x="2340"/>
        <item m="1" x="4853"/>
        <item m="1" x="3252"/>
        <item m="1" x="4143"/>
        <item m="1" x="3540"/>
        <item m="1" x="1191"/>
        <item m="1" x="5956"/>
        <item m="1" x="6203"/>
        <item m="1" x="871"/>
        <item m="1" x="5046"/>
        <item m="1" x="2344"/>
        <item m="1" x="647"/>
        <item m="1" x="6616"/>
        <item m="1" x="4859"/>
        <item m="1" x="6783"/>
        <item m="1" x="2056"/>
        <item m="1" x="1048"/>
        <item m="1" x="5812"/>
        <item m="1" x="2096"/>
        <item m="1" x="588"/>
        <item m="1" x="3745"/>
        <item m="1" x="984"/>
        <item m="1" x="5256"/>
        <item m="1" x="6202"/>
        <item m="1" x="4910"/>
        <item m="1" x="663"/>
        <item m="1" x="4897"/>
        <item m="1" x="2112"/>
        <item m="1" x="4224"/>
        <item m="1" x="3057"/>
        <item m="1" x="5698"/>
        <item m="1" x="3230"/>
        <item m="1" x="6742"/>
        <item m="1" x="2908"/>
        <item m="1" x="6994"/>
        <item m="1" x="5137"/>
        <item m="1" x="6823"/>
        <item m="1" x="3029"/>
        <item m="1" x="3521"/>
        <item m="1" x="6825"/>
        <item m="1" x="5604"/>
        <item m="1" x="4363"/>
        <item m="1" x="6649"/>
        <item m="1" x="847"/>
        <item m="1" x="3473"/>
        <item m="1" x="6351"/>
        <item m="1" x="2433"/>
        <item m="1" x="5944"/>
        <item m="1" x="3330"/>
        <item m="1" x="1999"/>
        <item m="1" x="3031"/>
        <item m="1" x="4846"/>
        <item m="1" x="2766"/>
        <item m="1" x="3374"/>
        <item m="1" x="5787"/>
        <item m="1" x="1139"/>
        <item m="1" x="6313"/>
        <item m="1" x="2552"/>
        <item m="1" x="3485"/>
        <item m="1" x="2221"/>
        <item m="1" x="3062"/>
        <item m="1" x="3642"/>
        <item m="1" x="1383"/>
        <item m="1" x="1648"/>
        <item m="1" x="6559"/>
        <item m="1" x="1289"/>
        <item m="1" x="4011"/>
        <item m="1" x="6461"/>
        <item m="1" x="1833"/>
        <item m="1" x="5450"/>
        <item m="1" x="4426"/>
        <item m="1" x="6614"/>
        <item m="1" x="6643"/>
        <item m="1" x="3568"/>
        <item m="1" x="2534"/>
        <item m="1" x="5625"/>
        <item m="1" x="3835"/>
        <item m="1" x="2633"/>
        <item m="1" x="5914"/>
        <item m="1" x="2587"/>
        <item m="1" x="1815"/>
        <item m="1" x="3648"/>
        <item m="1" x="1128"/>
        <item m="1" x="6489"/>
        <item m="1" x="2941"/>
        <item m="1" x="2967"/>
        <item m="1" x="5049"/>
        <item m="1" x="3559"/>
        <item m="1" x="4941"/>
        <item m="1" x="1817"/>
        <item m="1" x="5008"/>
        <item m="1" x="4874"/>
        <item m="1" x="2222"/>
        <item m="1" x="2792"/>
        <item m="1" x="6684"/>
        <item m="1" x="6940"/>
        <item m="1" x="6353"/>
        <item m="1" x="2906"/>
        <item m="1" x="3865"/>
        <item m="1" x="3368"/>
        <item m="1" x="3762"/>
        <item m="1" x="501"/>
        <item m="1" x="718"/>
        <item m="1" x="6867"/>
        <item m="1" x="2832"/>
        <item m="1" x="2294"/>
        <item m="1" x="3727"/>
        <item m="1" x="2847"/>
        <item m="1" x="3516"/>
        <item m="1" x="580"/>
        <item m="1" x="2142"/>
        <item m="1" x="4779"/>
        <item m="1" x="2353"/>
        <item m="1" x="5680"/>
        <item m="1" x="5766"/>
        <item m="1" x="2423"/>
        <item m="1" x="3607"/>
        <item m="1" x="1562"/>
        <item m="1" x="599"/>
        <item m="1" x="1766"/>
        <item m="1" x="4954"/>
        <item m="1" x="712"/>
        <item m="1" x="2707"/>
        <item m="1" x="6840"/>
        <item m="1" x="3453"/>
        <item m="1" x="6900"/>
        <item m="1" x="3618"/>
        <item m="1" x="5888"/>
        <item m="1" x="1269"/>
        <item m="1" x="3455"/>
        <item m="1" x="4400"/>
        <item m="1" x="6675"/>
        <item m="1" x="6393"/>
        <item m="1" x="558"/>
        <item m="1" x="1863"/>
        <item m="1" x="3249"/>
        <item m="1" x="1678"/>
        <item m="1" x="5806"/>
        <item m="1" x="3200"/>
        <item m="1" x="5597"/>
        <item m="1" x="1108"/>
        <item m="1" x="6819"/>
        <item m="1" x="547"/>
        <item m="1" x="4500"/>
        <item m="1" x="1043"/>
        <item m="1" x="3578"/>
        <item m="1" x="4452"/>
        <item m="1" x="3775"/>
        <item m="1" x="4361"/>
        <item m="1" x="6801"/>
        <item m="1" x="6567"/>
        <item m="1" x="5300"/>
        <item m="1" x="1205"/>
        <item m="1" x="5865"/>
        <item m="1" x="2522"/>
        <item m="1" x="4754"/>
        <item m="1" x="4067"/>
        <item m="1" x="4641"/>
        <item m="1" x="3671"/>
        <item m="1" x="2330"/>
        <item m="1" x="3093"/>
        <item m="1" x="2925"/>
        <item m="1" x="2933"/>
        <item m="1" x="2200"/>
        <item m="1" x="2675"/>
        <item m="1" x="1384"/>
        <item m="1" x="6028"/>
        <item m="1" x="4672"/>
        <item m="1" x="6493"/>
        <item m="1" x="550"/>
        <item m="1" x="1087"/>
        <item m="1" x="2400"/>
        <item m="1" x="3670"/>
        <item m="1" x="6290"/>
        <item m="1" x="519"/>
        <item m="1" x="4835"/>
        <item m="1" x="5191"/>
        <item m="1" x="1821"/>
        <item m="1" x="3678"/>
        <item m="1" x="6987"/>
        <item m="1" x="4732"/>
        <item m="1" x="922"/>
        <item m="1" x="3875"/>
        <item m="1" x="4959"/>
        <item m="1" x="1164"/>
        <item m="1" x="2771"/>
        <item m="1" x="2189"/>
        <item m="1" x="2292"/>
        <item m="1" x="2145"/>
        <item m="1" x="2997"/>
        <item m="1" x="3841"/>
        <item m="1" x="4617"/>
        <item m="1" x="831"/>
        <item m="1" x="3679"/>
        <item m="1" x="5800"/>
        <item m="1" x="5371"/>
        <item m="1" x="4409"/>
        <item m="1" x="562"/>
        <item m="1" x="3349"/>
        <item m="1" x="5405"/>
        <item m="1" x="4475"/>
        <item m="1" x="1316"/>
        <item m="1" x="1314"/>
        <item m="1" x="1663"/>
        <item m="1" x="1047"/>
        <item m="1" x="5672"/>
        <item m="1" x="6557"/>
        <item m="1" x="508"/>
        <item m="1" x="6916"/>
        <item m="1" x="5810"/>
        <item m="1" x="5320"/>
        <item m="1" x="3829"/>
        <item m="1" x="3983"/>
        <item m="1" x="3744"/>
        <item m="1" x="6865"/>
        <item m="1" x="6497"/>
        <item m="1" x="6445"/>
        <item m="1" x="6566"/>
        <item m="1" x="4735"/>
        <item m="1" x="1645"/>
        <item m="1" x="5197"/>
        <item m="1" x="3748"/>
        <item m="1" x="5110"/>
        <item m="1" x="4621"/>
        <item m="1" x="3497"/>
        <item m="1" x="6671"/>
        <item m="1" x="2342"/>
        <item m="1" x="741"/>
        <item m="1" x="4678"/>
        <item m="1" x="3087"/>
        <item m="1" x="1547"/>
        <item m="1" x="1236"/>
        <item m="1" x="2602"/>
        <item m="1" x="3388"/>
        <item m="1" x="1101"/>
        <item m="1" x="1359"/>
        <item m="1" x="640"/>
        <item m="1" x="6546"/>
        <item m="1" x="4498"/>
        <item m="1" x="6131"/>
        <item m="1" x="5303"/>
        <item m="1" x="1990"/>
        <item m="1" x="516"/>
        <item m="1" x="836"/>
        <item m="1" x="5760"/>
        <item m="1" x="2596"/>
        <item m="1" x="4295"/>
        <item m="1" x="6171"/>
        <item m="1" x="1147"/>
        <item m="1" x="609"/>
        <item m="1" x="6303"/>
        <item m="1" x="5518"/>
        <item m="1" x="6576"/>
        <item m="1" x="2628"/>
        <item m="1" x="2102"/>
        <item m="1" x="3076"/>
        <item m="1" x="5777"/>
        <item m="1" x="4480"/>
        <item m="1" x="2801"/>
        <item m="1" x="6114"/>
        <item m="1" x="4963"/>
        <item m="1" x="2855"/>
        <item m="1" x="3627"/>
        <item m="1" x="2440"/>
        <item m="1" x="6275"/>
        <item m="1" x="3708"/>
        <item m="1" x="4105"/>
        <item m="1" x="2383"/>
        <item m="1" x="2378"/>
        <item m="1" x="4569"/>
        <item m="1" x="5615"/>
        <item m="1" x="3000"/>
        <item m="1" x="542"/>
        <item m="1" x="4210"/>
        <item m="1" x="1229"/>
        <item m="1" x="678"/>
        <item m="1" x="6198"/>
        <item m="1" x="5467"/>
        <item m="1" x="800"/>
        <item m="1" x="3767"/>
        <item m="1" x="6096"/>
        <item m="1" x="4834"/>
        <item m="1" x="3139"/>
        <item m="1" x="6346"/>
        <item m="1" x="5588"/>
        <item m="1" x="2691"/>
        <item m="1" x="6093"/>
        <item m="1" x="4207"/>
        <item m="1" x="2373"/>
        <item m="1" x="1156"/>
        <item m="1" x="6113"/>
        <item m="1" x="5986"/>
        <item m="1" x="5851"/>
        <item m="1" x="3419"/>
        <item m="1" x="6005"/>
        <item m="1" x="4792"/>
        <item m="1" x="2109"/>
        <item m="1" x="2401"/>
        <item m="1" x="1335"/>
        <item m="1" x="4231"/>
        <item m="1" x="2519"/>
        <item m="1" x="1038"/>
        <item m="1" x="2645"/>
        <item m="1" x="700"/>
        <item m="1" x="2235"/>
        <item m="1" x="6049"/>
        <item m="1" x="5070"/>
        <item m="1" x="6919"/>
        <item m="1" x="4096"/>
        <item m="1" x="2437"/>
        <item m="1" x="1458"/>
        <item m="1" x="5981"/>
        <item m="1" x="5719"/>
        <item m="1" x="6993"/>
        <item m="1" x="781"/>
        <item m="1" x="653"/>
        <item m="1" x="4194"/>
        <item m="1" x="6998"/>
        <item m="1" x="1780"/>
        <item m="1" x="5160"/>
        <item m="1" x="4248"/>
        <item m="1" x="4334"/>
        <item m="1" x="1855"/>
        <item m="1" x="3447"/>
        <item m="1" x="6642"/>
        <item m="1" x="3778"/>
        <item m="1" x="4573"/>
        <item m="1" x="4711"/>
        <item m="1" x="6339"/>
        <item m="1" x="4497"/>
        <item m="1" x="5674"/>
        <item m="1" x="5835"/>
        <item m="1" x="6749"/>
        <item m="1" x="6273"/>
        <item m="1" x="543"/>
        <item m="1" x="5707"/>
        <item m="1" x="2283"/>
        <item m="1" x="4610"/>
        <item m="1" x="1926"/>
        <item m="1" x="4185"/>
        <item m="1" x="6982"/>
        <item m="1" x="4213"/>
        <item m="1" x="2172"/>
        <item m="1" x="4933"/>
        <item m="1" x="4539"/>
        <item m="1" x="693"/>
        <item m="1" x="2742"/>
        <item m="1" x="6496"/>
        <item m="1" x="5589"/>
        <item m="1" x="3975"/>
        <item m="1" x="4906"/>
        <item m="1" x="2124"/>
        <item m="1" x="3723"/>
        <item m="1" x="2206"/>
        <item m="1" x="5107"/>
        <item m="1" x="1414"/>
        <item m="1" x="6641"/>
        <item m="1" x="5919"/>
        <item m="1" x="602"/>
        <item m="1" x="5879"/>
        <item m="1" x="596"/>
        <item m="1" x="927"/>
        <item m="1" x="4749"/>
        <item m="1" x="2462"/>
        <item m="1" x="5213"/>
        <item m="1" x="5906"/>
        <item m="1" x="1321"/>
        <item m="1" x="5313"/>
        <item m="1" x="4623"/>
        <item m="1" x="5215"/>
        <item m="1" x="4036"/>
        <item m="1" x="4613"/>
        <item m="1" x="6912"/>
        <item m="1" x="1100"/>
        <item m="1" x="3428"/>
        <item m="1" x="4646"/>
        <item m="1" x="3275"/>
        <item m="1" x="3948"/>
        <item m="1" x="2301"/>
        <item m="1" x="6259"/>
        <item m="1" x="6361"/>
        <item m="1" x="3792"/>
        <item m="1" x="4879"/>
        <item m="1" x="5585"/>
        <item m="1" x="3431"/>
        <item m="1" x="4153"/>
        <item m="1" x="6690"/>
        <item m="1" x="529"/>
        <item m="1" x="1590"/>
        <item m="1" x="5364"/>
        <item m="1" x="4620"/>
        <item m="1" x="2814"/>
        <item m="1" x="5143"/>
        <item m="1" x="6073"/>
        <item m="1" x="1485"/>
        <item m="1" x="1403"/>
        <item m="1" x="830"/>
        <item m="1" x="1165"/>
        <item m="1" x="1960"/>
        <item m="1" x="3789"/>
        <item m="1" x="2680"/>
        <item m="1" x="6429"/>
        <item m="1" x="3666"/>
        <item m="1" x="5854"/>
        <item m="1" x="1007"/>
        <item m="1" x="3721"/>
        <item m="1" x="1750"/>
        <item m="1" x="633"/>
        <item m="1" x="5651"/>
        <item m="1" x="1465"/>
        <item m="1" x="5964"/>
        <item m="1" x="6506"/>
        <item m="1" x="6774"/>
        <item m="1" x="4068"/>
        <item m="1" x="5778"/>
        <item m="1" x="829"/>
        <item m="1" x="1953"/>
        <item m="1" x="4401"/>
        <item m="1" x="4883"/>
        <item m="1" x="3554"/>
        <item m="1" x="1633"/>
        <item m="1" x="757"/>
        <item m="1" x="5745"/>
        <item m="1" x="3765"/>
        <item m="1" x="5236"/>
        <item m="1" x="6626"/>
        <item m="1" x="3890"/>
        <item m="1" x="2017"/>
        <item m="1" x="2798"/>
        <item m="1" x="3787"/>
        <item m="1" x="3032"/>
        <item m="1" x="758"/>
        <item m="1" x="6208"/>
        <item m="1" x="5136"/>
        <item m="1" x="4015"/>
        <item m="1" x="4113"/>
        <item m="1" x="4739"/>
        <item m="1" x="2107"/>
        <item m="1" x="2349"/>
        <item m="1" x="1554"/>
        <item m="1" x="5702"/>
        <item m="1" x="5069"/>
        <item m="1" x="2071"/>
        <item m="1" x="6245"/>
        <item m="1" x="6278"/>
        <item m="1" x="1757"/>
        <item m="1" x="1571"/>
        <item m="1" x="2765"/>
        <item m="1" x="1363"/>
        <item m="1" x="1643"/>
        <item m="1" x="5896"/>
        <item m="1" x="1055"/>
        <item m="1" x="5454"/>
        <item m="1" x="2763"/>
        <item m="1" x="623"/>
        <item m="1" x="732"/>
        <item m="1" x="4668"/>
        <item m="1" x="1849"/>
        <item m="1" x="1237"/>
        <item m="1" x="1779"/>
        <item m="1" x="4878"/>
        <item m="1" x="2278"/>
        <item m="1" x="650"/>
        <item m="1" x="3731"/>
        <item m="1" x="5490"/>
        <item m="1" x="2778"/>
        <item m="1" x="3508"/>
        <item m="1" x="1481"/>
        <item m="1" x="3389"/>
        <item m="1" x="4852"/>
        <item m="1" x="5010"/>
        <item m="1" x="4728"/>
        <item m="1" x="5824"/>
        <item m="1" x="3294"/>
        <item m="1" x="1460"/>
        <item m="1" x="5394"/>
        <item m="1" x="2780"/>
        <item m="1" x="622"/>
        <item m="1" x="3943"/>
        <item m="1" x="3350"/>
        <item m="1" x="5880"/>
        <item m="1" x="5917"/>
        <item m="1" x="5088"/>
        <item m="1" x="5344"/>
        <item m="1" x="4526"/>
        <item m="1" x="1398"/>
        <item m="1" x="2204"/>
        <item m="1" x="728"/>
        <item m="1" x="5684"/>
        <item m="1" x="3585"/>
        <item m="1" x="1435"/>
        <item m="1" x="1542"/>
        <item m="1" x="6844"/>
        <item m="1" x="4774"/>
        <item m="1" x="2907"/>
        <item m="1" x="2524"/>
        <item m="1" x="5361"/>
        <item m="1" x="6961"/>
        <item m="1" x="3799"/>
        <item m="1" x="996"/>
        <item m="1" x="3584"/>
        <item m="1" x="4624"/>
        <item m="1" x="3961"/>
        <item m="1" x="2796"/>
        <item m="1" x="730"/>
        <item m="1" x="761"/>
        <item m="1" x="4518"/>
        <item m="1" x="1267"/>
        <item m="1" x="4030"/>
        <item m="1" x="5281"/>
        <item m="1" x="1510"/>
        <item m="1" x="5091"/>
        <item m="1" x="1404"/>
        <item m="1" x="5237"/>
        <item m="1" x="1673"/>
        <item m="1" x="5415"/>
        <item m="1" x="3936"/>
        <item m="1" x="4008"/>
        <item m="1" x="3639"/>
        <item m="1" x="3246"/>
        <item m="1" x="2293"/>
        <item m="1" x="852"/>
        <item m="1" x="4342"/>
        <item m="1" x="5493"/>
        <item m="1" x="561"/>
        <item m="1" x="5663"/>
        <item m="1" x="5209"/>
        <item m="1" x="573"/>
        <item m="1" x="6391"/>
        <item m="1" x="2182"/>
        <item m="1" x="3899"/>
        <item m="1" x="1241"/>
        <item m="1" x="1773"/>
        <item m="1" x="5194"/>
        <item m="1" x="2815"/>
        <item m="1" x="6802"/>
        <item m="1" x="6831"/>
        <item m="1" x="6829"/>
        <item m="1" x="4149"/>
        <item m="1" x="6301"/>
        <item m="1" x="6533"/>
        <item m="1" x="3845"/>
        <item m="1" x="1728"/>
        <item m="1" x="4771"/>
        <item m="1" x="3018"/>
        <item m="1" x="6914"/>
        <item m="1" x="2873"/>
        <item m="1" x="814"/>
        <item m="1" x="6175"/>
        <item m="1" x="4429"/>
        <item m="1" x="1093"/>
        <item m="1" x="4407"/>
        <item m="1" x="6437"/>
        <item m="1" x="4087"/>
        <item m="1" x="6527"/>
        <item m="1" x="3438"/>
        <item m="1" x="5412"/>
        <item m="1" x="641"/>
        <item m="1" x="2940"/>
        <item m="1" x="1349"/>
        <item m="1" x="4325"/>
        <item m="1" x="3130"/>
        <item m="1" x="1143"/>
        <item m="1" x="3813"/>
        <item m="1" x="1850"/>
        <item m="1" x="3511"/>
        <item m="1" x="4339"/>
        <item m="1" x="975"/>
        <item m="1" x="5793"/>
        <item m="1" x="4443"/>
        <item m="1" x="3002"/>
        <item m="1" x="2202"/>
        <item m="1" x="5966"/>
        <item m="1" x="4598"/>
        <item m="1" x="2517"/>
        <item m="1" x="2723"/>
        <item m="1" x="6933"/>
        <item m="1" x="1471"/>
        <item m="1" x="465"/>
        <item m="1" x="4957"/>
        <item m="1" x="2209"/>
        <item m="1" x="1252"/>
        <item m="1" x="4166"/>
        <item m="1" x="3728"/>
        <item m="1" x="2948"/>
        <item m="1" x="5551"/>
        <item m="1" x="822"/>
        <item m="1" x="3322"/>
        <item m="1" x="2688"/>
        <item m="1" x="5516"/>
        <item m="1" x="6837"/>
        <item m="1" x="621"/>
        <item m="1" x="4601"/>
        <item m="1" x="2492"/>
        <item m="1" x="751"/>
        <item m="1" x="2984"/>
        <item m="1" x="4225"/>
        <item m="1" x="3484"/>
        <item m="1" x="2027"/>
        <item m="1" x="5040"/>
        <item m="1" x="4477"/>
        <item m="1" x="5241"/>
        <item m="1" x="5660"/>
        <item m="1" x="4553"/>
        <item m="1" x="5335"/>
        <item m="1" x="4919"/>
        <item m="1" x="3533"/>
        <item m="1" x="2969"/>
        <item m="1" x="484"/>
        <item m="1" x="2007"/>
        <item m="1" x="6615"/>
        <item m="1" x="5941"/>
        <item m="1" x="6651"/>
        <item m="1" x="6767"/>
        <item m="1" x="4827"/>
        <item m="1" x="2869"/>
        <item m="1" x="740"/>
        <item m="1" x="4814"/>
        <item m="1" x="2098"/>
        <item m="1" x="6793"/>
        <item m="1" x="989"/>
        <item m="1" x="1245"/>
        <item m="1" x="1713"/>
        <item m="1" x="5397"/>
        <item m="1" x="4393"/>
        <item m="1" x="1382"/>
        <item m="1" x="1597"/>
        <item m="1" x="6253"/>
        <item m="1" x="3435"/>
        <item m="1" x="6475"/>
        <item m="1" x="5280"/>
        <item m="1" x="6915"/>
        <item m="1" x="5407"/>
        <item m="1" x="6126"/>
        <item m="1" x="2006"/>
        <item m="1" x="5196"/>
        <item m="1" x="5693"/>
        <item m="1" x="1706"/>
        <item m="1" x="5411"/>
        <item m="1" x="4035"/>
        <item m="1" x="2484"/>
        <item m="1" x="4608"/>
        <item m="1" x="6261"/>
        <item m="1" x="5155"/>
        <item m="1" x="1041"/>
        <item m="1" x="595"/>
        <item m="1" x="5560"/>
        <item m="1" x="5895"/>
        <item m="1" x="5547"/>
        <item m="1" x="2434"/>
        <item m="1" x="949"/>
        <item m="1" x="3366"/>
        <item m="1" x="1370"/>
        <item m="1" x="1841"/>
        <item m="1" x="5823"/>
        <item m="1" x="6348"/>
        <item m="1" x="862"/>
        <item m="1" x="744"/>
        <item m="1" x="1958"/>
        <item m="1" x="6327"/>
        <item m="1" x="3847"/>
        <item m="1" x="3945"/>
        <item m="1" x="5294"/>
        <item m="1" x="1604"/>
        <item m="1" x="1883"/>
        <item m="1" x="5526"/>
        <item m="1" x="2225"/>
        <item m="1" x="4724"/>
        <item m="1" x="3003"/>
        <item m="1" x="6400"/>
        <item m="1" x="6674"/>
        <item m="1" x="4791"/>
        <item m="1" x="6520"/>
        <item m="1" x="3288"/>
        <item m="1" x="5757"/>
        <item m="1" x="5198"/>
        <item m="1" x="2573"/>
        <item m="1" x="869"/>
        <item m="1" x="1651"/>
        <item m="1" x="3050"/>
        <item m="1" x="2066"/>
        <item m="1" x="4021"/>
        <item m="1" x="6371"/>
        <item m="1" x="6075"/>
        <item m="1" x="4587"/>
        <item m="1" x="3394"/>
        <item m="1" x="3894"/>
        <item m="1" x="5195"/>
        <item m="1" x="2506"/>
        <item m="1" x="1874"/>
        <item m="1" x="4369"/>
        <item m="1" x="1983"/>
        <item m="1" x="5099"/>
        <item m="1" x="6763"/>
        <item m="1" x="2223"/>
        <item m="1" x="3619"/>
        <item m="1" x="4099"/>
        <item m="1" x="4665"/>
        <item m="1" x="6569"/>
        <item m="1" x="4023"/>
        <item m="1" x="2885"/>
        <item m="1" x="1188"/>
        <item m="1" x="2678"/>
        <item m="1" x="4609"/>
        <item m="1" x="1059"/>
        <item m="1" x="5789"/>
        <item m="1" x="6407"/>
        <item m="1" x="5751"/>
        <item m="1" x="4900"/>
        <item m="1" x="2426"/>
        <item m="1" x="3357"/>
        <item m="1" x="1932"/>
        <item m="1" x="1497"/>
        <item m="1" x="1248"/>
        <item m="1" x="3488"/>
        <item m="1" x="1424"/>
        <item m="1" x="6697"/>
        <item m="1" x="1816"/>
        <item m="1" x="7022"/>
        <item m="1" x="6218"/>
        <item m="1" x="1504"/>
        <item m="1" x="4830"/>
        <item m="1" x="1214"/>
        <item m="1" x="2022"/>
        <item m="1" x="686"/>
        <item m="1" x="1704"/>
        <item m="1" x="2208"/>
        <item m="1" x="6462"/>
        <item m="1" x="1723"/>
        <item m="1" x="5399"/>
        <item m="1" x="1482"/>
        <item m="1" x="5036"/>
        <item m="1" x="4417"/>
        <item m="1" x="513"/>
        <item m="1" x="721"/>
        <item m="1" x="1199"/>
        <item m="1" x="2774"/>
        <item m="1" x="2346"/>
        <item m="1" x="2456"/>
        <item m="1" x="3980"/>
        <item m="1" x="1677"/>
        <item m="1" x="3707"/>
        <item m="1" x="4032"/>
        <item m="1" x="2305"/>
        <item m="1" x="1789"/>
        <item m="1" x="485"/>
        <item m="1" x="6176"/>
        <item m="1" x="2972"/>
        <item m="1" x="3099"/>
        <item m="1" x="6168"/>
        <item m="1" x="6052"/>
        <item m="1" x="2625"/>
        <item m="1" x="3218"/>
        <item m="1" x="6209"/>
        <item m="1" x="4026"/>
        <item m="1" x="703"/>
        <item m="1" x="4328"/>
        <item m="1" x="3820"/>
        <item m="1" x="6115"/>
        <item m="1" x="6830"/>
        <item m="1" x="1985"/>
        <item m="1" x="4704"/>
        <item m="1" x="5027"/>
        <item m="1" x="5968"/>
        <item m="1" x="1871"/>
        <item m="1" x="3636"/>
        <item m="1" x="6045"/>
        <item m="1" x="4976"/>
        <item m="1" x="1622"/>
        <item m="1" x="6402"/>
        <item m="1" x="1835"/>
        <item m="1" x="883"/>
        <item m="1" x="4670"/>
        <item m="1" x="1641"/>
        <item m="1" x="4659"/>
        <item m="1" x="3586"/>
        <item m="1" x="2541"/>
        <item m="1" x="2598"/>
        <item m="1" x="3211"/>
        <item m="1" x="2020"/>
        <item m="1" x="5401"/>
        <item m="1" x="6212"/>
        <item m="1" x="890"/>
        <item m="1" x="2421"/>
        <item m="1" x="4344"/>
        <item m="1" x="4911"/>
        <item m="1" x="6803"/>
        <item m="1" x="476"/>
        <item m="1" x="5111"/>
        <item m="1" x="1629"/>
        <item m="1" x="2186"/>
        <item m="1" x="5179"/>
        <item m="1" x="2037"/>
        <item m="1" x="5989"/>
        <item m="1" x="5930"/>
        <item m="1" x="3452"/>
        <item m="1" x="5688"/>
        <item m="1" x="5539"/>
        <item m="1" x="916"/>
        <item m="1" x="3576"/>
        <item m="1" x="5377"/>
        <item m="1" x="2448"/>
        <item m="1" x="3972"/>
        <item m="1" x="879"/>
        <item m="1" x="1200"/>
        <item m="1" x="1700"/>
        <item m="1" x="6758"/>
        <item m="1" x="6033"/>
        <item m="1" x="1669"/>
        <item m="1" x="3652"/>
        <item m="1" x="3742"/>
        <item m="1" x="6587"/>
        <item m="1" x="5181"/>
        <item m="1" x="1344"/>
        <item m="1" x="4478"/>
        <item m="1" x="2289"/>
        <item m="1" x="1531"/>
        <item m="1" x="1365"/>
        <item m="1" x="1080"/>
        <item m="1" x="950"/>
        <item m="1" x="659"/>
        <item m="1" x="3369"/>
        <item m="1" x="3210"/>
        <item m="1" x="4201"/>
        <item m="1" x="3155"/>
        <item m="1" x="5530"/>
        <item m="1" x="6147"/>
        <item m="1" x="3944"/>
        <item m="1" x="5287"/>
        <item m="1" x="5512"/>
        <item m="1" x="3779"/>
        <item m="1" x="3608"/>
        <item m="1" x="1552"/>
        <item m="1" x="4571"/>
        <item m="1" x="5618"/>
        <item m="1" x="5711"/>
        <item m="1" x="2825"/>
        <item m="1" x="2392"/>
        <item m="1" x="4097"/>
        <item m="1" x="813"/>
        <item m="1" x="2079"/>
        <item m="1" x="6727"/>
        <item m="1" x="2156"/>
        <item m="1" x="669"/>
        <item m="1" x="4638"/>
        <item m="1" x="6026"/>
        <item m="1" x="4655"/>
        <item m="1" x="1169"/>
        <item m="1" x="780"/>
        <item m="1" x="1061"/>
        <item m="1" x="2121"/>
        <item m="1" x="3935"/>
        <item m="1" x="539"/>
        <item m="1" x="4866"/>
        <item m="1" x="3038"/>
        <item m="1" x="797"/>
        <item m="1" x="960"/>
        <item m="1" x="1023"/>
        <item m="1" x="3777"/>
        <item m="1" x="2777"/>
        <item m="1" x="5316"/>
        <item m="1" x="2722"/>
        <item m="1" x="4193"/>
        <item m="1" x="4950"/>
        <item m="1" x="6262"/>
        <item m="1" x="2105"/>
        <item m="1" x="6822"/>
        <item m="1" x="1451"/>
        <item m="1" x="2716"/>
        <item m="1" x="6297"/>
        <item m="1" x="3697"/>
        <item m="1" x="3021"/>
        <item m="1" x="5257"/>
        <item m="1" x="2306"/>
        <item m="1" x="4100"/>
        <item m="1" x="2266"/>
        <item m="1" x="3243"/>
        <item m="1" x="2698"/>
        <item m="1" x="1127"/>
        <item m="1" x="6018"/>
        <item m="1" x="5554"/>
        <item m="1" x="1752"/>
        <item m="1" x="4050"/>
        <item m="1" x="1719"/>
        <item m="1" x="3869"/>
        <item m="1" x="6633"/>
        <item m="1" x="3257"/>
        <item m="1" x="5550"/>
        <item m="1" x="3395"/>
        <item m="1" x="4556"/>
        <item m="1" x="4053"/>
        <item m="1" x="1386"/>
        <item m="1" x="4493"/>
        <item m="1" x="5487"/>
        <item m="1" x="5270"/>
        <item m="1" x="3091"/>
        <item m="1" x="4098"/>
        <item m="1" x="6884"/>
        <item m="1" x="3750"/>
        <item m="1" x="6118"/>
        <item m="1" x="1390"/>
        <item m="1" x="597"/>
        <item m="1" x="4045"/>
        <item m="1" x="5971"/>
        <item m="1" x="6585"/>
        <item m="1" x="3965"/>
        <item m="1" x="3822"/>
        <item m="1" x="2180"/>
        <item m="1" x="6432"/>
        <item m="1" x="5048"/>
        <item m="1" x="4073"/>
        <item m="1" x="4000"/>
        <item m="1" x="6722"/>
        <item m="1" x="6177"/>
        <item m="1" x="2043"/>
        <item m="1" x="5650"/>
        <item m="1" x="3701"/>
        <item m="1" x="1083"/>
        <item m="1" x="3138"/>
        <item m="1" x="3791"/>
        <item m="1" x="1699"/>
        <item m="1" x="2239"/>
        <item m="1" x="479"/>
        <item m="1" x="6373"/>
        <item m="1" x="2570"/>
        <item m="1" x="4382"/>
        <item m="1" x="5484"/>
        <item m="1" x="2523"/>
        <item m="1" x="2607"/>
        <item m="1" x="5739"/>
        <item m="1" x="4683"/>
        <item m="1" x="6453"/>
        <item m="1" x="5307"/>
        <item m="1" x="3414"/>
        <item m="1" x="2192"/>
        <item m="1" x="6923"/>
        <item m="1" x="1295"/>
        <item m="1" x="3802"/>
        <item m="1" x="2631"/>
        <item m="1" x="1290"/>
        <item m="1" x="5095"/>
        <item m="1" x="5304"/>
        <item m="1" x="2861"/>
        <item m="1" x="6635"/>
        <item m="1" x="677"/>
        <item m="1" x="5939"/>
        <item m="1" x="5732"/>
        <item m="1" x="1581"/>
        <item m="1" x="5738"/>
        <item m="1" x="5515"/>
        <item m="1" x="1685"/>
        <item m="1" x="3872"/>
        <item m="1" x="1487"/>
        <item m="1" x="2047"/>
        <item m="1" x="3214"/>
        <item m="1" x="1674"/>
        <item m="1" x="3998"/>
        <item m="1" x="943"/>
        <item m="1" x="6263"/>
        <item m="1" x="6343"/>
        <item m="1" x="804"/>
        <item m="1" x="1946"/>
        <item m="1" x="4031"/>
        <item m="1" x="5120"/>
        <item m="1" x="5882"/>
        <item m="1" x="724"/>
        <item m="1" x="4763"/>
        <item m="1" x="6331"/>
        <item m="1" x="2311"/>
        <item m="1" x="6334"/>
        <item m="1" x="1901"/>
        <item m="1" x="6065"/>
        <item m="1" x="4967"/>
        <item m="1" x="5341"/>
        <item m="1" x="2420"/>
        <item m="1" x="3278"/>
        <item m="1" x="481"/>
        <item m="1" x="5997"/>
        <item m="1" x="6170"/>
        <item m="1" x="5974"/>
        <item m="1" x="4576"/>
        <item m="1" x="1836"/>
        <item m="1" x="5665"/>
        <item m="1" x="1895"/>
        <item m="1" x="2023"/>
        <item m="1" x="6030"/>
        <item m="1" x="6041"/>
        <item m="1" x="3370"/>
        <item m="1" x="6223"/>
        <item m="1" x="1136"/>
        <item m="1" x="4319"/>
        <item m="1" x="1914"/>
        <item m="1" x="2494"/>
        <item m="1" x="1207"/>
        <item m="1" x="5314"/>
        <item m="1" x="6858"/>
        <item m="1" x="5011"/>
        <item m="1" x="2151"/>
        <item m="1" x="6606"/>
        <item m="1" x="3655"/>
        <item m="1" x="5785"/>
        <item m="1" x="4232"/>
        <item m="1" x="6878"/>
        <item m="1" x="3489"/>
        <item m="1" x="6658"/>
        <item m="1" x="4496"/>
        <item m="1" x="3333"/>
        <item m="1" x="4729"/>
        <item m="1" x="2197"/>
        <item m="1" x="487"/>
        <item m="1" x="1467"/>
        <item m="1" x="1210"/>
        <item m="1" x="935"/>
        <item m="1" x="4757"/>
        <item m="1" x="2952"/>
        <item m="1" x="5709"/>
        <item m="1" x="2329"/>
        <item m="1" x="4585"/>
        <item m="1" x="6680"/>
        <item m="1" x="2761"/>
        <item m="1" x="1301"/>
        <item m="1" x="6781"/>
        <item m="1" x="5356"/>
        <item m="1" x="3035"/>
        <item m="1" x="6600"/>
        <item m="1" x="4978"/>
        <item m="1" x="826"/>
        <item m="1" x="6142"/>
        <item m="1" x="910"/>
        <item m="1" x="540"/>
        <item m="1" x="4806"/>
        <item m="1" x="5507"/>
        <item m="1" x="4074"/>
        <item m="1" x="5491"/>
        <item m="1" x="1980"/>
        <item m="1" x="4235"/>
        <item m="1" x="6768"/>
        <item m="1" x="4615"/>
        <item m="1" x="6778"/>
        <item m="1" x="7000"/>
        <item m="1" x="1737"/>
        <item m="1" x="1694"/>
        <item m="1" x="3724"/>
        <item m="1" x="6318"/>
        <item m="1" x="2376"/>
        <item m="1" x="3201"/>
        <item m="1" x="7004"/>
        <item m="1" x="4440"/>
        <item m="1" x="3803"/>
        <item m="1" x="3175"/>
        <item m="1" x="1952"/>
        <item m="1" x="5480"/>
        <item m="1" x="2369"/>
        <item m="1" x="2887"/>
        <item m="1" x="3353"/>
        <item m="1" x="5692"/>
        <item m="1" x="704"/>
        <item m="1" x="3465"/>
        <item m="1" x="5109"/>
        <item m="1" x="2931"/>
        <item m="1" x="5061"/>
        <item m="1" x="2337"/>
        <item m="1" x="6396"/>
        <item m="1" x="4517"/>
        <item m="1" x="3205"/>
        <item m="1" x="2664"/>
        <item m="1" x="3304"/>
        <item m="1" x="4249"/>
        <item m="1" x="6846"/>
        <item m="1" x="4217"/>
        <item m="1" x="2657"/>
        <item m="1" x="2245"/>
        <item m="1" x="4842"/>
        <item m="1" x="4914"/>
        <item m="1" x="5403"/>
        <item m="1" x="4433"/>
        <item m="1" x="6423"/>
        <item m="1" x="3255"/>
        <item m="1" x="5756"/>
        <item m="1" x="1318"/>
        <item m="1" x="1322"/>
        <item m="1" x="3466"/>
        <item m="1" x="998"/>
        <item m="1" x="1475"/>
        <item m="1" x="6255"/>
        <item m="1" x="6335"/>
        <item m="1" x="5643"/>
        <item m="1" x="4152"/>
        <item m="1" x="1697"/>
        <item m="1" x="1140"/>
        <item m="1" x="6319"/>
        <item m="1" x="3493"/>
        <item m="1" x="3702"/>
        <item m="1" x="4804"/>
        <item m="1" x="3417"/>
        <item m="1" x="3092"/>
        <item m="1" x="748"/>
        <item m="1" x="2332"/>
        <item m="1" x="3410"/>
        <item m="1" x="2684"/>
        <item m="1" x="3347"/>
        <item m="1" x="3122"/>
        <item m="1" x="6678"/>
        <item m="1" x="4315"/>
        <item m="1" x="2630"/>
        <item m="1" x="2001"/>
        <item m="1" x="3340"/>
        <item m="1" x="4769"/>
        <item m="1" x="6336"/>
        <item m="1" x="1103"/>
        <item m="1" x="5621"/>
        <item m="1" x="1776"/>
        <item m="1" x="5678"/>
        <item m="1" x="3801"/>
        <item m="1" x="1004"/>
        <item m="1" x="3197"/>
        <item m="1" x="6248"/>
        <item m="1" x="2082"/>
        <item m="1" x="1968"/>
        <item m="1" x="5420"/>
        <item m="1" x="2198"/>
        <item m="1" x="1226"/>
        <item m="1" x="1462"/>
        <item m="1" x="5354"/>
        <item m="1" x="6723"/>
        <item m="1" x="795"/>
        <item m="1" x="3236"/>
        <item m="1" x="1360"/>
        <item m="1" x="630"/>
        <item m="1" x="2865"/>
        <item m="1" x="5858"/>
        <item m="1" x="6706"/>
        <item m="1" x="5676"/>
        <item m="1" x="2612"/>
        <item m="1" x="753"/>
        <item m="1" x="3181"/>
        <item m="1" x="5444"/>
        <item m="1" x="4699"/>
        <item m="1" x="1194"/>
        <item m="1" x="3536"/>
        <item m="1" x="6743"/>
        <item m="1" x="6322"/>
        <item m="1" x="5762"/>
        <item m="1" x="5375"/>
        <item m="1" x="3182"/>
        <item m="1" x="1964"/>
        <item m="1" x="3232"/>
        <item m="1" x="940"/>
        <item m="1" x="5520"/>
        <item m="1" x="2568"/>
        <item m="1" x="2093"/>
        <item m="1" x="4893"/>
        <item m="1" x="4523"/>
        <item m="1" x="6229"/>
        <item m="1" x="4078"/>
        <item m="1" x="6721"/>
        <item m="1" x="7027"/>
        <item m="1" x="2393"/>
        <item m="1" x="2111"/>
        <item m="1" x="3611"/>
        <item m="1" x="738"/>
        <item m="1" x="2271"/>
        <item m="1" x="5838"/>
        <item m="1" x="1131"/>
        <item m="1" x="5472"/>
        <item m="1" x="790"/>
        <item m="1" x="4912"/>
        <item m="1" x="1443"/>
        <item m="1" x="5747"/>
        <item m="1" x="1193"/>
        <item m="1" x="5188"/>
        <item m="1" x="6771"/>
        <item m="1" x="3985"/>
        <item m="1" x="6287"/>
        <item m="1" x="4744"/>
        <item m="1" x="2486"/>
        <item m="1" x="3228"/>
        <item m="1" x="2715"/>
        <item m="1" x="4084"/>
        <item m="1" x="4896"/>
        <item m="1" x="5936"/>
        <item m="1" x="1899"/>
        <item m="1" x="3159"/>
        <item m="1" x="3953"/>
        <item m="1" x="1949"/>
        <item m="1" x="2048"/>
        <item m="1" x="2843"/>
        <item m="1" x="1967"/>
        <item m="1" x="6412"/>
        <item m="1" x="4252"/>
        <item m="1" x="932"/>
        <item m="1" x="1991"/>
        <item m="1" x="691"/>
        <item m="1" x="1325"/>
        <item m="1" x="4824"/>
        <item m="1" x="5771"/>
        <item m="1" x="1851"/>
        <item m="1" x="6981"/>
        <item m="1" x="545"/>
        <item m="1" x="5753"/>
        <item m="1" x="1887"/>
        <item m="1" x="1861"/>
        <item m="1" x="3613"/>
        <item m="1" x="2431"/>
        <item m="1" x="2092"/>
        <item m="1" x="3733"/>
        <item m="1" x="2475"/>
        <item m="1" x="6440"/>
        <item m="1" x="5525"/>
        <item m="1" x="2734"/>
        <item m="1" x="2094"/>
        <item m="1" x="1005"/>
        <item m="1" x="5782"/>
        <item m="1" x="5434"/>
        <item m="1" x="3023"/>
        <item m="1" x="5251"/>
        <item m="1" x="3166"/>
        <item m="1" x="3622"/>
        <item m="1" x="4750"/>
        <item m="1" x="1818"/>
        <item m="1" x="4958"/>
        <item m="1" x="3241"/>
        <item m="1" x="6180"/>
        <item m="1" x="5717"/>
        <item m="1" x="3772"/>
        <item m="1" x="6841"/>
        <item m="1" x="4730"/>
        <item m="1" x="5234"/>
        <item m="1" x="4700"/>
        <item m="1" x="1538"/>
        <item m="1" x="3463"/>
        <item m="1" x="828"/>
        <item m="1" x="5644"/>
        <item m="1" x="5150"/>
        <item m="1" x="6748"/>
        <item m="1" x="5722"/>
        <item m="1" x="5301"/>
        <item m="1" x="5726"/>
        <item m="1" x="4255"/>
        <item m="1" x="6062"/>
        <item m="1" x="6372"/>
        <item m="1" x="5464"/>
        <item m="1" x="1698"/>
        <item m="1" x="987"/>
        <item m="1" x="6008"/>
        <item m="1" x="3582"/>
        <item m="1" x="3177"/>
        <item m="1" x="2248"/>
        <item m="1" x="6630"/>
        <item m="1" x="3958"/>
        <item m="1" x="2720"/>
        <item m="1" x="6539"/>
        <item m="1" x="2296"/>
        <item m="1" x="3700"/>
        <item m="1" x="2003"/>
        <item m="1" x="2730"/>
        <item m="1" x="6863"/>
        <item m="1" x="534"/>
        <item m="1" x="4689"/>
        <item m="1" x="6913"/>
        <item m="1" x="4134"/>
        <item m="1" x="1751"/>
        <item m="1" x="4044"/>
        <item m="1" x="5258"/>
        <item m="1" x="1615"/>
        <item m="1" x="4007"/>
        <item m="1" x="6156"/>
        <item m="1" x="2135"/>
        <item m="1" x="6568"/>
        <item m="1" x="1912"/>
        <item m="1" x="4986"/>
        <item m="1" x="6660"/>
        <item m="1" x="1296"/>
        <item m="1" x="661"/>
        <item m="1" x="6490"/>
        <item m="1" x="717"/>
        <item m="1" x="5572"/>
        <item m="1" x="3341"/>
        <item m="1" x="680"/>
        <item m="1" x="2737"/>
        <item m="1" x="2030"/>
        <item m="1" x="4937"/>
        <item m="1" x="1291"/>
        <item m="1" x="2561"/>
        <item m="1" x="2116"/>
        <item m="1" x="3773"/>
        <item m="1" x="2547"/>
        <item m="1" x="5462"/>
        <item m="1" x="6504"/>
        <item m="1" x="544"/>
        <item m="1" x="3318"/>
        <item m="1" x="6988"/>
        <item m="1" x="604"/>
        <item m="1" x="4071"/>
        <item m="1" x="6762"/>
        <item m="1" x="6664"/>
        <item m="1" x="3189"/>
        <item m="1" x="6820"/>
        <item m="1" x="2895"/>
        <item m="1" x="3571"/>
        <item m="1" x="2095"/>
        <item m="1" x="1253"/>
        <item m="1" x="5385"/>
        <item m="1" x="767"/>
        <item m="1" x="6139"/>
        <item m="1" x="1052"/>
        <item m="1" x="5568"/>
        <item m="1" x="3164"/>
        <item m="1" x="5205"/>
        <item m="1" x="4826"/>
        <item m="1" x="2822"/>
        <item m="1" x="3646"/>
        <item m="1" x="4027"/>
        <item m="1" x="3432"/>
        <item m="1" x="3720"/>
        <item m="1" x="782"/>
        <item m="1" x="5003"/>
        <item m="1" x="6488"/>
        <item m="1" x="2733"/>
        <item m="1" x="2263"/>
        <item m="1" x="4313"/>
        <item m="1" x="1656"/>
        <item m="1" x="2303"/>
        <item m="1" x="6595"/>
        <item m="1" x="4708"/>
        <item m="1" x="3730"/>
        <item m="1" x="2258"/>
        <item m="1" x="5714"/>
        <item m="1" x="2280"/>
        <item m="1" x="6492"/>
        <item m="1" x="6444"/>
        <item m="1" x="2232"/>
        <item m="1" x="882"/>
        <item m="1" x="4850"/>
        <item m="1" x="666"/>
        <item m="1" x="1511"/>
        <item m="1" x="708"/>
        <item m="1" x="3179"/>
        <item m="1" x="2125"/>
        <item m="1" x="1921"/>
        <item m="1" x="5632"/>
        <item m="1" x="4913"/>
        <item m="1" x="7001"/>
        <item m="1" x="2758"/>
        <item m="1" x="4969"/>
        <item m="1" x="4176"/>
        <item m="1" x="1402"/>
        <item m="1" x="3552"/>
        <item m="1" x="6899"/>
        <item m="1" x="5606"/>
        <item m="1" x="2190"/>
        <item m="1" x="2629"/>
        <item m="1" x="6755"/>
        <item m="1" x="5898"/>
        <item m="1" x="499"/>
        <item m="1" x="1686"/>
        <item m="1" x="4160"/>
        <item m="1" x="5056"/>
        <item m="1" x="6128"/>
        <item m="1" x="3604"/>
        <item m="1" x="1764"/>
        <item m="1" x="3910"/>
        <item m="1" x="770"/>
        <item m="1" x="1167"/>
        <item m="1" x="2859"/>
        <item m="1" x="2565"/>
        <item m="1" x="6551"/>
        <item m="1" x="2039"/>
        <item m="1" x="2425"/>
        <item m="1" x="4870"/>
        <item m="1" x="6485"/>
        <item m="1" x="1118"/>
        <item m="1" x="2551"/>
        <item m="1" x="592"/>
        <item m="1" x="3867"/>
        <item m="1" x="2554"/>
        <item m="1" x="3170"/>
        <item m="1" x="904"/>
        <item m="1" x="4025"/>
        <item m="1" x="3649"/>
        <item m="1" x="5365"/>
        <item m="1" x="1256"/>
        <item m="1" x="4930"/>
        <item m="1" x="7015"/>
        <item m="1" x="2882"/>
        <item m="1" x="1916"/>
        <item m="1" x="4396"/>
        <item m="1" x="5565"/>
        <item m="1" x="1115"/>
        <item m="1" x="2595"/>
        <item m="1" x="4140"/>
        <item m="1" x="3625"/>
        <item m="1" x="1514"/>
        <item m="1" x="2416"/>
        <item m="1" x="1812"/>
        <item m="1" x="4600"/>
        <item m="1" x="6149"/>
        <item m="1" x="5534"/>
        <item m="1" x="3950"/>
        <item m="1" x="3195"/>
        <item m="1" x="5382"/>
        <item m="1" x="3526"/>
        <item m="1" x="6726"/>
        <item m="1" x="5277"/>
        <item m="1" x="3114"/>
        <item m="1" x="4692"/>
        <item m="1" x="4251"/>
        <item m="1" x="2256"/>
        <item m="1" x="7014"/>
        <item m="1" x="6736"/>
        <item m="1" x="4636"/>
        <item m="1" x="3886"/>
        <item m="1" x="1499"/>
        <item m="1" x="3468"/>
        <item m="1" x="2806"/>
        <item m="1" x="2726"/>
        <item m="1" x="2977"/>
        <item m="1" x="675"/>
        <item m="1" x="5955"/>
        <item m="1" x="1596"/>
        <item m="1" x="2902"/>
        <item m="1" x="1522"/>
        <item m="1" x="5929"/>
        <item m="1" x="3229"/>
        <item m="1" x="1623"/>
        <item m="1" x="6686"/>
        <item m="1" x="1900"/>
        <item m="1" x="2703"/>
        <item m="1" x="4294"/>
        <item m="1" x="2893"/>
        <item m="1" x="3290"/>
        <item m="1" x="2750"/>
        <item m="1" x="5172"/>
        <item m="1" x="587"/>
        <item m="1" x="3548"/>
        <item m="1" x="1682"/>
        <item m="1" x="3272"/>
        <item m="1" x="4351"/>
        <item m="1" x="742"/>
        <item m="1" x="4060"/>
        <item m="1" x="3128"/>
        <item m="1" x="1625"/>
        <item m="1" x="5178"/>
        <item m="1" x="2582"/>
        <item m="1" x="4467"/>
        <item m="1" x="4274"/>
        <item m="1" x="1675"/>
        <item m="1" x="3601"/>
        <item m="1" x="2168"/>
        <item m="1" x="6770"/>
        <item m="1" x="1814"/>
        <item m="1" x="2897"/>
        <item m="1" x="3480"/>
        <item m="1" x="3682"/>
        <item m="1" x="3415"/>
        <item m="1" x="6415"/>
        <item m="1" x="4582"/>
        <item m="1" x="5581"/>
        <item m="1" x="5996"/>
        <item m="1" x="1595"/>
        <item m="1" x="5329"/>
        <item m="1" x="610"/>
        <item m="1" x="4355"/>
        <item m="1" x="971"/>
        <item m="1" x="2014"/>
        <item m="1" x="2316"/>
        <item m="1" x="5348"/>
        <item m="1" x="6766"/>
        <item m="1" x="6895"/>
        <item m="1" x="5559"/>
        <item m="1" x="4124"/>
        <item m="1" x="3149"/>
        <item m="1" x="6751"/>
        <item m="1" x="2660"/>
        <item m="1" x="3837"/>
        <item m="1" x="1275"/>
        <item m="1" x="1898"/>
        <item m="1" x="5817"/>
        <item m="1" x="6952"/>
        <item m="1" x="2768"/>
        <item m="1" x="5815"/>
        <item m="1" x="4285"/>
        <item m="1" x="3712"/>
        <item m="1" x="6543"/>
        <item m="1" x="2788"/>
        <item m="1" x="5164"/>
        <item m="1" x="1088"/>
        <item m="1" x="6560"/>
        <item m="1" x="1273"/>
        <item m="1" x="2693"/>
        <item m="1" x="4748"/>
        <item m="1" x="3729"/>
        <item m="1" x="2622"/>
        <item m="1" x="2957"/>
        <item m="1" x="5097"/>
        <item m="1" x="2614"/>
        <item m="1" x="4747"/>
        <item m="1" x="5390"/>
        <item m="1" x="5455"/>
        <item m="1" x="4076"/>
        <item m="1" x="3163"/>
        <item m="1" x="5211"/>
        <item m="1" x="1249"/>
        <item m="1" x="5857"/>
        <item m="1" x="4514"/>
        <item m="1" x="5080"/>
        <item m="1" x="6879"/>
        <item m="1" x="6591"/>
        <item m="1" x="4464"/>
        <item m="1" x="483"/>
        <item m="1" x="5870"/>
        <item m="1" x="5381"/>
        <item m="1" x="2950"/>
        <item m="1" x="2934"/>
        <item m="1" x="1971"/>
        <item m="1" x="3990"/>
        <item m="1" x="6685"/>
        <item m="1" x="2954"/>
        <item m="1" x="4064"/>
        <item m="1" x="5273"/>
        <item m="1" x="5994"/>
        <item m="1" x="1125"/>
        <item m="1" x="5239"/>
        <item m="1" x="1392"/>
        <item m="1" x="722"/>
        <item m="1" x="656"/>
        <item m="1" x="3135"/>
        <item m="1" x="6138"/>
        <item m="1" x="2672"/>
        <item m="1" x="4625"/>
        <item m="1" x="747"/>
        <item m="1" x="3365"/>
        <item m="1" x="2846"/>
        <item m="1" x="7009"/>
        <item m="1" x="2299"/>
        <item m="1" x="4041"/>
        <item m="1" x="584"/>
        <item m="1" x="6448"/>
        <item m="1" x="5247"/>
        <item m="1" x="5125"/>
        <item m="1" x="2776"/>
        <item m="1" x="6932"/>
        <item m="1" x="2548"/>
        <item m="1" x="941"/>
        <item m="1" x="2971"/>
        <item m="1" x="2144"/>
        <item m="1" x="3599"/>
        <item m="1" x="2658"/>
        <item m="1" x="5752"/>
        <item m="1" x="2018"/>
        <item m="1" x="1998"/>
        <item m="1" x="925"/>
        <item m="1" x="3884"/>
        <item m="1" x="554"/>
        <item m="1" x="4016"/>
        <item m="1" x="4461"/>
        <item m="1" x="2508"/>
        <item m="1" x="1879"/>
        <item m="1" x="716"/>
        <item m="1" x="1896"/>
        <item m="1" x="895"/>
        <item m="1" x="2410"/>
        <item m="1" x="5346"/>
        <item m="1" x="6456"/>
        <item m="1" x="5837"/>
        <item m="1" x="3251"/>
        <item m="1" x="1206"/>
        <item m="1" x="3102"/>
        <item m="1" x="3932"/>
        <item m="1" x="763"/>
        <item m="1" x="2502"/>
        <item m="1" x="3396"/>
        <item m="1" x="6631"/>
        <item m="1" x="2962"/>
        <item m="1" x="2059"/>
        <item m="1" x="5102"/>
        <item m="1" x="832"/>
        <item m="1" x="1928"/>
        <item m="1" x="2386"/>
        <item m="1" x="4410"/>
        <item m="1" x="6847"/>
        <item m="1" x="2343"/>
        <item m="1" x="6286"/>
        <item m="1" x="3157"/>
        <item m="1" x="5891"/>
        <item m="1" x="2174"/>
        <item m="1" x="6929"/>
        <item m="1" x="4430"/>
        <item m="1" x="6071"/>
        <item m="1" x="1587"/>
        <item m="1" x="5610"/>
        <item m="1" x="6081"/>
        <item m="1" x="2055"/>
        <item m="1" x="4308"/>
        <item m="1" x="2764"/>
        <item m="1" x="2351"/>
        <item m="1" x="4964"/>
        <item m="1" x="1523"/>
        <item m="1" x="5404"/>
        <item m="1" x="1246"/>
        <item m="1" x="6957"/>
        <item m="1" x="4535"/>
        <item m="1" x="3555"/>
        <item m="1" x="523"/>
        <item m="1" x="5749"/>
        <item m="1" x="4037"/>
        <item m="1" x="3923"/>
        <item m="1" x="2352"/>
        <item m="1" x="5959"/>
        <item m="1" x="1242"/>
        <item m="1" x="4072"/>
        <item m="1" x="4133"/>
        <item m="1" x="2233"/>
        <item m="1" x="4599"/>
        <item m="1" x="5262"/>
        <item m="1" x="2719"/>
        <item m="1" x="6720"/>
        <item m="1" x="4651"/>
        <item m="1" x="3471"/>
        <item m="1" x="4996"/>
        <item m="1" x="1539"/>
        <item m="1" x="5132"/>
        <item m="1" x="6637"/>
        <item m="1" x="5324"/>
        <item m="1" x="2621"/>
        <item m="1" x="4349"/>
        <item m="1" x="3657"/>
        <item m="1" x="2717"/>
        <item m="1" x="3408"/>
        <item m="1" x="1141"/>
        <item m="1" x="3111"/>
        <item m="1" x="6574"/>
        <item m="1" x="2394"/>
        <item m="1" x="699"/>
        <item m="1" x="1753"/>
        <item m="1" x="6578"/>
        <item m="1" x="6522"/>
        <item m="1" x="1050"/>
        <item m="1" x="1606"/>
        <item m="1" x="5497"/>
        <item m="1" x="2218"/>
        <item m="1" x="2045"/>
        <item m="1" x="3424"/>
        <item m="1" x="2795"/>
        <item m="1" x="491"/>
        <item m="1" x="2708"/>
        <item m="1" x="3160"/>
        <item m="1" x="5378"/>
        <item m="1" x="1579"/>
        <item m="1" x="5169"/>
        <item m="1" x="6931"/>
        <item m="1" x="1614"/>
        <item m="1" x="1826"/>
        <item m="1" x="5269"/>
        <item m="1" x="620"/>
        <item m="1" x="6068"/>
        <item m="1" x="1951"/>
        <item m="1" x="2428"/>
        <item m="1" x="4386"/>
        <item m="1" x="3188"/>
        <item m="1" x="5708"/>
        <item m="1" x="1244"/>
        <item m="1" x="968"/>
        <item m="1" x="2802"/>
        <item m="1" x="1524"/>
        <item m="1" x="6893"/>
        <item m="1" x="6740"/>
        <item m="1" x="4741"/>
        <item m="1" x="4301"/>
        <item m="1" x="6387"/>
        <item m="1" x="1369"/>
        <item m="1" x="5829"/>
        <item m="1" x="4583"/>
        <item m="1" x="3216"/>
        <item m="1" x="4435"/>
        <item m="1" x="510"/>
        <item m="1" x="3152"/>
        <item m="1" x="5508"/>
        <item m="1" x="4174"/>
        <item m="1" x="1027"/>
        <item m="1" x="6679"/>
        <item m="1" x="6099"/>
        <item m="1" x="4962"/>
        <item m="1" x="4525"/>
        <item m="1" x="6669"/>
        <item m="1" x="6421"/>
        <item m="1" x="4151"/>
        <item m="1" x="6098"/>
        <item m="1" x="1371"/>
        <item m="1" x="5417"/>
        <item m="1" x="6777"/>
        <item m="1" x="3989"/>
        <item m="1" x="6519"/>
        <item m="1" x="6127"/>
        <item m="1" x="1938"/>
        <item m="1" x="5553"/>
        <item m="1" x="1794"/>
        <item m="1" x="5683"/>
        <item m="1" x="1642"/>
        <item m="1" x="3472"/>
        <item m="1" x="1473"/>
        <item m="1" x="1611"/>
        <item m="1" x="4278"/>
        <item m="1" x="4886"/>
        <item m="1" x="1037"/>
        <item m="1" x="4977"/>
        <item m="1" x="4691"/>
        <item m="1" x="2924"/>
        <item m="1" x="6091"/>
        <item m="1" x="5961"/>
        <item m="1" x="4175"/>
        <item m="1" x="1688"/>
        <item m="1" x="4108"/>
        <item m="1" x="3693"/>
        <item m="1" x="568"/>
        <item m="1" x="4951"/>
        <item m="1" x="4533"/>
        <item m="1" x="1578"/>
        <item m="1" x="5006"/>
        <item m="1" x="1067"/>
        <item m="1" x="5733"/>
        <item m="1" x="796"/>
        <item m="1" x="5185"/>
        <item m="1" x="2603"/>
        <item m="1" x="3566"/>
        <item m="1" x="1183"/>
        <item m="1" x="6494"/>
        <item m="1" x="1561"/>
        <item m="1" x="3039"/>
        <item m="1" x="3825"/>
        <item m="1" x="6399"/>
        <item m="1" x="3215"/>
        <item m="1" x="6197"/>
        <item m="1" x="1690"/>
        <item m="1" x="5445"/>
        <item m="1" x="878"/>
        <item m="1" x="5679"/>
        <item m="1" x="1357"/>
        <item m="1" x="4091"/>
        <item m="1" x="4127"/>
        <item m="1" x="1724"/>
        <item m="1" x="5200"/>
        <item m="1" x="4331"/>
        <item m="1" x="6484"/>
        <item m="1" x="2312"/>
        <item m="1" x="5781"/>
        <item m="1" x="3676"/>
        <item m="1" x="1028"/>
        <item m="1" x="3900"/>
        <item m="1" x="1955"/>
        <item m="1" x="594"/>
        <item m="1" x="5594"/>
        <item m="1" x="768"/>
        <item m="1" x="2371"/>
        <item m="1" x="4431"/>
        <item m="1" x="4204"/>
        <item m="1" x="2745"/>
        <item m="1" x="560"/>
        <item m="1" x="3918"/>
        <item m="1" x="6882"/>
        <item m="1" x="2053"/>
        <item m="1" x="4488"/>
        <item m="1" x="2347"/>
        <item m="1" x="4733"/>
        <item m="1" x="3104"/>
        <item m="1" x="2754"/>
        <item m="1" x="5228"/>
        <item m="1" x="4236"/>
        <item m="1" x="6937"/>
        <item m="1" x="4793"/>
        <item m="1" x="3470"/>
        <item m="1" x="2578"/>
        <item m="1" x="3467"/>
        <item m="1" x="6531"/>
        <item m="1" x="1775"/>
        <item m="1" x="4145"/>
        <item m="1" x="4402"/>
        <item m="1" x="4101"/>
        <item m="1" x="4611"/>
        <item m="1" x="2535"/>
        <item m="1" x="3112"/>
        <item m="1" x="2097"/>
        <item m="1" x="6417"/>
        <item m="1" x="2367"/>
        <item m="1" x="3754"/>
        <item m="1" x="6424"/>
        <item m="1" x="4882"/>
        <item m="1" x="6434"/>
        <item m="1" x="644"/>
        <item m="1" x="5468"/>
        <item m="1" x="2729"/>
        <item m="1" x="2052"/>
        <item m="1" x="2956"/>
        <item m="1" x="5446"/>
        <item m="1" x="3483"/>
        <item m="1" x="3661"/>
        <item m="1" x="5067"/>
        <item m="1" x="1078"/>
        <item m="1" x="3142"/>
        <item m="1" x="1211"/>
        <item m="1" x="3284"/>
        <item m="1" x="4755"/>
        <item m="1" x="1707"/>
        <item m="1" x="1170"/>
        <item m="1" x="4368"/>
        <item m="1" x="4001"/>
        <item m="1" x="1474"/>
        <item m="1" x="3196"/>
        <item m="1" x="1727"/>
        <item m="1" x="1009"/>
        <item m="1" x="5922"/>
        <item m="1" x="4971"/>
        <item m="1" x="3605"/>
        <item m="1" x="1277"/>
        <item m="1" x="1937"/>
        <item m="1" x="2309"/>
        <item m="1" x="5801"/>
        <item m="1" x="1135"/>
        <item m="1" x="4054"/>
        <item m="1" x="1743"/>
        <item m="1" x="3691"/>
        <item m="1" x="2021"/>
        <item m="1" x="891"/>
        <item m="1" x="5943"/>
        <item m="1" x="500"/>
        <item m="1" x="1839"/>
        <item m="1" x="6592"/>
        <item m="1" x="2276"/>
        <item m="1" x="755"/>
        <item m="1" x="4974"/>
        <item m="1" x="4340"/>
        <item m="1" x="1947"/>
        <item m="1" x="4309"/>
        <item m="1" x="3996"/>
        <item m="1" x="3086"/>
        <item m="1" x="899"/>
        <item m="1" x="2322"/>
        <item m="1" x="2274"/>
        <item m="1" x="3083"/>
        <item m="1" x="4262"/>
        <item m="1" x="3892"/>
        <item m="1" x="6378"/>
        <item m="1" x="5168"/>
        <item m="1" x="1190"/>
        <item m="1" x="690"/>
        <item m="1" x="1733"/>
        <item m="1" x="3136"/>
        <item m="1" x="2131"/>
        <item m="1" x="4444"/>
        <item m="1" x="4927"/>
        <item m="1" x="5626"/>
        <item m="1" x="3860"/>
        <item m="1" x="6618"/>
        <item m="1" x="6276"/>
        <item m="1" x="3231"/>
        <item m="1" x="2036"/>
        <item m="1" x="3764"/>
        <item m="1" x="759"/>
        <item m="1" x="6827"/>
        <item m="1" x="5422"/>
        <item m="1" x="3947"/>
        <item m="1" x="1692"/>
        <item m="1" x="1846"/>
        <item m="1" x="1034"/>
        <item m="1" x="2529"/>
        <item m="1" x="2755"/>
        <item m="1" x="5767"/>
        <item m="1" x="6939"/>
        <item m="1" x="6190"/>
        <item m="1" x="1781"/>
        <item m="1" x="3664"/>
        <item m="1" x="749"/>
        <item m="1" x="6365"/>
        <item m="1" x="6390"/>
        <item m="1" x="1503"/>
        <item m="1" x="3056"/>
        <item m="1" x="2453"/>
        <item m="1" x="3814"/>
        <item m="1" x="3796"/>
        <item m="1" x="2286"/>
        <item m="1" x="6561"/>
        <item m="1" x="2704"/>
        <item m="1" x="2062"/>
        <item m="1" x="5638"/>
        <item m="1" x="4277"/>
        <item m="1" x="3713"/>
        <item m="1" x="2241"/>
        <item m="1" x="2473"/>
        <item m="1" x="3924"/>
        <item m="1" x="5842"/>
        <item m="1" x="4039"/>
        <item m="1" x="1875"/>
        <item m="1" x="6640"/>
        <item m="1" x="923"/>
        <item m="1" x="6274"/>
        <item m="1" x="3208"/>
        <item m="1" x="3137"/>
        <item m="1" x="5223"/>
        <item m="1" x="2919"/>
        <item m="1" x="5147"/>
        <item m="1" x="1395"/>
        <item m="1" x="2555"/>
        <item m="1" x="5580"/>
        <item m="1" x="5327"/>
        <item m="1" x="4345"/>
        <item m="1" x="4129"/>
        <item m="1" x="921"/>
        <item m="1" x="2178"/>
        <item m="1" x="6502"/>
        <item m="1" x="2689"/>
        <item m="1" x="1069"/>
        <item m="1" x="6594"/>
        <item m="1" x="5261"/>
        <item m="1" x="4246"/>
        <item m="1" x="4520"/>
        <item m="1" x="2217"/>
        <item m="1" x="756"/>
        <item m="1" x="1959"/>
        <item m="1" x="3667"/>
        <item m="1" x="6564"/>
        <item m="1" x="4707"/>
        <item m="1" x="5500"/>
        <item m="1" x="6964"/>
        <item m="1" x="4490"/>
        <item m="1" x="1920"/>
        <item m="1" x="5521"/>
        <item m="1" x="3490"/>
        <item m="1" x="2762"/>
        <item m="1" x="3774"/>
        <item m="1" x="5799"/>
        <item m="1" x="786"/>
        <item m="1" x="5696"/>
        <item m="1" x="6927"/>
        <item m="1" x="2862"/>
        <item m="1" x="4904"/>
        <item m="1" x="1178"/>
        <item m="1" x="4701"/>
        <item m="1" x="5822"/>
        <item m="1" x="6505"/>
        <item m="1" x="6784"/>
        <item m="1" x="4643"/>
        <item m="1" x="4989"/>
        <item m="1" x="789"/>
        <item m="1" x="2960"/>
        <item m="1" x="6632"/>
        <item m="1" x="5231"/>
        <item m="1" x="5342"/>
        <item m="1" x="1268"/>
        <item m="1" x="6089"/>
        <item m="1" x="6185"/>
        <item m="1" x="5012"/>
        <item m="1" x="3183"/>
        <item m="1" x="3849"/>
        <item m="1" x="3008"/>
        <item m="1" x="4722"/>
        <item m="1" x="1974"/>
        <item m="1" x="2797"/>
        <item m="1" x="6945"/>
        <item m="1" x="4849"/>
        <item m="1" x="3133"/>
        <item m="1" x="6970"/>
        <item m="1" x="2042"/>
        <item m="1" x="6404"/>
        <item m="1" x="1270"/>
        <item m="1" x="685"/>
        <item m="1" x="5315"/>
        <item m="1" x="6501"/>
        <item m="1" x="6645"/>
        <item m="1" x="5969"/>
        <item m="1" x="2012"/>
        <item m="1" x="4552"/>
        <item m="1" x="1792"/>
        <item m="1" x="5983"/>
        <item m="1" x="6425"/>
        <item m="1" x="4648"/>
        <item m="1" x="5376"/>
        <item m="1" x="1150"/>
        <item m="1" x="631"/>
        <item m="1" x="1994"/>
        <item m="1" x="5161"/>
        <item m="1" x="6655"/>
        <item m="1" x="2791"/>
        <item m="1" x="2363"/>
        <item m="1" x="2884"/>
        <item m="1" x="5942"/>
        <item m="1" x="5972"/>
        <item m="1" x="5068"/>
        <item m="1" x="2663"/>
        <item m="1" x="3052"/>
        <item m="1" x="912"/>
        <item m="1" x="809"/>
        <item m="1" x="1060"/>
        <item m="1" x="6153"/>
        <item m="1" x="5406"/>
        <item m="1" x="3124"/>
        <item m="1" x="5834"/>
        <item m="1" x="6385"/>
        <item m="1" x="2838"/>
        <item m="1" x="2900"/>
        <item m="1" x="5805"/>
        <item m="1" x="2398"/>
        <item m="1" x="2786"/>
        <item m="1" x="1024"/>
        <item m="1" x="6996"/>
        <item m="1" x="3626"/>
        <item m="1" x="1520"/>
        <item m="1" x="1867"/>
        <item m="1" x="1771"/>
        <item m="1" x="4847"/>
        <item m="1" x="2050"/>
        <item m="1" x="1925"/>
        <item m="1" x="2514"/>
        <item m="1" x="980"/>
        <item m="1" x="4300"/>
        <item m="1" x="3640"/>
        <item m="1" x="4580"/>
        <item m="1" x="6698"/>
        <item m="1" x="3191"/>
        <item m="1" x="4384"/>
        <item m="1" x="6443"/>
        <item m="1" x="2067"/>
        <item m="1" x="2282"/>
        <item m="1" x="5318"/>
        <item m="1" x="1708"/>
        <item m="1" x="3054"/>
        <item m="1" x="6430"/>
        <item m="1" x="6467"/>
        <item m="1" x="2597"/>
        <item m="1" x="6101"/>
        <item m="1" x="3084"/>
        <item m="1" x="6711"/>
        <item m="1" x="4790"/>
        <item m="1" x="1997"/>
        <item m="1" x="4858"/>
        <item m="1" x="4424"/>
        <item m="1" x="1560"/>
        <item m="1" x="3832"/>
        <item m="1" x="2261"/>
        <item m="1" x="5142"/>
        <item m="1" x="1434"/>
        <item m="1" x="1838"/>
        <item m="1" x="3014"/>
        <item m="1" x="6602"/>
        <item m="1" x="3451"/>
        <item m="1" x="6366"/>
        <item m="1" x="4089"/>
        <item m="1" x="4984"/>
        <item m="1" x="1681"/>
        <item m="1" x="1196"/>
        <item m="1" x="2114"/>
        <item m="1" x="6455"/>
        <item m="1" x="1376"/>
        <item m="1" x="6330"/>
        <item m="1" x="495"/>
        <item m="1" x="5639"/>
        <item m="1" x="5104"/>
        <item m="1" x="3015"/>
        <item m="1" x="7002"/>
        <item m="1" x="4687"/>
        <item m="1" x="1358"/>
        <item m="1" x="6851"/>
        <item m="1" x="6581"/>
        <item m="1" x="733"/>
        <item m="1" x="467"/>
        <item m="1" x="1391"/>
        <item m="1" x="6474"/>
        <item m="1" x="2477"/>
        <item m="1" x="2989"/>
        <item m="1" x="628"/>
        <item m="1" x="736"/>
        <item m="1" x="5349"/>
        <item m="1" x="3974"/>
        <item m="1" x="2727"/>
        <item m="1" x="5047"/>
        <item m="1" x="522"/>
        <item m="1" x="5166"/>
        <item m="1" x="6241"/>
        <item m="1" x="1517"/>
        <item m="1" x="844"/>
        <item m="1" x="3977"/>
        <item m="1" x="6648"/>
        <item m="1" x="3479"/>
        <item m="1" x="2813"/>
        <item m="1" x="3878"/>
        <item m="1" x="6285"/>
        <item m="1" x="1008"/>
        <item m="1" x="870"/>
        <item m="1" x="4541"/>
        <item m="1" x="6452"/>
        <item m="1" x="4408"/>
        <item m="1" x="3643"/>
        <item m="1" x="2968"/>
        <item m="1" x="1077"/>
        <item m="1" x="3100"/>
        <item m="1" x="5988"/>
        <item m="1" x="1145"/>
        <item m="1" x="5482"/>
        <item m="1" x="4330"/>
        <item m="1" x="6920"/>
        <item m="1" x="2070"/>
        <item m="1" x="6051"/>
        <item m="1" x="5571"/>
        <item m="1" x="874"/>
        <item m="1" x="3593"/>
        <item m="1" x="6388"/>
        <item m="1" x="5117"/>
        <item m="1" x="3616"/>
        <item m="1" x="4717"/>
        <item m="1" x="5556"/>
        <item m="1" x="4170"/>
        <item m="1" x="5616"/>
        <item m="1" x="4999"/>
        <item m="1" x="6344"/>
        <item m="1" x="1502"/>
        <item m="1" x="2759"/>
        <item m="1" x="564"/>
        <item m="1" x="2002"/>
        <item m="1" x="2579"/>
        <item m="1" x="6859"/>
        <item m="1" x="6210"/>
        <item m="1" x="2849"/>
        <item m="1" x="1303"/>
        <item m="1" x="2417"/>
        <item m="1" x="696"/>
        <item m="1" x="3969"/>
        <item m="1" x="4549"/>
        <item m="1" x="5503"/>
        <item m="1" x="5193"/>
        <item m="1" x="565"/>
        <item m="1" x="1438"/>
        <item m="1" x="3503"/>
        <item m="1" x="4607"/>
        <item m="1" x="2279"/>
        <item m="1" x="6969"/>
        <item m="1" x="1529"/>
        <item m="1" x="1720"/>
        <item m="1" x="6709"/>
        <item m="1" x="6902"/>
        <item m="1" x="6646"/>
        <item m="1" x="2644"/>
        <item m="1" x="6037"/>
        <item m="1" x="4833"/>
        <item m="1" x="3659"/>
        <item m="1" x="1406"/>
        <item m="1" x="3429"/>
        <item m="1" x="6405"/>
        <item m="1" x="6458"/>
        <item m="1" x="774"/>
        <item m="1" x="2676"/>
        <item m="1" x="3758"/>
        <item m="1" x="3416"/>
        <item m="1" x="2930"/>
        <item m="1" x="6757"/>
        <item m="1" x="2214"/>
        <item m="1" x="5430"/>
        <item m="1" x="2537"/>
        <item m="1" x="3212"/>
        <item m="1" x="4081"/>
        <item m="1" x="1940"/>
        <item m="1" x="6272"/>
        <item m="1" x="2163"/>
        <item m="1" x="3346"/>
        <item m="1" x="1110"/>
        <item m="1" x="4242"/>
        <item m="1" x="4586"/>
        <item m="1" x="2721"/>
        <item m="1" x="1003"/>
        <item m="1" x="3876"/>
        <item m="1" x="3321"/>
        <item m="1" x="1323"/>
        <item m="1" x="3810"/>
        <item m="1" x="6162"/>
        <item m="1" x="6510"/>
        <item m="1" x="1655"/>
        <item m="1" x="4785"/>
        <item m="1" x="4800"/>
        <item m="1" x="1885"/>
        <item m="1" x="1397"/>
        <item m="1" x="4389"/>
        <item m="1" x="5642"/>
        <item m="1" x="1923"/>
        <item m="1" x="5015"/>
        <item m="1" x="6076"/>
        <item m="1" x="4995"/>
        <item m="1" x="3680"/>
        <item m="1" x="4736"/>
        <item m="1" x="2033"/>
        <item m="1" x="6195"/>
        <item m="1" x="4915"/>
        <item m="1" x="1889"/>
        <item m="1" x="3326"/>
        <item m="1" x="4051"/>
        <item m="1" x="2298"/>
        <item m="1" x="2024"/>
        <item m="1" x="5776"/>
        <item m="1" x="6471"/>
        <item m="1" x="2690"/>
        <item m="1" x="979"/>
        <item m="1" x="4546"/>
        <item m="1" x="5416"/>
        <item m="1" x="6039"/>
        <item m="1" x="1790"/>
        <item m="1" x="5321"/>
        <item m="1" x="1106"/>
        <item m="1" x="4158"/>
        <item m="1" x="3786"/>
        <item m="1" x="4463"/>
        <item m="1" x="4924"/>
        <item m="1" x="3592"/>
        <item m="1" x="1931"/>
        <item m="1" x="1056"/>
        <item m="1" x="6023"/>
        <item m="1" x="2983"/>
        <item m="1" x="4280"/>
        <item m="1" x="3423"/>
        <item m="1" x="6717"/>
        <item m="1" x="4111"/>
        <item m="1" x="729"/>
        <item m="1" x="1227"/>
        <item m="1" x="1422"/>
        <item m="1" x="1068"/>
        <item m="1" x="6839"/>
        <item m="1" x="2947"/>
        <item m="1" x="648"/>
        <item m="1" x="908"/>
        <item m="1" x="4180"/>
        <item m="1" x="5502"/>
        <item m="1" x="5609"/>
        <item m="1" x="6316"/>
        <item m="1" x="4716"/>
        <item m="1" x="4049"/>
        <item m="1" x="5272"/>
        <item m="1" x="2272"/>
        <item m="1" x="1011"/>
        <item m="1" x="1159"/>
        <item m="1" x="3874"/>
        <item m="1" x="5992"/>
        <item m="1" x="6563"/>
        <item m="1" x="2205"/>
        <item m="1" x="4472"/>
        <item m="1" x="2238"/>
        <item m="1" x="4807"/>
        <item m="1" x="5933"/>
        <item m="1" x="6818"/>
        <item m="1" x="651"/>
        <item m="1" x="2922"/>
        <item m="1" x="1534"/>
        <item m="1" x="1324"/>
        <item m="1" x="4484"/>
        <item m="1" x="5573"/>
        <item m="1" x="2800"/>
        <item m="1" x="4109"/>
        <item m="1" x="772"/>
        <item m="1" x="2783"/>
        <item m="1" x="5451"/>
        <item m="1" x="3119"/>
        <item m="1" x="6881"/>
        <item m="1" x="5020"/>
        <item m="1" x="5600"/>
        <item m="1" x="2259"/>
        <item m="1" x="6058"/>
        <item m="1" x="4063"/>
        <item m="1" x="1279"/>
        <item m="1" x="5613"/>
        <item m="1" x="1049"/>
        <item m="1" x="4332"/>
        <item m="1" x="4786"/>
        <item m="1" x="6357"/>
        <item m="1" x="3392"/>
        <item m="1" x="4531"/>
        <item m="1" x="3633"/>
        <item m="1" x="931"/>
        <item m="1" x="5419"/>
        <item m="1" x="6164"/>
        <item m="1" x="6983"/>
        <item m="1" x="591"/>
        <item m="1" x="4495"/>
        <item m="1" x="4511"/>
        <item m="1" x="6086"/>
        <item m="1" x="1054"/>
        <item m="1" x="2181"/>
        <item m="1" x="6325"/>
        <item m="1" x="4191"/>
        <item m="1" x="575"/>
        <item m="1" x="3153"/>
        <item m="1" x="3457"/>
        <item m="1" x="4437"/>
        <item m="1" x="4256"/>
        <item m="1" x="4920"/>
        <item m="1" x="4558"/>
        <item m="1" x="6072"/>
        <item m="1" x="1970"/>
        <item m="1" x="2709"/>
        <item m="1" x="1512"/>
        <item m="1" x="5221"/>
        <item m="1" x="3379"/>
        <item m="1" x="1687"/>
        <item m="1" x="5860"/>
        <item m="1" x="1890"/>
        <item m="1" x="7011"/>
        <item m="1" x="3373"/>
        <item m="1" x="5173"/>
        <item m="1" x="2994"/>
        <item m="1" x="2584"/>
        <item m="1" x="4279"/>
        <item m="1" x="1563"/>
        <item m="1" x="4816"/>
        <item m="1" x="4337"/>
        <item m="1" x="3888"/>
        <item m="1" x="6968"/>
        <item m="1" x="5298"/>
        <item m="1" x="5659"/>
        <item m="1" x="3895"/>
        <item m="1" x="3151"/>
        <item m="1" x="4422"/>
        <item m="1" x="1373"/>
        <item m="1" x="4829"/>
        <item m="1" x="2365"/>
        <item m="1" x="4985"/>
        <item m="1" x="3204"/>
        <item m="1" x="3545"/>
        <item m="1" x="2682"/>
        <item m="1" x="6422"/>
        <item m="1" x="2264"/>
        <item m="1" x="4718"/>
        <item m="1" x="3105"/>
        <item m="1" x="3203"/>
        <item m="1" x="5449"/>
        <item m="1" x="613"/>
        <item m="1" x="6094"/>
        <item m="1" x="4307"/>
        <item m="1" x="6173"/>
        <item m="1" x="2701"/>
        <item m="1" x="5691"/>
        <item m="1" x="1726"/>
        <item m="1" x="3505"/>
        <item m="1" x="2790"/>
        <item m="1" x="2122"/>
        <item m="1" x="6416"/>
        <item m="1" x="5735"/>
        <item m="1" x="6978"/>
        <item m="1" x="3988"/>
        <item m="1" x="4898"/>
        <item m="1" x="3320"/>
        <item m="1" x="5443"/>
        <item m="1" x="4570"/>
        <item m="1" x="4709"/>
        <item m="1" x="5601"/>
        <item m="1" x="1650"/>
        <item m="1" x="6886"/>
        <item m="1" x="5078"/>
        <item m="1" x="1220"/>
        <item m="1" x="5819"/>
        <item m="1" x="1225"/>
        <item m="1" x="1174"/>
        <item m="1" x="1094"/>
        <item m="1" x="3081"/>
        <item m="1" x="2973"/>
        <item m="1" x="4991"/>
        <item m="1" x="1877"/>
        <item m="1" x="2946"/>
        <item m="1" x="5510"/>
        <item m="1" x="4311"/>
        <item m="1" x="2074"/>
        <item m="1" x="1910"/>
        <item m="1" x="1582"/>
        <item m="1" x="2087"/>
        <item m="1" x="5998"/>
        <item m="1" x="2650"/>
        <item m="1" x="1965"/>
        <item m="1" x="4142"/>
        <item m="1" x="6392"/>
        <item m="1" x="2489"/>
        <item m="1" x="1584"/>
        <item m="1" x="4505"/>
        <item m="1" x="3600"/>
        <item m="1" x="1288"/>
        <item m="1" x="4578"/>
        <item m="1" x="3651"/>
        <item m="1" x="3574"/>
        <item m="1" x="4776"/>
        <item m="1" x="581"/>
        <item m="1" x="4597"/>
        <item m="1" x="3833"/>
        <item m="1" x="4455"/>
        <item m="1" x="1486"/>
        <item m="1" x="5656"/>
        <item m="1" x="4103"/>
        <item m="1" x="2576"/>
        <item m="1" x="1234"/>
        <item m="1" x="2010"/>
        <item m="1" x="3209"/>
        <item m="1" x="3752"/>
        <item m="1" x="3915"/>
        <item m="1" x="4880"/>
        <item m="1" x="6580"/>
        <item m="1" x="2540"/>
        <item m="1" x="1897"/>
        <item m="1" x="1767"/>
        <item m="1" x="4244"/>
        <item m="1" x="5367"/>
        <item m="1" x="1233"/>
        <item m="1" x="3520"/>
        <item m="1" x="4768"/>
        <item m="1" x="6908"/>
        <item m="1" x="6887"/>
        <item m="1" x="1948"/>
        <item m="1" x="6754"/>
        <item m="1" x="3909"/>
        <item m="1" x="4983"/>
        <item m="1" x="2844"/>
        <item m="1" x="2252"/>
        <item m="1" x="1015"/>
        <item m="1" x="3096"/>
        <item m="1" x="4086"/>
        <item m="1" x="1389"/>
        <item m="1" x="2267"/>
        <item m="1" x="5647"/>
        <item m="1" x="2480"/>
        <item m="1" x="6589"/>
        <item m="1" x="2669"/>
        <item m="1" x="3487"/>
        <item m="1" x="1548"/>
        <item m="1" x="1870"/>
        <item m="1" x="1507"/>
        <item m="1" x="2158"/>
        <item m="1" x="1154"/>
        <item m="1" x="3233"/>
        <item m="1" x="4419"/>
        <item m="1" x="4660"/>
        <item m="1" x="1461"/>
        <item m="1" x="473"/>
        <item m="1" x="2447"/>
        <item m="1" x="4163"/>
        <item m="1" x="4808"/>
        <item m="1" x="4136"/>
        <item m="1" x="3573"/>
        <item m="1" x="5566"/>
        <item m="1" x="723"/>
        <item m="1" x="4955"/>
        <item m="1" x="3046"/>
        <item m="1" x="6293"/>
        <item m="1" x="2910"/>
        <item m="1" x="4367"/>
        <item m="1" x="837"/>
        <item m="1" x="2981"/>
        <item m="1" x="4391"/>
        <item m="1" x="1329"/>
        <item m="1" x="5288"/>
        <item m="1" x="6059"/>
        <item m="1" x="1144"/>
        <item m="1" x="3852"/>
        <item m="1" x="3927"/>
        <item m="1" x="2531"/>
        <item m="1" x="3354"/>
        <item m="1" x="572"/>
        <item m="1" x="5980"/>
        <item m="1" x="1353"/>
        <item m="1" x="4778"/>
        <item m="1" x="2653"/>
        <item m="1" x="2269"/>
        <item m="1" x="875"/>
        <item m="1" x="5987"/>
        <item m="1" x="3184"/>
        <item m="1" x="977"/>
        <item m="1" x="1594"/>
        <item m="1" x="4046"/>
        <item m="1" x="3685"/>
        <item m="1" x="5388"/>
        <item m="1" x="5100"/>
        <item m="1" x="4085"/>
        <item m="1" x="3292"/>
        <item m="1" x="3575"/>
        <item m="1" x="5400"/>
        <item m="1" x="2856"/>
        <item m="1" x="1213"/>
        <item m="1" x="6552"/>
        <item m="1" x="2313"/>
        <item m="1" x="5025"/>
        <item m="1" x="6779"/>
        <item m="1" x="5741"/>
        <item m="1" x="5723"/>
        <item m="1" x="3475"/>
        <item m="1" x="1285"/>
        <item m="1" x="4365"/>
        <item m="1" x="5623"/>
        <item m="1" x="1635"/>
        <item m="1" x="5249"/>
        <item m="1" x="5259"/>
        <item m="1" x="4921"/>
        <item m="1" x="5033"/>
        <item m="1" x="2620"/>
        <item m="1" x="1401"/>
        <item m="1" x="1840"/>
        <item m="1" x="5826"/>
        <item m="1" x="2354"/>
        <item m="1" x="4065"/>
        <item m="1" x="4199"/>
        <item m="1" x="6435"/>
        <item m="1" x="3407"/>
        <item m="1" x="4126"/>
        <item m="1" x="2134"/>
        <item m="1" x="6702"/>
        <item m="1" x="5485"/>
        <item m="1" x="688"/>
        <item m="1" x="3870"/>
        <item m="1" x="4376"/>
        <item m="1" x="6369"/>
        <item m="1" x="4845"/>
        <item m="1" x="1772"/>
        <item m="1" x="5276"/>
        <item m="1" x="1107"/>
        <item m="1" x="1644"/>
        <item m="1" x="6487"/>
        <item m="1" x="7013"/>
        <item m="1" x="4406"/>
        <item m="1" x="6662"/>
        <item m="1" x="6804"/>
        <item m="1" x="3027"/>
        <item m="1" x="2896"/>
        <item m="1" x="2918"/>
        <item m="1" x="6780"/>
        <item m="1" x="2646"/>
        <item m="1" x="4540"/>
        <item m="1" x="5982"/>
        <item m="1" x="889"/>
        <item m="1" x="2880"/>
        <item m="1" x="3225"/>
        <item m="1" x="6764"/>
        <item m="1" x="1715"/>
        <item m="1" x="6565"/>
        <item m="1" x="4997"/>
        <item m="1" x="1421"/>
        <item m="1" x="1293"/>
        <item m="1" x="4679"/>
        <item m="1" x="6663"/>
        <item m="1" x="2015"/>
        <item m="1" x="5459"/>
        <item m="1" x="6354"/>
        <item m="1" x="1002"/>
        <item m="1" x="5748"/>
        <item m="1" x="5352"/>
        <item m="1" x="5878"/>
        <item m="1" x="5402"/>
        <item m="1" x="586"/>
        <item m="1" x="1338"/>
        <item m="1" x="5084"/>
        <item m="1" x="2013"/>
        <item m="1" x="2253"/>
        <item m="1" x="2336"/>
        <item m="1" x="5246"/>
        <item m="1" x="3688"/>
        <item m="1" x="1600"/>
        <item m="1" x="5687"/>
        <item m="1" x="2530"/>
        <item m="1" x="799"/>
        <item m="1" x="1287"/>
        <item m="1" x="6683"/>
        <item m="1" x="1506"/>
        <item m="1" x="2224"/>
        <item m="1" x="1064"/>
        <item m="1" x="3647"/>
        <item m="1" x="4171"/>
        <item m="1" x="6800"/>
        <item m="1" x="2641"/>
        <item m="1" x="3248"/>
        <item m="1" x="2161"/>
        <item m="1" x="6898"/>
        <item m="1" x="5238"/>
        <item m="1" x="5224"/>
        <item m="1" x="5718"/>
        <item m="1" x="6620"/>
        <item m="1" x="6459"/>
        <item m="1" x="6739"/>
        <item m="1" x="5704"/>
        <item m="1" x="4241"/>
        <item m="1" x="3194"/>
        <item m="1" x="3955"/>
        <item m="1" x="5780"/>
        <item m="1" x="1730"/>
        <item m="1" x="4436"/>
        <item m="1" x="531"/>
        <item m="1" x="3348"/>
        <item m="1" x="4619"/>
        <item m="1" x="3770"/>
        <item m="1" x="2958"/>
        <item m="1" x="4939"/>
        <item m="1" x="1536"/>
        <item m="1" x="2081"/>
        <item m="1" x="627"/>
        <item m="1" x="3430"/>
        <item m="1" x="664"/>
        <item m="1" x="5175"/>
        <item m="1" x="794"/>
        <item m="1" x="1477"/>
        <item m="1" x="4698"/>
        <item m="1" x="1798"/>
        <item m="1" x="2854"/>
        <item m="1" x="4895"/>
        <item m="1" x="1820"/>
        <item m="1" x="1195"/>
        <item m="1" x="2772"/>
        <item m="1" x="5005"/>
        <item m="1" x="4476"/>
        <item m="1" x="4688"/>
        <item m="1" x="4575"/>
        <item m="1" x="2600"/>
        <item m="1" x="4394"/>
        <item m="1" x="4681"/>
        <item m="1" x="4843"/>
        <item m="1" x="5153"/>
        <item m="1" x="1526"/>
        <item m="1" x="3123"/>
        <item m="1" x="2752"/>
        <item m="1" x="3298"/>
        <item m="1" x="2162"/>
        <item m="1" x="3240"/>
        <item m="1" x="6337"/>
        <item m="1" x="5504"/>
        <item m="1" x="5187"/>
        <item m="1" x="5921"/>
        <item m="1" x="4291"/>
        <item m="1" x="1044"/>
        <item m="1" x="6029"/>
        <item m="1" x="3351"/>
        <item m="1" x="2130"/>
        <item m="1" x="1020"/>
        <item m="1" x="4603"/>
        <item m="1" x="1893"/>
        <item m="1" x="3217"/>
        <item m="1" x="2086"/>
        <item m="1" x="6597"/>
        <item m="1" x="4960"/>
        <item m="1" x="5544"/>
        <item m="1" x="6063"/>
        <item m="1" x="6495"/>
        <item m="1" x="4968"/>
        <item m="1" x="698"/>
        <item m="1" x="6410"/>
        <item m="1" x="1768"/>
        <item m="1" x="1331"/>
        <item m="1" x="5359"/>
        <item m="1" x="4902"/>
        <item m="1" x="840"/>
        <item m="1" x="5628"/>
        <item m="1" x="6491"/>
        <item m="1" x="3359"/>
        <item m="1" x="497"/>
        <item m="1" x="1337"/>
        <item m="1" x="4374"/>
        <item m="1" x="3913"/>
        <item m="1" x="636"/>
        <item m="1" x="2362"/>
        <item m="1" x="3856"/>
        <item m="1" x="6875"/>
        <item m="1" x="3542"/>
        <item m="1" x="867"/>
        <item m="1" x="634"/>
        <item m="1" x="4002"/>
        <item m="1" x="2382"/>
        <item m="1" x="6696"/>
        <item m="1" x="5617"/>
        <item m="1" x="1026"/>
        <item m="1" x="6360"/>
        <item m="1" x="3126"/>
        <item m="1" x="1286"/>
        <item m="1" x="3609"/>
        <item m="1" x="6622"/>
        <item m="1" x="3443"/>
        <item m="1" x="4931"/>
        <item m="1" x="3534"/>
        <item m="1" x="3614"/>
        <item m="1" x="856"/>
        <item m="1" x="1399"/>
        <item m="1" x="1553"/>
        <item m="1" x="5951"/>
        <item m="1" x="6124"/>
        <item m="1" x="4405"/>
        <item m="1" x="4287"/>
        <item m="1" x="1735"/>
        <item m="1" x="2153"/>
        <item m="1" x="6225"/>
        <item m="1" x="1902"/>
        <item m="1" x="4066"/>
        <item m="1" x="3338"/>
        <item m="1" x="2505"/>
        <item m="1" x="5337"/>
        <item m="1" x="1882"/>
        <item m="1" x="6746"/>
        <item m="1" x="4568"/>
        <item m="1" x="6145"/>
        <item m="1" x="2348"/>
        <item m="1" x="4713"/>
        <item m="1" x="1240"/>
        <item m="1" x="4209"/>
        <item m="1" x="642"/>
        <item m="1" x="2227"/>
        <item m="1" x="5958"/>
        <item m="1" x="6436"/>
        <item m="1" x="4922"/>
        <item m="1" x="5570"/>
        <item m="1" x="4809"/>
        <item m="1" x="4547"/>
        <item m="1" x="6716"/>
        <item m="1" x="2985"/>
        <item m="1" x="2864"/>
        <item m="1" x="1842"/>
        <item m="1" x="3846"/>
        <item m="1" x="873"/>
        <item m="1" x="3491"/>
        <item m="1" x="4228"/>
        <item m="1" x="5706"/>
        <item m="1" x="3121"/>
        <item m="1" x="2414"/>
        <item m="1" x="5073"/>
        <item m="1" x="6797"/>
        <item m="1" x="3824"/>
        <item m="1" x="3668"/>
        <item m="1" x="5645"/>
        <item m="1" x="5030"/>
        <item m="1" x="3960"/>
        <item m="1" x="3690"/>
        <item m="1" x="5055"/>
        <item m="1" x="1012"/>
        <item m="1" x="2196"/>
        <item m="1" x="4102"/>
        <item m="1" x="5135"/>
        <item m="1" x="1612"/>
        <item m="1" x="3964"/>
        <item m="1" x="3736"/>
        <item m="1" x="4767"/>
        <item m="1" x="5423"/>
        <item m="1" x="5469"/>
        <item m="1" x="4214"/>
        <item m="1" x="5177"/>
        <item m="1" x="6178"/>
        <item m="1" x="1130"/>
        <item m="1" x="5574"/>
        <item m="1" x="6747"/>
        <item m="1" x="4836"/>
        <item m="1" x="3514"/>
        <item m="1" x="4358"/>
        <item m="1" x="4993"/>
        <item m="1" x="607"/>
        <item m="1" x="1189"/>
        <item m="1" x="1738"/>
        <item m="1" x="6182"/>
        <item m="1" x="1082"/>
        <item m="1" x="6379"/>
        <item m="1" x="2611"/>
        <item m="1" x="5945"/>
        <item m="1" x="3089"/>
        <item m="1" x="5351"/>
        <item m="1" x="5396"/>
        <item m="1" x="6321"/>
        <item m="1" x="3053"/>
        <item m="1" x="823"/>
        <item m="1" x="6991"/>
        <item m="1" x="3071"/>
        <item m="1" x="5611"/>
        <item m="1" x="6498"/>
        <item m="1" x="5112"/>
        <item m="1" x="1327"/>
        <item m="1" x="1705"/>
        <item m="1" x="6918"/>
        <item m="1" x="1509"/>
        <item m="1" x="5770"/>
        <item m="1" x="692"/>
        <item m="1" x="2868"/>
        <item m="1" x="6356"/>
        <item m="1" x="2483"/>
        <item m="1" x="6815"/>
        <item m="1" x="5075"/>
        <item m="1" x="5909"/>
        <item m="1" x="5499"/>
        <item m="1" x="1142"/>
        <item m="1" x="2580"/>
        <item m="1" x="5758"/>
        <item m="1" x="818"/>
        <item m="1" x="4043"/>
        <item m="1" x="1111"/>
        <item m="1" x="2188"/>
        <item m="1" x="3957"/>
        <item m="1" x="5646"/>
        <item m="1" x="6426"/>
        <item m="1" x="557"/>
        <item m="1" x="3486"/>
        <item m="1" x="3355"/>
        <item m="1" x="6513"/>
        <item m="1" x="538"/>
        <item m="1" x="4155"/>
        <item m="1" x="4377"/>
        <item m="1" x="1419"/>
        <item m="1" x="3305"/>
        <item m="1" x="3766"/>
        <item m="1" x="5274"/>
        <item m="1" x="4787"/>
        <item m="1" x="978"/>
        <item m="1" x="1546"/>
        <item m="1" x="3942"/>
        <item m="1" x="4162"/>
        <item m="1" x="4119"/>
        <item m="1" x="924"/>
        <item m="1" x="1760"/>
        <item m="1" x="1493"/>
        <item m="1" x="6877"/>
        <item m="1" x="6950"/>
        <item m="1" x="1829"/>
        <item m="1" x="4851"/>
        <item m="1" x="5477"/>
        <item m="1" x="6397"/>
        <item m="1" x="1239"/>
        <item m="1" x="3662"/>
        <item m="1" x="3436"/>
        <item m="1" x="3567"/>
        <item m="1" x="5619"/>
        <item m="1" x="4837"/>
        <item m="1" x="5629"/>
        <item m="1" x="6003"/>
        <item m="1" x="2387"/>
        <item m="1" x="6483"/>
        <item m="1" x="3335"/>
        <item m="1" x="2767"/>
        <item m="1" x="3703"/>
        <item m="1" x="4289"/>
        <item m="1" x="4529"/>
        <item m="1" x="3596"/>
        <item m="1" x="6084"/>
        <item m="1" x="6570"/>
        <item m="1" x="6605"/>
        <item m="1" x="3187"/>
        <item m="1" x="6883"/>
        <item m="1" x="4299"/>
        <item m="1" x="6017"/>
        <item m="1" x="5804"/>
        <item m="1" x="6133"/>
        <item m="1" x="1585"/>
        <item m="1" x="5171"/>
        <item m="1" x="5357"/>
        <item m="1" x="4411"/>
        <item m="1" x="3207"/>
        <item m="1" x="2113"/>
        <item m="1" x="1062"/>
        <item m="1" x="4840"/>
        <item m="1" x="3145"/>
        <item m="1" x="3206"/>
        <item m="1" x="833"/>
        <item m="1" x="2297"/>
        <item m="1" x="2513"/>
        <item m="1" x="6992"/>
        <item m="1" x="1472"/>
        <item m="1" x="2057"/>
        <item m="1" x="3795"/>
        <item m="1" x="5608"/>
        <item m="1" x="6922"/>
        <item m="1" x="2432"/>
        <item m="1" x="1133"/>
        <item m="1" x="4116"/>
        <item m="1" x="2230"/>
        <item m="1" x="5174"/>
        <item m="1" x="4326"/>
        <item m="1" x="3296"/>
        <item m="1" x="673"/>
        <item m="1" x="3550"/>
        <item m="1" x="952"/>
        <item m="1" x="3704"/>
        <item m="1" x="6228"/>
        <item m="1" x="4292"/>
        <item m="1" x="5255"/>
        <item m="1" x="3427"/>
        <item m="1" x="5457"/>
        <item m="1" x="6509"/>
        <item m="1" x="4561"/>
        <item m="1" x="5773"/>
        <item m="1" x="4090"/>
        <item m="1" x="2904"/>
        <item m="1" x="3781"/>
        <item m="1" x="1701"/>
        <item m="1" x="1066"/>
        <item m="1" x="4293"/>
        <item m="1" x="1081"/>
        <item m="1" x="6894"/>
        <item m="1" x="2563"/>
        <item m="1" x="2528"/>
        <item m="1" x="735"/>
        <item m="1" x="2474"/>
        <item m="1" x="3541"/>
        <item m="1" x="3068"/>
        <item m="1" x="5014"/>
        <item m="1" x="1831"/>
        <item m="1" x="6260"/>
        <item m="1" x="3785"/>
        <item m="1" x="1307"/>
        <item m="1" x="6288"/>
        <item m="1" x="5286"/>
        <item m="1" x="1535"/>
        <item m="1" x="1786"/>
        <item m="1" x="5374"/>
        <item m="1" x="4469"/>
        <item m="1" x="4470"/>
        <item m="1" x="4305"/>
        <item m="1" x="2454"/>
        <item m="1" x="2821"/>
        <item m="1" x="2273"/>
        <item m="1" x="4322"/>
        <item m="1" x="7031"/>
        <item m="1" x="719"/>
        <item m="1" x="993"/>
        <item m="1" x="6163"/>
        <item m="1" x="6973"/>
        <item m="1" x="5886"/>
        <item m="1" x="6172"/>
        <item m="1" x="6015"/>
        <item m="1" x="5034"/>
        <item m="1" x="3500"/>
        <item m="1" x="6022"/>
        <item m="1" x="2679"/>
        <item m="1" x="2845"/>
        <item m="1" x="4524"/>
        <item m="1" x="2637"/>
        <item m="1" x="6283"/>
        <item m="1" x="750"/>
        <item m="1" x="5064"/>
        <item m="1" x="5128"/>
        <item m="1" x="4616"/>
        <item m="1" x="2562"/>
        <item m="1" x="5158"/>
        <item m="1" x="1683"/>
        <item m="1" x="3082"/>
        <item m="1" x="6759"/>
        <item m="1" x="1714"/>
        <item m="1" x="2516"/>
        <item m="1" x="6695"/>
        <item m="1" x="1742"/>
        <item m="1" x="5818"/>
        <item m="1" x="1827"/>
        <item m="1" x="4062"/>
        <item m="1" x="4356"/>
        <item m="1" x="5584"/>
        <item m="1" x="2842"/>
        <item m="1" x="4237"/>
        <item m="1" x="6582"/>
        <item m="1" x="3226"/>
        <item m="1" x="1837"/>
        <item m="1" x="1006"/>
        <item m="1" x="2974"/>
        <item m="1" x="5410"/>
        <item m="1" x="5190"/>
        <item m="1" x="4456"/>
        <item m="1" x="6718"/>
        <item m="1" x="4006"/>
        <item m="1" x="3590"/>
        <item m="1" x="4378"/>
        <item m="1" x="5302"/>
        <item m="1" x="5576"/>
        <item m="1" x="5853"/>
        <item m="1" x="3016"/>
        <item m="1" x="2308"/>
        <item m="1" x="2408"/>
        <item m="1" x="3906"/>
        <item m="1" x="3382"/>
        <item m="1" x="3529"/>
        <item m="1" x="1907"/>
        <item m="1" x="1430"/>
        <item m="1" x="2199"/>
        <item m="1" x="802"/>
        <item m="1" x="4975"/>
        <item m="1" x="4579"/>
        <item m="1" x="1905"/>
        <item m="1" x="1355"/>
        <item m="1" x="4693"/>
        <item m="1" x="4112"/>
        <item m="1" x="6676"/>
        <item m="1" x="2538"/>
        <item m="1" x="1549"/>
        <item m="1" x="7017"/>
        <item m="1" x="6579"/>
        <item m="1" x="3324"/>
        <item m="1" x="3426"/>
        <item m="1" x="4751"/>
        <item m="1" x="1986"/>
        <item m="1" x="6349"/>
        <item m="1" x="585"/>
        <item m="1" x="6821"/>
        <item m="1" x="2619"/>
        <item m="1" x="6227"/>
        <item m="1" x="3364"/>
        <item m="1" x="4746"/>
        <item m="1" x="3725"/>
        <item m="1" x="4413"/>
        <item m="1" x="5694"/>
        <item m="1" x="6382"/>
        <item m="1" x="6855"/>
        <item m="1" x="5167"/>
        <item m="1" x="1400"/>
        <item m="1" x="762"/>
        <item m="1" x="6544"/>
        <item m="1" x="5098"/>
        <item m="1" x="2685"/>
        <item m="1" x="4302"/>
        <item m="1" x="4458"/>
        <item m="1" x="1869"/>
        <item m="1" x="2118"/>
        <item m="1" x="3401"/>
        <item m="1" x="849"/>
        <item m="1" x="5226"/>
        <item m="1" x="2155"/>
        <item m="1" x="6694"/>
        <item m="1" x="942"/>
        <item m="1" x="4179"/>
        <item m="1" x="4022"/>
        <item m="1" x="4390"/>
        <item m="1" x="5090"/>
        <item m="1" x="6235"/>
        <item m="1" x="3937"/>
        <item m="1" x="2507"/>
        <item m="1" x="1452"/>
        <item m="1" x="5633"/>
        <item m="1" x="5775"/>
        <item m="1" x="1433"/>
        <item m="1" x="6040"/>
        <item m="1" x="1072"/>
        <item m="1" x="3073"/>
        <item m="1" x="4618"/>
        <item m="1" x="3474"/>
        <item m="1" x="1466"/>
        <item m="1" x="2237"/>
        <item m="1" x="4965"/>
        <item m="1" x="5754"/>
        <item m="1" x="3994"/>
        <item m="1" x="5145"/>
        <item m="1" x="4944"/>
        <item m="1" x="6146"/>
        <item m="1" x="1162"/>
        <item m="1" x="1659"/>
        <item m="1" x="2119"/>
        <item m="1" x="3150"/>
        <item m="1" x="4446"/>
        <item m="1" x="4203"/>
        <item m="1" x="4873"/>
        <item m="1" x="1711"/>
        <item m="1" x="2559"/>
        <item m="1" x="2390"/>
        <item m="1" x="6350"/>
        <item m="1" x="1498"/>
        <item m="1" x="6599"/>
        <item m="1" x="4172"/>
        <item m="1" x="1854"/>
        <item m="1" x="4083"/>
        <item m="1" x="1922"/>
        <item m="1" x="4780"/>
        <item m="1" x="4205"/>
        <item m="1" x="5586"/>
        <item m="1" x="6891"/>
        <item m="1" x="6395"/>
        <item m="1" x="4398"/>
        <item m="1" x="3372"/>
        <item m="1" x="3826"/>
        <item m="1" x="2038"/>
        <item m="1" x="6603"/>
        <item m="1" x="2314"/>
        <item m="1" x="4120"/>
        <item m="1" x="6408"/>
        <item m="1" x="6157"/>
        <item m="1" x="2550"/>
        <item m="1" x="859"/>
        <item m="1" x="2526"/>
        <item m="1" x="3891"/>
        <item m="1" x="834"/>
        <item m="1" x="5212"/>
        <item m="1" x="2623"/>
        <item m="1" x="4841"/>
        <item m="1" x="4223"/>
        <item m="1" x="3088"/>
        <item m="1" x="2231"/>
        <item m="1" x="715"/>
        <item m="1" x="2044"/>
        <item m="1" x="3546"/>
        <item m="1" x="488"/>
        <item m="1" x="1721"/>
        <item m="1" x="5282"/>
        <item m="1" x="3798"/>
        <item m="1" x="3049"/>
        <item m="1" x="6271"/>
        <item m="1" x="1197"/>
        <item m="1" x="900"/>
        <item m="1" x="5244"/>
        <item m="1" x="643"/>
        <item m="1" x="1120"/>
        <item m="1" x="868"/>
        <item m="1" x="5764"/>
        <item m="1" x="4304"/>
        <item m="1" x="746"/>
        <item m="1" x="4946"/>
        <item m="1" x="4114"/>
        <item m="1" x="2372"/>
        <item m="1" x="5114"/>
        <item m="1" x="1280"/>
        <item m="1" x="803"/>
        <item m="1" x="1631"/>
        <item m="1" x="2858"/>
        <item m="1" x="6866"/>
        <item m="1" x="4132"/>
        <item m="1" x="1095"/>
        <item m="1" x="3753"/>
        <item m="1" x="5077"/>
        <item m="1" x="5831"/>
        <item m="1" x="5201"/>
        <item m="1" x="1292"/>
        <item m="1" x="1661"/>
        <item m="1" x="5893"/>
        <item m="1" x="3297"/>
        <item m="1" x="5970"/>
        <item m="1" x="4810"/>
        <item m="1" x="6974"/>
        <item m="1" x="4190"/>
        <item m="1" x="3842"/>
        <item m="1" x="5894"/>
        <item m="1" x="1457"/>
        <item m="1" x="2566"/>
        <item m="1" x="3556"/>
        <item m="1" x="3669"/>
        <item m="1" x="3650"/>
        <item m="1" x="3665"/>
        <item m="1" x="3519"/>
        <item m="1" x="6959"/>
        <item m="1" x="3699"/>
        <item m="1" x="5675"/>
        <item m="1" x="2488"/>
        <item m="1" x="7012"/>
        <item m="1" x="1175"/>
        <item m="1" x="6876"/>
        <item m="1" x="4329"/>
        <item m="1" x="4789"/>
        <item m="1" x="4649"/>
        <item m="1" x="4094"/>
        <item m="1" x="1232"/>
        <item m="1" x="2324"/>
        <item m="1" x="4324"/>
        <item m="1" x="1001"/>
        <item m="1" x="649"/>
        <item m="1" x="1634"/>
        <item m="1" x="1852"/>
        <item m="1" x="1181"/>
        <item m="1" x="6995"/>
        <item m="1" x="4269"/>
        <item m="1" x="1891"/>
        <item m="1" x="3873"/>
        <item m="1" x="6667"/>
        <item m="1" x="5607"/>
        <item m="1" x="2654"/>
        <item m="1" x="1418"/>
        <item m="1" x="1132"/>
        <item m="1" x="2877"/>
        <item m="1" x="1975"/>
        <item m="1" x="3863"/>
        <item m="1" x="1334"/>
        <item m="1" x="4725"/>
        <item m="1" x="6067"/>
        <item m="1" x="1469"/>
        <item m="1" x="4702"/>
        <item m="1" x="674"/>
        <item m="1" x="6984"/>
        <item m="1" x="4296"/>
        <item m="1" x="2511"/>
        <item m="1" x="1747"/>
        <item m="1" x="1342"/>
        <item m="1" x="1572"/>
        <item m="1" x="6903"/>
        <item m="1" x="4884"/>
        <item m="1" x="1557"/>
        <item m="1" x="2746"/>
        <item m="1" x="1410"/>
        <item m="1" x="5026"/>
        <item m="1" x="4460"/>
        <item m="1" x="1016"/>
        <item m="1" x="1393"/>
        <item m="1" x="4481"/>
        <item m="1" x="2665"/>
        <item m="1" x="2609"/>
        <item m="1" x="6246"/>
        <item m="1" x="4415"/>
        <item m="1" x="5290"/>
        <item m="1" x="4656"/>
        <item m="1" x="1969"/>
        <item m="1" x="570"/>
        <item m="1" x="2966"/>
        <item m="1" x="933"/>
        <item m="1" x="6355"/>
        <item m="1" x="5975"/>
        <item m="1" x="6909"/>
        <item m="1" x="1545"/>
        <item m="1" x="3043"/>
        <item m="1" x="3768"/>
        <item m="1" x="3098"/>
        <item m="1" x="4980"/>
        <item m="1" x="3941"/>
        <item m="1" x="5362"/>
        <item m="1" x="1282"/>
        <item m="1" x="5052"/>
        <item m="1" x="2413"/>
        <item m="1" x="2697"/>
        <item m="1" x="3896"/>
        <item m="1" x="6790"/>
        <item m="1" x="3911"/>
        <item m="1" x="820"/>
        <item m="1" x="3851"/>
        <item m="1" x="6401"/>
        <item m="1" x="3345"/>
        <item m="1" x="2913"/>
        <item m="1" x="6665"/>
        <item m="1" x="6329"/>
        <item m="1" x="6280"/>
        <item m="1" x="5759"/>
        <item m="1" x="999"/>
        <item m="1" x="5950"/>
        <item m="1" x="6130"/>
        <item m="1" x="4798"/>
        <item m="1" x="4219"/>
        <item m="1" x="4348"/>
        <item m="1" x="3268"/>
        <item m="1" x="3537"/>
        <item m="1" x="5862"/>
        <item m="1" x="6270"/>
        <item m="1" x="5159"/>
        <item m="1" x="4752"/>
        <item m="1" x="2391"/>
        <item m="1" x="3831"/>
        <item m="1" x="4198"/>
        <item m="1" x="1784"/>
        <item m="1" x="1754"/>
        <item m="1" x="2938"/>
        <item m="1" x="4799"/>
        <item m="1" x="5761"/>
        <item m="1" x="2944"/>
        <item m="1" x="5206"/>
        <item m="1" x="5637"/>
        <item m="1" x="3044"/>
        <item m="1" x="2890"/>
        <item m="1" x="6715"/>
        <item m="1" x="6856"/>
        <item m="1" x="6623"/>
        <item m="1" x="5144"/>
        <item m="1" x="6302"/>
        <item m="1" x="5728"/>
        <item m="1" x="5649"/>
        <item m="1" x="2536"/>
        <item m="1" x="5387"/>
        <item m="1" x="3462"/>
        <item m="1" x="2260"/>
        <item m="1" x="1045"/>
        <item m="1" x="2819"/>
        <item m="1" x="2834"/>
        <item m="1" x="1541"/>
        <item m="1" x="1858"/>
        <item m="1" x="6232"/>
        <item m="1" x="4677"/>
        <item m="1" x="2397"/>
        <item m="1" x="5297"/>
        <item m="1" x="2608"/>
        <item m="1" x="4745"/>
        <item m="1" x="3624"/>
        <item m="1" x="3276"/>
        <item m="1" x="3976"/>
        <item m="1" x="1454"/>
        <item m="1" x="5548"/>
        <item m="1" x="5146"/>
        <item m="1" x="2285"/>
        <item m="1" x="1664"/>
        <item m="1" x="667"/>
        <item m="1" x="6358"/>
        <item m="1" x="6442"/>
        <item m="1" x="2577"/>
        <item m="1" x="2546"/>
        <item m="1" x="2638"/>
        <item m="1" x="4537"/>
        <item m="1" x="520"/>
        <item m="1" x="5614"/>
        <item m="1" x="4479"/>
        <item m="1" x="2809"/>
        <item m="1" x="5710"/>
        <item m="1" x="4473"/>
        <item m="1" x="3551"/>
        <item m="1" x="2743"/>
        <item m="1" x="3295"/>
        <item m="1" x="1868"/>
        <item m="1" x="3694"/>
        <item m="1" x="2435"/>
        <item m="1" x="6060"/>
        <item m="1" x="1508"/>
        <item m="1" x="4282"/>
        <item m="1" x="5652"/>
        <item m="1" x="821"/>
        <item m="1" x="574"/>
        <item m="1" x="6976"/>
        <item m="1" x="2257"/>
        <item m="1" x="2175"/>
        <item m="1" x="5180"/>
        <item m="1" x="4056"/>
        <item m="1" x="6137"/>
        <item m="1" x="3709"/>
        <item m="1" x="4239"/>
        <item m="1" x="1950"/>
        <item m="1" x="5899"/>
        <item m="1" x="6965"/>
        <item m="1" x="5424"/>
        <item m="1" x="4338"/>
        <item m="1" x="6087"/>
        <item m="1" x="469"/>
        <item m="1" x="6761"/>
        <item m="1" x="5074"/>
        <item m="1" x="3517"/>
        <item m="1" x="4940"/>
        <item m="1" x="2295"/>
        <item m="1" x="6122"/>
        <item m="1" x="5670"/>
        <item m="1" x="6889"/>
        <item m="1" x="1300"/>
        <item m="1" x="5151"/>
        <item m="1" x="4680"/>
        <item m="1" x="5370"/>
        <item m="1" x="2740"/>
        <item m="1" x="3063"/>
        <item m="1" x="2999"/>
        <item m="1" x="3328"/>
        <item m="1" x="5121"/>
        <item m="1" x="4104"/>
        <item m="1" x="5567"/>
        <item m="1" x="2133"/>
        <item m="1" x="778"/>
        <item m="1" x="6011"/>
        <item m="1" x="5868"/>
        <item m="1" x="2103"/>
        <item m="1" x="1580"/>
        <item m="1" x="6309"/>
        <item m="1" x="2601"/>
        <item m="1" x="3858"/>
        <item m="1" x="6860"/>
        <item m="1" x="3405"/>
        <item m="1" x="1243"/>
        <item m="1" x="6990"/>
        <item m="1" x="4634"/>
        <item m="1" x="5203"/>
        <item m="1" x="3331"/>
        <item m="1" x="1954"/>
        <item m="1" x="2049"/>
        <item m="1" x="3558"/>
        <item m="1" x="5081"/>
        <item m="1" x="2818"/>
        <item m="1" x="3125"/>
        <item m="1" x="1368"/>
        <item m="1" x="2980"/>
        <item m="1" x="617"/>
        <item m="1" x="1449"/>
        <item m="1" x="4312"/>
        <item m="1" x="4602"/>
        <item m="1" x="4637"/>
        <item m="1" x="5839"/>
        <item m="1" x="6537"/>
        <item m="1" x="1777"/>
        <item m="1" x="1304"/>
        <item m="1" x="5252"/>
        <item m="1" x="1616"/>
        <item m="1" x="911"/>
        <item m="1" x="6431"/>
        <item m="1" x="2220"/>
        <item m="1" x="6141"/>
        <item m="1" x="3530"/>
        <item m="1" x="3325"/>
        <item m="1" x="6035"/>
        <item m="1" x="3011"/>
        <item m="1" x="860"/>
        <item m="1" x="4714"/>
        <item m="1" x="3738"/>
        <item m="1" x="1830"/>
        <item m="1" x="5791"/>
        <item m="1" x="4839"/>
        <item m="1" x="6745"/>
        <item m="1" x="3307"/>
        <item m="1" x="6942"/>
        <item m="1" x="824"/>
        <item m="1" x="5653"/>
        <item m="1" x="6240"/>
        <item m="1" x="906"/>
        <item m="1" x="4128"/>
        <item m="1" x="6814"/>
        <item m="1" x="1448"/>
        <item m="1" x="5932"/>
        <item m="1" x="2061"/>
        <item m="1" x="2520"/>
        <item m="1" x="6806"/>
        <item m="1" x="805"/>
        <item m="1" x="1636"/>
        <item m="1" x="5655"/>
        <item m="1" x="3495"/>
        <item m="1" x="1729"/>
        <item m="1" x="525"/>
        <item m="1" x="6120"/>
        <item m="1" x="6150"/>
        <item m="1" x="713"/>
        <item m="1" x="2610"/>
        <item m="1" x="689"/>
        <item m="1" x="2424"/>
        <item m="1" x="702"/>
        <item m="1" x="5934"/>
        <item m="1" x="1330"/>
        <item m="1" x="4813"/>
        <item m="1" x="3310"/>
        <item m="1" x="6449"/>
        <item m="1" x="2072"/>
        <item m="1" x="6002"/>
        <item m="1" x="5873"/>
        <item m="1" x="3109"/>
        <item m="1" x="854"/>
        <item m="1" x="938"/>
        <item m="1" x="4674"/>
        <item m="1" x="6010"/>
        <item m="1" x="1973"/>
        <item m="1" x="6478"/>
        <item m="1" x="4503"/>
        <item m="1" x="6772"/>
        <item m="1" x="1862"/>
        <item m="1" x="3866"/>
        <item m="1" x="4917"/>
        <item m="1" x="1878"/>
        <item m="1" x="965"/>
        <item m="1" x="6154"/>
        <item m="1" x="2894"/>
        <item m="1" x="1566"/>
        <item m="1" x="468"/>
        <item m="1" x="2594"/>
        <item m="1" x="471"/>
        <item m="1" x="970"/>
        <item m="1" x="2835"/>
        <item m="1" x="5765"/>
        <item m="1" x="6341"/>
        <item m="1" x="5433"/>
        <item m="1" x="5701"/>
        <item m="1" x="2558"/>
        <item m="1" x="2666"/>
        <item m="1" x="668"/>
        <item m="1" x="701"/>
        <item m="1" x="6653"/>
        <item m="1" x="3476"/>
        <item m="1" x="6237"/>
        <item m="1" x="6446"/>
        <item m="1" x="4926"/>
        <item m="1" x="5392"/>
        <item m="1" x="5575"/>
        <item m="1" x="5849"/>
        <item m="1" x="5079"/>
        <item m="1" x="4863"/>
        <item m="1" x="2775"/>
        <item m="1" x="1758"/>
        <item m="1" x="2157"/>
        <item m="1" x="2699"/>
        <item m="1" x="6284"/>
        <item m="1" x="4004"/>
        <item m="1" x="5245"/>
        <item m="1" x="6934"/>
        <item m="1" x="6843"/>
        <item m="1" x="474"/>
        <item m="1" x="4563"/>
        <item m="1" x="4310"/>
        <item m="1" x="7028"/>
        <item m="1" x="926"/>
        <item m="1" x="4811"/>
        <item m="1" x="2677"/>
        <item m="1" x="5481"/>
        <item m="1" x="2375"/>
        <item m="1" x="6941"/>
        <item m="1" x="5884"/>
        <item m="1" x="1168"/>
        <item m="1" x="1917"/>
        <item m="1" x="4892"/>
        <item m="1" x="1429"/>
        <item m="1" x="3716"/>
        <item m="1" x="4527"/>
        <item m="1" x="3705"/>
        <item m="1" x="1126"/>
        <item m="1" x="2936"/>
        <item m="1" x="4671"/>
        <item m="1" x="4216"/>
        <item m="1" x="5784"/>
        <item m="1" x="4532"/>
        <item m="1" x="4200"/>
        <item m="1" x="5686"/>
        <item m="1" x="5953"/>
        <item m="1" x="2539"/>
        <item m="1" x="3279"/>
        <item m="1" x="5263"/>
        <item m="1" x="482"/>
        <item m="1" x="3755"/>
        <item m="1" x="5949"/>
        <item m="1" x="5682"/>
        <item m="1" x="4240"/>
        <item m="1" x="5509"/>
        <item m="1" x="6724"/>
        <item m="1" x="4899"/>
        <item m="1" x="1036"/>
        <item m="1" x="4530"/>
        <item m="1" x="6403"/>
        <item m="1" x="517"/>
        <item m="1" x="6708"/>
        <item m="1" x="1806"/>
        <item m="1" x="4934"/>
        <item m="1" x="6584"/>
        <item m="1" x="6701"/>
        <item m="1" x="5031"/>
        <item m="1" x="3654"/>
        <item m="1" x="1598"/>
        <item m="1" x="5229"/>
        <item m="1" x="4230"/>
        <item m="1" x="6310"/>
        <item m="1" x="962"/>
        <item m="1" x="5557"/>
        <item m="1" x="5115"/>
        <item m="1" x="2212"/>
        <item m="1" x="1405"/>
        <item m="1" x="1182"/>
        <item m="1" x="1187"/>
        <item m="1" x="3116"/>
        <item m="1" x="1824"/>
        <item m="1" x="5591"/>
        <item m="1" x="4947"/>
        <item m="1" x="618"/>
        <item m="1" x="3433"/>
        <item m="1" x="972"/>
        <item m="1" x="4483"/>
        <item m="1" x="3239"/>
        <item m="1" x="5640"/>
        <item m="1" x="5383"/>
        <item m="1" x="2569"/>
        <item m="1" x="1464"/>
        <item m="1" x="2236"/>
        <item m="1" x="1689"/>
        <item m="1" x="3632"/>
        <item m="1" x="1455"/>
        <item m="1" x="3371"/>
        <item m="1" x="1185"/>
        <item m="1" x="5133"/>
        <item m="1" x="6609"/>
        <item m="1" x="3020"/>
        <item m="1" x="3004"/>
        <item m="1" x="2419"/>
        <item m="1" x="2700"/>
        <item m="1" x="3930"/>
        <item m="1" x="2496"/>
        <item m="1" x="3281"/>
        <item m="1" x="1272"/>
        <item m="1" x="6624"/>
        <item m="1" x="4891"/>
        <item m="1" x="4122"/>
        <item m="1" x="6236"/>
        <item m="1" x="4630"/>
        <item m="1" x="593"/>
        <item m="1" x="477"/>
        <item m="1" x="4288"/>
        <item m="1" x="5635"/>
        <item m="1" x="1989"/>
        <item m="1" x="2128"/>
        <item m="1" x="1770"/>
        <item m="1" x="1114"/>
        <item m="1" x="4512"/>
        <item m="1" x="2899"/>
        <item m="1" x="1942"/>
        <item m="1" x="957"/>
        <item m="1" x="4781"/>
        <item m="1" x="6055"/>
        <item m="1" x="6107"/>
        <item m="1" x="3441"/>
        <item m="1" x="3222"/>
        <item m="1" x="4543"/>
        <item m="1" x="1251"/>
        <item m="1" x="6109"/>
        <item m="1" x="1992"/>
        <item m="1" x="4782"/>
        <item m="1" x="3838"/>
        <item m="1" x="4731"/>
        <item m="1" x="4723"/>
        <item m="1" x="5183"/>
        <item m="1" x="5926"/>
        <item m="1" x="3309"/>
        <item m="1" x="3836"/>
        <item m="1" x="6056"/>
        <item m="1" x="5984"/>
        <item m="1" x="3539"/>
        <item m="1" x="5546"/>
        <item m="1" x="2106"/>
        <item m="1" x="2284"/>
        <item m="1" x="2166"/>
        <item m="1" x="6291"/>
        <item m="1" x="6518"/>
        <item m="1" x="3477"/>
        <item m="1" x="559"/>
        <item m="1" x="3131"/>
        <item m="1" x="4572"/>
        <item m="1" x="5671"/>
        <item m="1" x="4690"/>
        <item m="1" x="2724"/>
        <item m="1" x="4070"/>
        <item m="1" x="4157"/>
        <item m="1" x="1366"/>
        <item m="1" x="2549"/>
        <item m="1" x="6384"/>
        <item m="1" x="3821"/>
        <item m="1" x="1090"/>
        <item m="1" x="6464"/>
        <item m="1" x="4857"/>
        <item m="1" x="6744"/>
        <item m="1" x="2304"/>
        <item m="1" x="4765"/>
        <item m="1" x="4283"/>
        <item m="1" x="1294"/>
        <item m="1" x="3512"/>
        <item m="1" x="3185"/>
        <item m="1" x="3656"/>
        <item m="1" x="3042"/>
        <item m="1" x="5740"/>
        <item m="1" x="5911"/>
        <item m="1" x="3986"/>
        <item m="1" x="1763"/>
        <item m="1" x="5440"/>
        <item m="1" x="2590"/>
        <item m="1" x="3017"/>
        <item m="1" x="1018"/>
        <item m="1" x="6158"/>
        <item m="1" x="1788"/>
        <item m="1" x="3973"/>
        <item m="1" x="1306"/>
        <item m="1" x="3784"/>
        <item m="1" x="958"/>
        <item m="1" x="1759"/>
        <item m="1" x="3352"/>
        <item m="1" x="6183"/>
        <item m="1" x="2525"/>
        <item m="1" x="1740"/>
        <item m="1" x="5867"/>
        <item m="1" x="6809"/>
        <item m="1" x="2028"/>
        <item m="1" x="3242"/>
        <item m="1" x="5113"/>
        <item m="1" x="6661"/>
        <item m="1" x="1105"/>
        <item m="1" x="3460"/>
        <item m="1" x="5429"/>
        <item m="1" x="5217"/>
        <item m="1" x="4970"/>
        <item m="1" x="6243"/>
        <item m="1" x="5681"/>
        <item m="1" x="577"/>
        <item m="1" x="5881"/>
        <item m="1" x="3385"/>
        <item m="1" x="2100"/>
        <item m="1" x="3952"/>
        <item m="1" x="6733"/>
        <item m="1" x="3756"/>
        <item m="1" x="816"/>
        <item m="1" x="2990"/>
        <item m="1" x="3857"/>
        <item m="1" x="5763"/>
        <item m="1" x="6657"/>
        <item m="1" x="929"/>
        <item m="1" x="3535"/>
        <item m="1" x="4756"/>
        <item m="1" x="4169"/>
        <item m="1" x="4453"/>
        <item m="1" x="612"/>
        <item m="1" x="2361"/>
        <item m="1" x="3995"/>
        <item m="1" x="4867"/>
        <item m="1" x="4047"/>
        <item m="1" x="4118"/>
        <item m="1" x="6598"/>
        <item m="1" x="616"/>
        <item m="1" x="5106"/>
        <item m="1" x="2399"/>
        <item m="1" x="1797"/>
        <item m="1" x="1530"/>
        <item m="1" x="2695"/>
        <item m="1" x="5458"/>
        <item m="1" x="2490"/>
        <item m="1" x="4819"/>
        <item m="1" x="1396"/>
        <item m="1" x="1774"/>
        <item m="1" x="4261"/>
        <item m="1" x="3033"/>
        <item m="1" x="6132"/>
        <item m="1" x="3739"/>
        <item m="1" x="2670"/>
        <item m="1" x="3332"/>
        <item m="1" x="2640"/>
        <item m="1" x="1573"/>
        <item m="1" x="6948"/>
        <item m="1" x="6166"/>
        <item m="1" x="654"/>
        <item m="1" x="5471"/>
        <item m="1" x="4721"/>
        <item m="1" x="3070"/>
        <item m="1" x="4077"/>
        <item m="1" x="5912"/>
        <item m="1" x="2851"/>
        <item m="1" x="1096"/>
        <item m="1" x="6406"/>
        <item m="1" x="3223"/>
        <item m="1" x="6032"/>
        <item m="1" x="5877"/>
        <item m="1" x="4450"/>
        <item m="1" x="1203"/>
        <item m="1" x="3383"/>
        <item m="1" x="5219"/>
        <item m="1" x="2770"/>
        <item m="1" x="6639"/>
        <item m="1" x="2404"/>
        <item m="1" x="2604"/>
        <item m="1" x="4263"/>
        <item m="1" x="850"/>
        <item m="1" x="1977"/>
        <item m="1" x="876"/>
        <item m="1" x="6545"/>
        <item m="1" x="1255"/>
        <item m="1" x="2358"/>
        <item m="1" x="3581"/>
        <item m="1" x="1148"/>
        <item m="1" x="2328"/>
        <item m="1" x="4017"/>
        <item m="1" x="1658"/>
        <item m="1" x="5295"/>
        <item m="1" x="4862"/>
        <item m="1" x="6682"/>
        <item m="1" x="4831"/>
        <item m="1" x="2978"/>
        <item m="1" x="4854"/>
        <item m="1" x="1500"/>
        <item m="1" x="4925"/>
        <item m="1" x="5227"/>
        <item m="1" x="1519"/>
        <item m="1" x="6905"/>
        <item m="1" x="2739"/>
        <item m="1" x="1483"/>
        <item m="1" x="3817"/>
        <item m="1" x="2203"/>
        <item m="1" x="5920"/>
        <item m="1" x="920"/>
        <item m="1" x="4196"/>
        <item m="1" x="6853"/>
        <item m="1" x="2870"/>
        <item m="1" x="6269"/>
        <item m="1" x="4494"/>
        <item m="1" x="2430"/>
        <item m="1" x="1204"/>
        <item m="1" x="1129"/>
        <item m="1" x="6110"/>
        <item m="1" x="5883"/>
        <item m="1" x="6222"/>
        <item m="1" x="1494"/>
        <item m="1" x="6607"/>
        <item m="1" x="2793"/>
        <item m="1" x="4462"/>
        <item m="1" x="6116"/>
        <item m="1" x="2275"/>
        <item m="1" x="4379"/>
        <item m="1" x="6979"/>
        <item m="1" x="3565"/>
        <item m="1" x="2804"/>
        <item m="1" x="4392"/>
        <item m="1" x="1945"/>
        <item m="1" x="5149"/>
        <item m="1" x="1919"/>
        <item m="1" x="1179"/>
        <item m="1" x="3630"/>
        <item m="1" x="5636"/>
        <item m="1" x="2443"/>
        <item m="1" x="5916"/>
        <item m="1" x="956"/>
        <item m="1" x="3005"/>
        <item m="1" x="1439"/>
        <item m="1" x="1662"/>
        <item m="1" x="6532"/>
        <item m="1" x="5240"/>
        <item m="1" x="1456"/>
        <item m="1" x="3095"/>
        <item m="1" x="5140"/>
        <item m="1" x="6219"/>
        <item m="1" x="1298"/>
        <item m="1" x="3564"/>
        <item m="1" x="4284"/>
        <item m="1" x="6070"/>
        <item m="1" x="4421"/>
        <item m="1" x="1479"/>
        <item m="1" x="2321"/>
        <item m="1" x="6083"/>
        <item m="1" x="2839"/>
        <item m="1" x="2655"/>
        <item m="1" x="961"/>
        <item m="1" x="2333"/>
        <item m="1" x="4212"/>
        <item m="1" x="6024"/>
        <item m="1" x="5393"/>
        <item m="1" x="3327"/>
        <item m="1" x="1276"/>
        <item m="1" x="1155"/>
        <item m="1" x="6735"/>
        <item m="1" x="3811"/>
        <item m="1" x="5816"/>
        <item m="1" x="6167"/>
        <item m="1" x="3515"/>
        <item m="1" x="2019"/>
        <item m="1" x="1988"/>
        <item m="1" x="665"/>
        <item m="1" x="5855"/>
        <item m="1" x="2487"/>
        <item m="1" x="6575"/>
        <item m="1" x="6252"/>
        <item m="1" x="3621"/>
        <item m="1" x="4445"/>
        <item m="1" x="1161"/>
        <item m="1" x="2149"/>
        <item m="1" x="3523"/>
        <item m="1" x="6111"/>
        <item m="1" x="5514"/>
        <item m="1" x="2058"/>
        <item m="1" x="973"/>
        <item m="1" x="6873"/>
        <item m="1" x="3269"/>
        <item m="1" x="6828"/>
        <item m="1" x="5017"/>
        <item m="1" x="1492"/>
        <item m="1" x="2460"/>
        <item m="1" x="6250"/>
        <item m="1" x="5218"/>
        <item m="1" x="6256"/>
        <item m="1" x="5309"/>
        <item m="1" x="2498"/>
        <item m="1" x="3683"/>
        <item m="1" x="2751"/>
        <item m="1" x="637"/>
        <item m="1" x="3224"/>
        <item m="1" x="3051"/>
        <item m="1" x="2872"/>
        <item m="1" x="2929"/>
        <item m="1" x="4130"/>
        <item m="1" x="5398"/>
        <item m="1" x="684"/>
        <item m="1" x="512"/>
        <item m="1" x="4181"/>
        <item m="1" x="608"/>
        <item m="1" x="4795"/>
        <item m="1" x="1198"/>
        <item m="1" x="4885"/>
        <item m="1" x="3848"/>
        <item m="1" x="2647"/>
        <item m="1" x="885"/>
        <item m="1" x="2560"/>
        <item m="1" x="6666"/>
        <item m="1" x="3761"/>
        <item m="1" x="2436"/>
        <item m="1" x="5729"/>
        <item m="1" x="1696"/>
        <item m="1" x="4327"/>
        <item m="1" x="2210"/>
        <item m="1" x="6000"/>
        <item m="1" x="1592"/>
        <item m="1" x="1202"/>
        <item m="1" x="4075"/>
        <item m="1" x="4645"/>
        <item m="1" x="3456"/>
        <item m="1" x="4796"/>
        <item m="1" x="6691"/>
        <item m="1" x="1470"/>
        <item m="1" x="6874"/>
        <item m="1" x="5561"/>
        <item m="1" x="5343"/>
        <item m="1" x="4935"/>
        <item m="1" x="2866"/>
        <item m="1" x="5331"/>
        <item m="1" x="4416"/>
        <item m="1" x="6192"/>
        <item m="1" x="4981"/>
        <item m="1" x="1617"/>
        <item m="1" x="611"/>
        <item m="1" x="5820"/>
        <item m="1" x="4088"/>
        <item m="1" x="3804"/>
        <item m="1" x="5483"/>
        <item m="1" x="6731"/>
        <item m="1" x="5716"/>
        <item m="1" x="5019"/>
        <item m="1" x="2088"/>
        <item m="1" x="1218"/>
        <item m="1" x="6760"/>
        <item m="1" x="3329"/>
        <item m="1" x="5016"/>
        <item m="1" x="2169"/>
        <item m="1" x="5661"/>
        <item m="1" x="6345"/>
        <item m="1" x="4380"/>
        <item m="1" x="1180"/>
        <item m="1" x="5460"/>
        <item m="1" x="2998"/>
        <item m="1" x="6849"/>
        <item m="1" x="6613"/>
        <item m="1" x="4640"/>
        <item m="1" x="1825"/>
        <item m="1" x="3746"/>
        <item m="1" x="1933"/>
        <item m="1" x="1908"/>
        <item m="1" x="2599"/>
        <item m="1" x="4397"/>
        <item m="1" x="5768"/>
        <item m="1" x="1312"/>
        <item m="1" x="3316"/>
        <item m="1" x="6798"/>
        <item m="1" x="2255"/>
        <item m="1" x="3509"/>
        <item m="1" x="5527"/>
        <item m="1" x="3677"/>
        <item m="1" x="3790"/>
        <item m="1" x="2357"/>
        <item m="1" x="657"/>
        <item m="1" x="4820"/>
        <item m="1" x="5311"/>
        <item m="1" x="5355"/>
        <item m="1" x="2747"/>
        <item m="1" x="3066"/>
        <item m="1" x="3696"/>
        <item m="1" x="897"/>
        <item m="1" x="3168"/>
        <item m="1" x="5563"/>
        <item m="1" x="3628"/>
        <item m="1" x="5755"/>
        <item m="1" x="3041"/>
        <item m="1" x="2090"/>
        <item m="1" x="2191"/>
        <item m="1" x="7033"/>
        <item m="1" x="5528"/>
        <item m="1" x="4766"/>
        <item m="1" x="1219"/>
        <item m="1" x="502"/>
        <item m="1" x="3117"/>
        <item m="1" x="3381"/>
        <item m="1" x="4414"/>
        <item m="1" x="6473"/>
        <item m="1" x="4909"/>
        <item m="1" x="4658"/>
        <item m="1" x="3143"/>
        <item m="1" x="5086"/>
        <item m="1" x="6451"/>
        <item m="1" x="5803"/>
        <item m="1" x="4566"/>
        <item m="1" x="6308"/>
        <item m="1" x="6817"/>
        <item m="1" x="1160"/>
        <item m="1" x="5924"/>
        <item m="1" x="863"/>
        <item m="1" x="1235"/>
        <item m="1" x="3981"/>
        <item m="1" x="2366"/>
        <item m="1" x="939"/>
        <item m="1" x="524"/>
        <item m="1" x="4876"/>
        <item m="1" x="4121"/>
        <item m="1" x="2335"/>
        <item m="1" x="4125"/>
        <item m="1" x="4341"/>
        <item m="1" x="569"/>
        <item m="1" x="2281"/>
        <item m="1" x="6562"/>
        <item m="1" x="3402"/>
        <item m="1" x="2711"/>
        <item m="1" x="6508"/>
        <item m="1" x="3173"/>
        <item m="1" x="6428"/>
        <item m="1" x="3806"/>
        <item m="1" x="5535"/>
        <item m="1" x="6224"/>
        <item m="1" x="4890"/>
        <item m="1" x="1930"/>
        <item m="1" x="2377"/>
        <item m="1" x="6454"/>
        <item m="1" x="6064"/>
        <item m="1" x="2216"/>
        <item m="1" x="6220"/>
        <item m="1" x="1113"/>
        <item m="1" x="1031"/>
        <item m="1" x="2581"/>
        <item m="1" x="4555"/>
        <item m="1" x="2229"/>
        <item m="1" x="5461"/>
        <item m="1" x="3861"/>
        <item m="1" x="2993"/>
        <item m="1" x="1079"/>
        <item m="1" x="894"/>
        <item m="1" x="7008"/>
        <item m="1" x="5267"/>
        <item m="1" x="5045"/>
        <item m="1" x="1731"/>
        <item m="1" x="2160"/>
        <item m="1" x="2521"/>
        <item m="1" x="6463"/>
        <item m="1" x="4186"/>
        <item m="1" x="2184"/>
        <item m="1" x="1575"/>
        <item m="1" x="3377"/>
        <item m="1" x="3375"/>
        <item m="1" x="1099"/>
        <item m="1" x="2143"/>
        <item m="1" x="4399"/>
        <item m="1" x="3169"/>
        <item m="1" x="2320"/>
        <item m="1" x="7019"/>
        <item m="1" x="6786"/>
        <item m="1" x="2008"/>
        <item m="1" x="5582"/>
        <item m="1" x="5448"/>
        <item m="1" x="3319"/>
        <item m="1" x="6012"/>
        <item m="1" x="4949"/>
        <item m="1" x="5913"/>
        <item m="1" x="6872"/>
        <item m="1" x="6105"/>
        <item m="1" x="4123"/>
        <item m="1" x="5840"/>
        <item m="1" x="5000"/>
        <item m="1" x="1744"/>
        <item m="1" x="3864"/>
        <item m="1" x="2499"/>
        <item m="1" x="4548"/>
        <item m="1" x="5466"/>
        <item m="1" x="2455"/>
        <item m="1" x="1884"/>
        <item m="1" x="3706"/>
        <item m="1" x="1761"/>
        <item m="1" x="6085"/>
        <item m="1" x="3544"/>
        <item m="1" x="4715"/>
        <item m="1" x="6636"/>
        <item m="1" x="3719"/>
        <item m="1" x="2065"/>
        <item m="1" x="3623"/>
        <item m="1" x="793"/>
        <item m="1" x="6672"/>
        <item m="1" x="4264"/>
        <item m="1" x="3561"/>
        <item m="1" x="5465"/>
        <item m="1" x="1356"/>
        <item m="1" x="549"/>
        <item m="1" x="2268"/>
        <item m="1" x="3106"/>
        <item m="1" x="1258"/>
        <item m="1" x="5293"/>
        <item m="1" x="5266"/>
        <item m="1" x="1859"/>
        <item m="1" x="6795"/>
        <item m="1" x="2493"/>
        <item m="1" x="2592"/>
        <item m="1" x="5386"/>
        <item m="1" x="2476"/>
        <item m="1" x="526"/>
        <item m="1" x="2696"/>
        <item m="1" x="1981"/>
        <item m="1" x="5250"/>
        <item m="1" x="5744"/>
        <item m="1" x="4510"/>
        <item m="1" x="4281"/>
        <item m="1" x="4117"/>
        <item m="1" x="1153"/>
        <item m="1" x="2035"/>
        <item m="1" x="2478"/>
        <item m="1" x="6514"/>
        <item m="1" x="5253"/>
        <item m="1" x="658"/>
        <item m="1" x="3421"/>
        <item m="1" x="4594"/>
        <item m="1" x="773"/>
        <item m="1" x="3413"/>
        <item m="1" x="5044"/>
        <item m="1" x="2574"/>
        <item m="1" x="6612"/>
        <item m="1" x="4822"/>
        <item m="1" x="1223"/>
        <item m="1" x="6352"/>
        <item m="1" x="6061"/>
        <item m="1" x="660"/>
        <item m="1" x="6704"/>
        <item m="1" x="6936"/>
        <item m="1" x="4221"/>
        <item m="1" x="6732"/>
        <item m="1" x="5993"/>
        <item m="1" x="511"/>
        <item m="1" x="2083"/>
        <item m="1" x="7029"/>
        <item m="1" x="3757"/>
        <item m="1" x="6380"/>
        <item m="1" x="2385"/>
        <item m="1" x="4938"/>
        <item m="1" x="6409"/>
        <item m="1" x="2466"/>
        <item m="1" x="880"/>
        <item m="1" x="2945"/>
        <item m="1" x="981"/>
        <item m="1" x="6835"/>
        <item m="1" x="3264"/>
        <item m="1" x="1624"/>
        <item m="1" x="6985"/>
        <item m="1" x="6601"/>
        <item m="1" x="6294"/>
        <item m="1" x="2810"/>
        <item m="1" x="1620"/>
        <item m="1" x="3982"/>
        <item m="1" x="1809"/>
        <item m="1" x="507"/>
        <item m="1" x="4485"/>
        <item m="1" x="5876"/>
        <item m="1" x="1097"/>
        <item m="1" x="4905"/>
        <item m="1" x="1441"/>
        <item m="1" x="4465"/>
        <item m="1" x="6572"/>
        <item m="1" x="6805"/>
        <item m="1" x="3968"/>
        <item m="1" x="6951"/>
        <item m="1" x="4551"/>
        <item m="1" x="4825"/>
        <item m="1" x="6258"/>
        <item m="1" x="1593"/>
        <item m="1" x="5517"/>
        <item m="1" x="4628"/>
        <item m="1" x="5243"/>
        <item m="1" x="734"/>
        <item m="1" x="6370"/>
        <item m="1" x="5905"/>
        <item m="1" x="1599"/>
        <item m="1" x="5543"/>
        <item m="1" x="3956"/>
        <item m="1" x="533"/>
        <item m="1" x="1626"/>
        <item m="1" x="4033"/>
        <item m="1" x="4271"/>
        <item m="1" x="506"/>
        <item m="1" x="2871"/>
        <item m="1" x="6534"/>
        <item m="1" x="6515"/>
        <item m="1" x="2687"/>
        <item m="1" x="6047"/>
        <item m="1" x="3681"/>
        <item m="1" x="5669"/>
        <item m="1" x="3504"/>
        <item m="1" x="5441"/>
        <item m="1" x="4489"/>
        <item m="1" x="884"/>
        <item m="1" x="974"/>
        <item m="1" x="1632"/>
        <item m="1" x="1014"/>
        <item m="1" x="1428"/>
        <item m="1" x="3263"/>
        <item m="1" x="6006"/>
        <item m="1" x="1537"/>
        <item m="1" x="1540"/>
        <item m="1" x="6538"/>
        <item m="1" x="5380"/>
        <item m="1" x="5631"/>
        <item m="1" x="3286"/>
        <item m="1" x="2364"/>
        <item m="1" x="6117"/>
        <item m="1" x="4705"/>
        <item m="1" x="1695"/>
        <item m="1" x="683"/>
        <item m="1" x="2101"/>
        <item m="1" x="3591"/>
        <item m="1" x="2025"/>
        <item m="1" x="4865"/>
        <item m="1" x="4080"/>
        <item m="1" x="1222"/>
        <item m="1" x="3749"/>
        <item m="1" x="4794"/>
        <item m="1" x="3461"/>
        <item m="1" x="2643"/>
        <item m="1" x="1637"/>
        <item m="1" x="937"/>
        <item m="1" x="886"/>
        <item m="1" x="1116"/>
        <item m="1" x="5065"/>
        <item m="1" x="5222"/>
        <item m="1" x="5978"/>
        <item m="1" x="1888"/>
        <item m="1" x="1121"/>
        <item m="1" x="5861"/>
        <item m="1" x="3830"/>
        <item m="1" x="6836"/>
        <item m="1" x="1308"/>
        <item m="1" x="2243"/>
        <item m="1" x="2852"/>
        <item m="1" x="1264"/>
        <item m="1" x="2481"/>
        <item m="1" x="3882"/>
        <item m="1" x="4024"/>
        <item m="1" x="2317"/>
        <item m="1" x="3061"/>
        <item m="1" x="3464"/>
        <item m="1" x="6289"/>
        <item m="1" x="2585"/>
        <item m="1" x="5296"/>
        <item m="1" x="4420"/>
        <item m="1" x="2901"/>
        <item m="1" x="3905"/>
        <item m="1" x="3144"/>
        <item m="1" x="3393"/>
        <item m="1" x="3444"/>
        <item m="1" x="6447"/>
        <item m="1" x="4759"/>
        <item m="1" x="1411"/>
        <item m="1" x="2449"/>
        <item m="1" x="2787"/>
        <item m="1" x="6869"/>
        <item m="1" x="1732"/>
        <item m="1" x="3710"/>
        <item m="1" x="6305"/>
        <item m="1" x="2384"/>
        <item m="1" x="3013"/>
        <item m="1" x="3673"/>
        <item m="1" x="2270"/>
        <item m="1" x="4220"/>
        <item m="1" x="5524"/>
        <item m="1" x="3141"/>
        <item m="1" x="6670"/>
        <item m="1" x="6782"/>
        <item m="1" x="1568"/>
        <item m="1" x="7018"/>
        <item m="1" x="2828"/>
        <item m="1" x="2889"/>
        <item m="1" x="3916"/>
        <item m="1" x="6617"/>
        <item m="1" x="3513"/>
        <item m="1" x="672"/>
        <item m="1" x="5809"/>
        <item m="1" x="4536"/>
        <item m="1" x="1668"/>
        <item m="1" x="6312"/>
        <item m="1" x="3449"/>
        <item m="1" x="5797"/>
        <item m="1" x="817"/>
        <item m="1" x="4802"/>
        <item m="1" x="5013"/>
        <item m="1" x="846"/>
        <item m="1" x="1305"/>
        <item m="1" x="4317"/>
        <item m="1" x="3827"/>
        <item m="1" x="1374"/>
        <item m="1" x="6233"/>
        <item m="1" x="5248"/>
        <item m="1" x="1924"/>
        <item m="1" x="5028"/>
        <item m="1" x="603"/>
        <item m="1" x="6014"/>
        <item m="1" x="986"/>
        <item m="1" x="5827"/>
        <item m="1" x="1021"/>
        <item m="1" x="5549"/>
        <item m="1" x="3378"/>
        <item m="1" x="6634"/>
        <item m="1" x="1913"/>
        <item m="1" x="5673"/>
        <item m="1" x="1628"/>
        <item m="1" x="3454"/>
        <item m="1" x="6608"/>
        <item m="1" x="3499"/>
        <item m="1" x="4211"/>
        <item m="1" x="1437"/>
        <item m="1" x="3518"/>
        <item m="1" x="2207"/>
        <item m="1" x="4675"/>
        <item m="1" x="6196"/>
        <item m="1" x="6808"/>
        <item m="1" x="1565"/>
        <item m="1" x="739"/>
        <item m="1" x="6144"/>
        <item m="1" x="2439"/>
        <item m="1" x="6469"/>
        <item m="1" x="3734"/>
        <item m="1" x="1915"/>
        <item m="1" x="3620"/>
        <item m="1" x="6871"/>
        <item m="1" x="3397"/>
        <item m="1" x="959"/>
        <item m="1" x="2593"/>
        <item m="1" x="2291"/>
        <item m="1" x="2606"/>
        <item m="1" x="3854"/>
        <item m="1" x="5579"/>
        <item m="1" x="5328"/>
        <item m="1" x="3903"/>
        <item m="1" x="6935"/>
        <item m="1" x="6204"/>
        <item m="1" x="6738"/>
        <item m="1" x="720"/>
        <item m="1" x="1065"/>
        <item m="1" x="6001"/>
        <item m="1" x="6249"/>
        <item m="1" x="6439"/>
        <item m="1" x="845"/>
        <item m="1" x="6593"/>
        <item m="1" x="4491"/>
        <item m="1" x="1076"/>
        <item m="1" x="5092"/>
        <item m="1" x="3809"/>
        <item m="1" x="1805"/>
        <item m="1" x="1346"/>
        <item m="1" x="5495"/>
        <item m="1" x="2465"/>
        <item m="1" x="1102"/>
        <item m="1" x="5976"/>
        <item m="1" x="5021"/>
        <item m="1" x="5051"/>
        <item m="1" x="3103"/>
        <item m="1" x="6980"/>
        <item m="1" x="2381"/>
        <item m="1" x="1311"/>
        <item m="1" x="1847"/>
        <item m="1" x="5284"/>
        <item m="1" x="3715"/>
        <item m="1" x="6960"/>
        <item m="1" x="6217"/>
        <item m="1" x="5622"/>
        <item m="1" x="5131"/>
        <item m="1" x="3638"/>
        <item m="1" x="2591"/>
        <item m="1" x="6588"/>
        <item m="1" x="6476"/>
        <item m="1" x="2773"/>
        <item m="1" x="2857"/>
        <item m="1" x="5163"/>
        <item m="1" x="4832"/>
        <item m="1" x="4848"/>
        <item m="1" x="3897"/>
        <item m="1" x="2091"/>
        <item m="1" x="2916"/>
        <item m="1" x="5054"/>
        <item m="1" x="2674"/>
        <item m="1" x="5242"/>
        <item m="1" x="6466"/>
        <item m="1" x="815"/>
        <item m="1" x="682"/>
        <item m="1" x="4364"/>
        <item m="1" x="4538"/>
        <item m="1" x="5828"/>
        <item m="1" x="4961"/>
        <item m="1" x="1505"/>
        <item m="1" x="3458"/>
        <item m="1" x="2470"/>
        <item m="1" x="2557"/>
        <item m="1" x="6792"/>
        <item m="1" x="5060"/>
        <item m="1" x="537"/>
        <item m="1" x="4642"/>
        <item m="1" x="3743"/>
        <item m="1" x="1415"/>
        <item m="1" x="2379"/>
        <item m="1" x="2959"/>
        <item m="1" x="2963"/>
        <item m="1" x="6277"/>
        <item m="1" x="6842"/>
        <item m="1" x="6924"/>
        <item m="1" x="7003"/>
        <item m="1" x="2193"/>
        <item m="1" x="4451"/>
        <item m="1" x="1033"/>
        <item m="1" x="4427"/>
        <item m="1" x="3129"/>
        <item m="1" x="4916"/>
        <item m="1" x="983"/>
        <item m="1" x="888"/>
        <item m="1" x="4650"/>
        <item m="1" x="1666"/>
        <item m="1" x="1601"/>
        <item m="1" x="2315"/>
        <item m="1" x="1375"/>
        <item m="1" x="6206"/>
        <item m="1" x="4144"/>
        <item m="1" x="5667"/>
        <item m="1" x="1935"/>
        <item m="1" x="913"/>
        <item m="1" x="5522"/>
        <item m="1" x="2300"/>
        <item m="1" x="4038"/>
        <item m="1" x="3299"/>
        <item m="1" x="3987"/>
        <item m="1" x="6681"/>
        <item m="1" x="1022"/>
        <item m="1" x="1445"/>
        <item m="1" x="2712"/>
        <item m="1" x="1630"/>
        <item m="1" x="3055"/>
        <item m="1" x="1495"/>
        <item m="1" x="1259"/>
        <item m="1" x="2867"/>
        <item m="1" x="5332"/>
        <item m="1" x="3735"/>
        <item m="1" x="760"/>
        <item m="1" x="3711"/>
        <item m="1" x="5845"/>
        <item m="1" x="919"/>
        <item m="1" x="4441"/>
        <item m="1" x="898"/>
        <item m="1" x="4612"/>
        <item m="1" x="2136"/>
        <item m="1" x="2325"/>
        <item m="1" x="2662"/>
        <item m="1" x="1749"/>
        <item m="1" x="6465"/>
        <item m="1" x="639"/>
        <item m="1" x="6921"/>
        <item m="1" x="2307"/>
        <item m="1" x="2812"/>
        <item m="1" x="1822"/>
        <item m="1" x="5463"/>
        <item m="1" x="4346"/>
        <item m="1" x="6703"/>
        <item m="1" x="4014"/>
        <item m="1" x="6573"/>
        <item m="1" x="6367"/>
        <item m="1" x="6693"/>
        <item m="1" x="3722"/>
        <item m="1" x="5962"/>
        <item m="1" x="5727"/>
        <item m="1" x="1416"/>
        <item m="1" x="3912"/>
        <item m="1" x="475"/>
        <item m="1" x="1166"/>
        <item m="1" x="3094"/>
        <item m="1" x="4148"/>
        <item m="1" x="3001"/>
        <item m="1" x="6590"/>
        <item m="1" x="995"/>
        <item m="1" x="2512"/>
        <item m="1" x="1281"/>
        <item m="1" x="3672"/>
        <item m="1" x="2533"/>
        <item m="1" x="5479"/>
        <item m="1" x="4676"/>
        <item m="1" x="576"/>
        <item m="1" x="1381"/>
        <item m="1" x="6468"/>
        <item m="1" x="1927"/>
        <item m="1" x="2909"/>
        <item m="1" x="4449"/>
        <item m="1" x="4633"/>
        <item m="1" x="697"/>
        <item m="1" x="4135"/>
        <item m="1" x="4639"/>
        <item m="1" x="4019"/>
        <item m="1" x="4298"/>
        <item m="1" x="2396"/>
        <item m="1" x="5105"/>
        <item m="1" x="3992"/>
        <item m="1" x="4784"/>
        <item m="1" x="3356"/>
        <item m="1" x="1010"/>
        <item m="1" x="6108"/>
        <item m="1" x="518"/>
        <item m="1" x="4622"/>
        <item m="1" x="2442"/>
        <item m="1" x="4550"/>
        <item m="1" x="5024"/>
        <item m="1" x="3072"/>
        <item m="1" x="3270"/>
        <item m="1" x="3097"/>
        <item m="1" x="4606"/>
        <item m="1" x="2886"/>
        <item m="1" x="6861"/>
        <item m="1" x="4682"/>
        <item m="1" x="6692"/>
        <item m="1" x="5774"/>
        <item m="1" x="2177"/>
        <item m="1" x="2287"/>
        <item m="1" x="5103"/>
        <item m="1" x="2250"/>
        <item m="1" x="1876"/>
        <item m="1" x="6095"/>
        <item m="1" x="1716"/>
        <item m="1" x="4626"/>
        <item m="1" x="1956"/>
        <item m="1" x="3156"/>
        <item m="1" x="4948"/>
        <item m="1" x="2159"/>
        <item m="1" x="6009"/>
        <item m="1" x="3146"/>
        <item m="1" x="2769"/>
        <item m="1" x="2543"/>
        <item m="1" x="5844"/>
        <item m="1" x="3025"/>
        <item m="1" x="552"/>
        <item m="1" x="5456"/>
        <item m="1" x="5731"/>
        <item m="1" x="4560"/>
        <item m="1" x="4929"/>
        <item m="1" x="842"/>
        <item m="1" x="853"/>
        <item m="1" x="1638"/>
        <item m="1" x="5494"/>
        <item m="1" x="6999"/>
        <item m="1" x="5900"/>
        <item m="1" x="3301"/>
        <item m="1" x="6943"/>
        <item m="1" x="2211"/>
        <item m="1" x="3147"/>
        <item m="1" x="4593"/>
        <item m="1" x="1799"/>
        <item m="1" x="4521"/>
        <item m="1" x="825"/>
        <item m="1" x="4667"/>
        <item m="1" x="4013"/>
        <item m="1" x="3914"/>
        <item m="1" x="2970"/>
        <item m="1" x="6279"/>
        <item m="1" x="2510"/>
        <item m="1" x="4189"/>
        <item m="1" x="1755"/>
        <item m="1" x="4137"/>
        <item m="1" x="5605"/>
        <item m="1" x="3227"/>
        <item m="1" x="2878"/>
        <item m="1" x="6753"/>
        <item m="1" x="2467"/>
        <item m="1" x="3522"/>
        <item m="1" x="752"/>
        <item m="1" x="6752"/>
        <item m="1" x="6221"/>
        <item m="1" x="1577"/>
        <item m="1" x="3245"/>
        <item m="1" x="1501"/>
        <item m="1" x="706"/>
        <item m="1" x="5279"/>
        <item m="1" x="967"/>
        <item m="1" x="1844"/>
        <item m="1" x="3482"/>
        <item m="1" x="5123"/>
        <item m="1" x="4632"/>
        <item m="1" x="6472"/>
        <item m="1" x="2892"/>
        <item m="1" x="1939"/>
        <item m="1" x="6586"/>
        <item m="1" x="2356"/>
        <item m="1" x="6266"/>
        <item m="1" x="5373"/>
        <item m="1" x="4425"/>
        <item m="1" x="1407"/>
        <item m="1" x="5082"/>
        <item m="1" x="3687"/>
        <item m="1" x="4492"/>
        <item m="1" x="2826"/>
        <item m="1" x="1436"/>
        <item m="1" x="492"/>
        <item m="1" x="6911"/>
        <item m="1" x="5668"/>
        <item m="1" x="2500"/>
        <item m="1" x="5925"/>
        <item m="1" x="3202"/>
        <item m="1" x="3563"/>
        <item m="1" x="5897"/>
        <item m="1" x="5715"/>
        <item m="1" x="5856"/>
        <item m="1" x="2060"/>
        <item m="1" x="2879"/>
        <item m="1" x="4195"/>
        <item m="1" x="1660"/>
        <item m="1" x="3993"/>
        <item m="1" x="566"/>
        <item m="1" x="2692"/>
        <item m="1" x="6300"/>
        <item m="1" x="2518"/>
        <item m="1" x="3751"/>
        <item m="1" x="5170"/>
        <item m="1" x="2290"/>
        <item m="1" x="615"/>
        <item m="1" x="992"/>
        <item m="1" x="2794"/>
        <item m="1" x="3386"/>
        <item m="1" x="1804"/>
        <item m="1" x="3244"/>
        <item m="1" x="6324"/>
        <item m="1" x="3060"/>
        <item m="1" x="3689"/>
        <item m="1" x="5904"/>
        <item m="1" x="988"/>
        <item m="1" x="6317"/>
        <item m="1" x="3418"/>
        <item m="1" x="3258"/>
        <item m="1" x="1085"/>
        <item m="1" x="4590"/>
        <item m="1" x="6558"/>
        <item m="1" x="530"/>
        <item m="1" x="1532"/>
        <item m="1" x="6359"/>
        <item m="1" x="3437"/>
        <item m="1" x="6816"/>
        <item m="1" x="2686"/>
        <item m="1" x="2338"/>
        <item m="1" x="6046"/>
        <item m="1" x="3946"/>
        <item m="1" x="1112"/>
        <item m="1" x="6652"/>
        <item m="1" x="5807"/>
        <item m="1" x="1762"/>
        <item m="1" x="1212"/>
        <item m="1" x="1911"/>
        <item m="1" x="743"/>
        <item m="1" x="839"/>
        <item m="1" x="4504"/>
        <item m="1" x="4471"/>
        <item m="1" x="6480"/>
        <item m="1" x="3963"/>
        <item m="1" x="3629"/>
        <item m="1" x="1228"/>
        <item m="1" x="6611"/>
        <item m="1" x="1982"/>
        <item m="1" x="4770"/>
        <item m="1" x="1124"/>
        <item m="1" x="563"/>
        <item m="1" x="470"/>
        <item m="1" x="6776"/>
        <item m="1" x="3302"/>
        <item m="1" x="3420"/>
        <item m="1" x="3698"/>
        <item m="1" x="2914"/>
        <item m="1" x="858"/>
        <item m="1" x="1030"/>
        <item m="1" x="3527"/>
        <item m="1" x="3855"/>
        <item m="1" x="4009"/>
        <item m="1" x="5973"/>
        <item m="1" x="5001"/>
        <item m="1" x="5002"/>
        <item m="1" x="4336"/>
        <item m="1" x="3999"/>
        <item m="1" x="4591"/>
        <item m="1" x="4227"/>
        <item m="1" x="1440"/>
        <item m="1" x="5096"/>
        <item m="1" x="776"/>
        <item m="1" x="5808"/>
        <item m="1" x="6244"/>
        <item m="1" x="3199"/>
        <item m="1" x="3362"/>
        <item m="1" x="5207"/>
        <item m="1" x="3714"/>
        <item m="1" x="5529"/>
        <item m="1" x="5039"/>
        <item m="1" x="3283"/>
        <item m="1" x="6194"/>
        <item m="1" x="4567"/>
        <item m="1" x="5630"/>
        <item m="1" x="4877"/>
        <item m="1" x="2713"/>
        <item m="1" x="5435"/>
        <item m="1" x="5657"/>
        <item m="1" x="6677"/>
        <item m="1" x="2988"/>
        <item m="1" x="1834"/>
        <item m="1" x="5254"/>
        <item m="1" x="6728"/>
        <item m="1" x="1122"/>
        <item m="1" x="4562"/>
        <item m="1" x="3510"/>
        <item m="1" x="509"/>
        <item m="1" x="3879"/>
        <item m="1" x="948"/>
        <item m="1" x="6812"/>
        <item m="1" x="3862"/>
        <item m="1" x="1518"/>
        <item m="1" x="3603"/>
        <item m="1" x="4742"/>
        <item m="1" x="1238"/>
        <item m="1" x="2069"/>
        <item m="1" x="3717"/>
        <item m="1" x="486"/>
        <item m="1" x="4093"/>
        <item m="1" x="2368"/>
        <item m="1" x="5864"/>
        <item m="1" x="6413"/>
        <item m="1" x="2995"/>
        <item m="1" x="1490"/>
        <item m="1" x="1019"/>
        <item m="1" x="5208"/>
        <item m="1" x="4266"/>
        <item m="1" x="4589"/>
        <item m="1" x="6362"/>
        <item m="1" x="6104"/>
        <item m="1" x="1591"/>
        <item m="1" x="3940"/>
        <item m="1" x="4663"/>
        <item m="1" x="2731"/>
        <item m="1" x="3118"/>
        <item m="1" x="1484"/>
        <item m="1" x="2355"/>
        <item m="1" x="6470"/>
        <item m="1" x="5004"/>
        <item m="1" x="1513"/>
        <item m="1" x="4048"/>
        <item m="1" x="2613"/>
        <item m="1" x="5772"/>
        <item m="1" x="2228"/>
        <item m="1" x="681"/>
        <item m="1" x="6211"/>
        <item m="1" x="4635"/>
        <item m="1" x="6103"/>
        <item m="1" x="775"/>
        <item m="1" x="2756"/>
        <item m="1" x="3313"/>
        <item m="1" x="1380"/>
        <item m="1" x="4439"/>
        <item m="1" x="2339"/>
        <item m="1" x="5871"/>
        <item m="1" x="1703"/>
        <item m="1" x="5182"/>
        <item m="1" x="6571"/>
        <item m="1" x="6536"/>
        <item m="1" x="3962"/>
        <item m="1" x="5725"/>
        <item m="1" x="6205"/>
        <item m="1" x="3048"/>
        <item m="1" x="5154"/>
        <item m="1" x="1670"/>
        <item m="1" x="646"/>
        <item m="1" x="5384"/>
        <item m="1" x="1736"/>
        <item m="1" x="801"/>
        <item m="1" x="3260"/>
        <item m="1" x="2004"/>
        <item m="1" x="2108"/>
        <item m="1" x="2167"/>
        <item m="1" x="4815"/>
        <item m="1" x="3101"/>
        <item m="1" x="6112"/>
        <item m="1" x="3560"/>
        <item m="1" x="6106"/>
        <item m="1" x="3839"/>
        <item m="1" x="1013"/>
        <item m="1" x="5537"/>
        <item m="1" x="4669"/>
        <item m="1" x="1918"/>
        <item m="1" x="2527"/>
        <item m="1" x="1209"/>
        <item m="1" x="4509"/>
        <item m="1" x="4605"/>
        <item m="1" x="6374"/>
        <item m="1" x="1865"/>
        <item m="1" x="6342"/>
        <item m="1" x="6972"/>
        <item m="1" x="3059"/>
        <item m="1" x="3481"/>
        <item m="1" x="5662"/>
        <item m="1" x="726"/>
        <item m="1" x="4005"/>
        <item m="1" x="2319"/>
        <item m="1" x="3193"/>
        <item m="1" x="1845"/>
        <item m="1" x="963"/>
        <item m="1" x="2702"/>
        <item m="1" x="5578"/>
        <item m="1" x="5750"/>
        <item m="1" x="5470"/>
        <item m="1" x="3440"/>
        <item m="1" x="1652"/>
        <item m="1" x="2242"/>
        <item m="1" x="4206"/>
        <item m="1" x="6870"/>
        <item m="1" x="4146"/>
        <item m="1" x="2964"/>
        <item m="1" x="5889"/>
        <item m="1" x="5743"/>
        <item m="1" x="3012"/>
        <item m="1" x="4869"/>
        <item m="1" x="3067"/>
        <item m="1" x="1515"/>
        <item m="1" x="851"/>
        <item m="1" x="6647"/>
        <item m="1" x="2438"/>
        <item m="1" x="687"/>
        <item m="1" x="1261"/>
        <item m="1" x="2667"/>
        <item m="1" x="6479"/>
        <item m="1" x="4652"/>
        <item m="1" x="1354"/>
        <item m="1" x="3220"/>
        <item m="1" x="3342"/>
        <item m="1" x="6159"/>
        <item m="1" x="4370"/>
        <item m="1" x="6299"/>
        <item m="1" x="5260"/>
        <item m="1" x="3769"/>
        <item m="1" x="2041"/>
        <item m="1" x="662"/>
        <item m="1" x="2251"/>
        <item m="1" x="4385"/>
        <item m="1" x="1317"/>
        <item m="1" x="7016"/>
        <item m="1" x="4657"/>
        <item m="1" x="4052"/>
        <item m="1" x="6707"/>
        <item m="1" x="2249"/>
        <item m="1" x="6967"/>
        <item m="1" x="2736"/>
        <item m="1" x="6799"/>
        <item m="1" x="3528"/>
        <item m="1" x="5552"/>
        <item m="1" x="6119"/>
        <item m="1" x="6627"/>
        <item m="1" x="4233"/>
        <item m="1" x="4888"/>
        <item m="1" x="4079"/>
        <item m="1" x="5379"/>
        <item m="1" x="5658"/>
        <item m="1" x="2588"/>
        <item m="1" x="1583"/>
        <item m="1" x="6555"/>
        <item m="1" x="6556"/>
        <item m="1" x="4988"/>
        <item m="1" x="6242"/>
        <item m="1" x="6230"/>
        <item m="1" x="4208"/>
        <item m="1" x="4872"/>
        <item m="1" x="1881"/>
        <item m="1" x="5813"/>
        <item m="1" x="5852"/>
        <item m="1" x="1000"/>
        <item m="1" x="5940"/>
        <item m="1" x="4584"/>
        <item m="1" x="6298"/>
        <item m="1" x="5029"/>
        <item m="1" x="1032"/>
        <item m="1" x="2649"/>
        <item m="1" x="4165"/>
        <item m="1" x="4990"/>
        <item m="1" x="5322"/>
        <item m="1" x="4564"/>
        <item m="1" x="5210"/>
        <item m="1" x="671"/>
        <item m="1" x="976"/>
        <item m="1" x="5734"/>
        <item m="1" x="2683"/>
        <item m="1" x="5875"/>
        <item m="1" x="1589"/>
        <item m="1" x="2785"/>
        <item m="1" x="6411"/>
        <item m="1" x="6234"/>
        <item m="1" x="1603"/>
        <item m="1" x="626"/>
        <item m="1" x="4710"/>
        <item m="1" x="4554"/>
        <item m="1" x="6807"/>
        <item m="1" x="2831"/>
        <item m="1" x="3219"/>
        <item m="1" x="3306"/>
        <item m="1" x="3312"/>
        <item m="1" x="1367"/>
        <item m="1" x="2497"/>
        <item m="1" x="2226"/>
        <item m="1" x="6338"/>
        <item m="1" x="5492"/>
        <item m="1" x="1426"/>
        <item m="1" x="5847"/>
        <item m="1" x="1247"/>
        <item m="1" x="6989"/>
        <item m="1" x="1796"/>
        <item m="1" x="4192"/>
        <item m="1" x="3376"/>
        <item m="1" x="2939"/>
        <item m="1" x="6333"/>
        <item m="1" x="7010"/>
        <item m="1" x="3663"/>
        <item m="1" x="2234"/>
        <item m="1" x="2515"/>
        <item m="1" x="2661"/>
        <item m="1" x="4234"/>
        <item m="1" x="6092"/>
        <item m="1" x="1432"/>
        <item m="1" x="1909"/>
        <item m="1" x="3285"/>
        <item m="1" x="4720"/>
        <item m="1" x="2011"/>
        <item m="1" x="2418"/>
        <item m="1" x="6295"/>
        <item m="1" x="1765"/>
        <item m="1" x="5863"/>
        <item m="1" x="6673"/>
        <item m="1" x="1653"/>
        <item m="1" x="5788"/>
        <item m="1" x="7024"/>
        <item m="1" x="1996"/>
        <item m="1" x="6734"/>
        <item m="1" x="3140"/>
        <item m="1" x="4258"/>
        <item m="1" x="1966"/>
        <item m="1" x="4333"/>
        <item m="1" x="6857"/>
        <item m="1" x="556"/>
        <item m="1" x="5488"/>
        <item m="1" x="6292"/>
        <item m="1" x="4775"/>
        <item m="1" x="1801"/>
        <item m="1" x="3074"/>
        <item m="1" x="1347"/>
        <item m="1" x="4141"/>
        <item m="1" x="1063"/>
        <item m="1" x="4178"/>
        <item m="1" x="6200"/>
        <item m="1" x="2247"/>
        <item m="1" x="4286"/>
        <item m="1" x="3154"/>
        <item m="1" x="6750"/>
        <item m="1" x="2176"/>
        <item m="1" x="3815"/>
        <item m="1" x="1627"/>
        <item m="1" x="1894"/>
        <item m="1" x="2472"/>
        <item m="1" x="6238"/>
        <item m="1" x="1872"/>
        <item m="1" x="2491"/>
        <item m="1" x="4881"/>
        <item m="1" x="2725"/>
        <item m="1" x="1550"/>
        <item m="1" x="1343"/>
        <item m="1" x="6975"/>
        <item m="1" x="1567"/>
        <item m="1" x="5162"/>
        <item m="1" x="579"/>
        <item m="1" x="3344"/>
        <item m="1" x="1832"/>
        <item m="1" x="3747"/>
        <item m="1" x="6306"/>
        <item m="1" x="1351"/>
        <item m="1" x="6460"/>
        <item m="1" x="2624"/>
        <item m="1" x="3110"/>
        <item m="1" x="4314"/>
        <item m="1" x="4347"/>
        <item m="1" x="5990"/>
        <item m="1" x="3439"/>
        <item m="1" x="3266"/>
        <item m="1" x="1332"/>
        <item m="1" x="4188"/>
        <item m="1" x="4457"/>
        <item m="1" x="2951"/>
        <item m="1" x="5742"/>
        <item m="1" x="676"/>
        <item m="1" x="5538"/>
        <item m="1" x="5447"/>
        <item m="1" x="1993"/>
        <item m="1" x="2833"/>
        <item m="1" x="5330"/>
        <item m="1" x="4966"/>
        <item m="1" x="2150"/>
        <item m="1" x="5938"/>
        <item m="1" x="990"/>
        <item m="1" x="710"/>
        <item m="1" x="4202"/>
        <item m="1" x="903"/>
        <item m="1" x="6868"/>
        <item m="1" x="5372"/>
        <item m="1" x="655"/>
        <item m="1" x="2073"/>
        <item m="1" x="6054"/>
        <item m="1" x="2694"/>
        <item m="1" x="915"/>
        <item m="1" x="2589"/>
        <item m="1" x="6420"/>
        <item m="1" x="2240"/>
        <item m="1" x="5130"/>
        <item m="1" x="6121"/>
        <item m="1" x="5233"/>
        <item m="1" x="1313"/>
        <item m="1" x="1478"/>
        <item m="1" x="3198"/>
        <item m="1" x="1785"/>
        <item m="1" x="1408"/>
        <item m="1" x="6363"/>
        <item m="1" x="6364"/>
        <item m="1" x="5119"/>
        <item m="1" x="1680"/>
        <item m="1" x="1860"/>
        <item m="1" x="2468"/>
        <item m="1" x="6906"/>
        <item m="1" x="1488"/>
        <item m="1" x="3161"/>
        <item m="1" x="3741"/>
        <item m="1" x="6625"/>
        <item m="1" x="2326"/>
        <item m="1" x="3267"/>
        <item m="1" x="945"/>
        <item m="1" x="4753"/>
        <item m="1" x="4029"/>
        <item m="1" x="2016"/>
        <item m="1" x="835"/>
        <item m="1" x="1104"/>
        <item m="1" x="3261"/>
        <item m="1" x="4812"/>
        <item m="1" x="1089"/>
        <item m="1" x="521"/>
        <item m="1" x="1491"/>
        <item m="1" x="2051"/>
        <item m="1" x="745"/>
        <item m="1" x="5825"/>
        <item m="1" x="2164"/>
        <item m="1" x="5843"/>
        <item m="1" x="6700"/>
        <item m="1" x="1848"/>
        <item m="1" x="3280"/>
        <item m="1" x="6375"/>
        <item m="1" x="6541"/>
        <item m="1" x="2429"/>
        <item m="1" x="2402"/>
        <item m="1" x="5474"/>
        <item m="1" x="1712"/>
        <item m="1" x="3967"/>
        <item m="1" x="4139"/>
        <item m="1" x="5139"/>
        <item m="1" x="5334"/>
        <item m="1" x="2463"/>
        <item m="1" x="571"/>
        <item m="1" x="4664"/>
        <item m="1" x="2040"/>
        <item m="1" x="1957"/>
        <item m="1" x="6100"/>
        <item m="1" x="3271"/>
        <item m="1" x="5540"/>
        <item m="1" x="3889"/>
        <item m="1" x="5952"/>
        <item m="1" x="4486"/>
        <item m="1" x="6482"/>
        <item m="1" x="1978"/>
        <item m="1" x="2509"/>
        <item m="1" x="5979"/>
        <item m="1" x="6265"/>
        <item m="1" x="6910"/>
        <item m="1" x="3547"/>
        <item m="1" x="4801"/>
        <item m="1" x="947"/>
        <item m="1" x="3589"/>
        <item m="1" x="6656"/>
        <item m="1" x="2123"/>
        <item m="1" x="1254"/>
        <item m="1" x="490"/>
        <item m="1" x="4797"/>
        <item m="1" x="5859"/>
        <item m="1" x="6946"/>
        <item m="1" x="5833"/>
        <item m="1" x="2359"/>
        <item m="1" x="4388"/>
        <item m="1" x="629"/>
        <item m="1" x="3132"/>
        <item m="1" x="5312"/>
        <item m="1" x="954"/>
        <item m="1" x="2445"/>
        <item m="1" x="5141"/>
        <item m="1" x="6036"/>
        <item m="1" x="6097"/>
        <item m="1" x="4574"/>
        <item m="1" x="2262"/>
        <item m="1" x="6050"/>
        <item m="1" x="1873"/>
        <item m="1" x="6486"/>
        <item m="1" x="541"/>
        <item m="1" x="1109"/>
        <item m="1" x="4499"/>
        <item m="1" x="1260"/>
        <item m="1" x="1025"/>
        <item m="1" x="1201"/>
        <item m="1" x="6328"/>
        <item m="1" x="4805"/>
        <item m="1" x="3078"/>
        <item m="1" x="1551"/>
        <item m="1" x="4908"/>
        <item m="1" x="1903"/>
        <item m="1" x="3595"/>
        <item m="1" x="3403"/>
        <item m="1" x="1341"/>
        <item m="1" x="5489"/>
        <item m="1" x="695"/>
        <item m="1" x="6834"/>
        <item m="1" x="5085"/>
        <item m="1" x="1665"/>
        <item m="1" x="5802"/>
        <item m="1" x="4362"/>
        <item m="1" x="2841"/>
        <item m="1" x="6191"/>
        <item m="1" x="3819"/>
        <item m="1" x="4719"/>
        <item m="1" x="3238"/>
        <item m="1" x="857"/>
        <item m="1" x="4253"/>
        <item m="1" x="2080"/>
        <item m="1" x="4371"/>
        <item m="1" x="2626"/>
        <item m="1" x="5558"/>
        <item m="1" x="2553"/>
        <item m="1" x="1608"/>
        <item m="1" x="6638"/>
        <item m="1" x="6953"/>
        <item m="1" x="3850"/>
        <item m="1" x="2824"/>
        <item m="1" x="1137"/>
        <item m="1" x="6207"/>
        <item m="1" x="5216"/>
        <item m="1" x="5042"/>
        <item m="1" x="1074"/>
        <item m="1" x="4442"/>
        <item m="1" x="928"/>
        <item m="1" x="6257"/>
        <item m="1" x="5038"/>
        <item m="1" x="5713"/>
        <item m="1" x="1769"/>
        <item m="1" x="4936"/>
        <item m="1" x="1173"/>
        <item m="1" x="4864"/>
        <item m="1" x="1058"/>
        <item m="1" x="6057"/>
        <item m="1" x="6516"/>
        <item m="1" x="3090"/>
        <item m="1" x="6977"/>
        <item m="1" x="2265"/>
        <item m="1" x="4544"/>
        <item m="1" x="6548"/>
        <item m="1" x="5199"/>
        <item m="1" x="3134"/>
        <item m="1" x="4696"/>
        <item m="1" x="4474"/>
        <item m="1" x="2009"/>
        <item m="1" x="6088"/>
        <item m="1" x="1215"/>
        <item m="1" x="1265"/>
        <item m="1" x="2504"/>
        <item m="1" x="1453"/>
        <item m="1" x="5965"/>
        <item m="1" x="6741"/>
        <item m="1" x="5907"/>
        <item m="1" x="3954"/>
        <item m="1" x="6958"/>
        <item m="1" x="4092"/>
        <item m="1" x="811"/>
        <item m="1" x="1372"/>
        <item m="1" x="551"/>
        <item m="1" x="5836"/>
        <item m="1" x="5977"/>
        <item m="1" x="2728"/>
        <item m="1" x="582"/>
        <item m="1" x="548"/>
        <item m="1" x="4901"/>
        <item m="1" x="3077"/>
        <item m="1" x="589"/>
        <item m="1" x="2605"/>
        <item m="1" x="6268"/>
        <item m="1" x="4161"/>
        <item m="1" x="3277"/>
        <item m="1" x="4459"/>
        <item m="1" x="3788"/>
        <item m="1" x="6247"/>
        <item m="1" x="1741"/>
        <item m="1" x="3254"/>
        <item m="1" x="5794"/>
        <item m="1" x="1378"/>
        <item m="1" x="5593"/>
        <item m="1" x="1808"/>
        <item m="1" x="5418"/>
        <item m="1" x="3075"/>
        <item m="1" x="1527"/>
        <item m="1" x="3524"/>
        <item m="1" x="3951"/>
        <item m="1" x="555"/>
        <item m="1" x="5265"/>
        <item m="1" x="535"/>
        <item m="1" x="5476"/>
        <item m="1" x="5592"/>
        <item m="1" x="2141"/>
        <item m="1" x="1427"/>
        <item m="1" x="3501"/>
        <item m="1" x="3780"/>
        <item m="1" x="5947"/>
        <item m="1" x="6644"/>
        <item m="1" x="2031"/>
        <item m="1" x="1447"/>
        <item m="1" x="528"/>
        <item m="1" x="3336"/>
        <item m="1" x="3726"/>
        <item m="1" x="766"/>
        <item m="1" x="3602"/>
        <item m="1" x="4762"/>
        <item m="1" x="6186"/>
        <item m="1" x="2148"/>
        <item m="1" x="3991"/>
        <item m="1" x="4973"/>
        <item m="1" x="2288"/>
        <item m="1" x="7026"/>
        <item m="1" x="4760"/>
        <item m="1" x="1984"/>
        <item m="1" x="1819"/>
        <item m="1" x="2564"/>
        <item m="1" x="2127"/>
        <item m="1" x="6850"/>
        <item m="1" x="3580"/>
        <item m="1" x="5832"/>
        <item m="1" x="4614"/>
        <item m="1" x="1425"/>
        <item m="1" x="2395"/>
        <item m="1" x="3387"/>
        <item m="1" x="3562"/>
        <item m="1" x="3641"/>
        <item m="1" x="902"/>
        <item m="1" x="2185"/>
        <item m="1" x="1556"/>
        <item m="1" x="3006"/>
        <item m="1" x="841"/>
        <item m="1" x="2876"/>
        <item m="1" x="1667"/>
        <item m="1" x="5204"/>
        <item m="1" x="5814"/>
        <item m="1" x="777"/>
        <item m="1" x="6547"/>
        <item m="1" x="5087"/>
        <item m="1" x="4868"/>
        <item m="1" x="1709"/>
        <item m="1" x="3594"/>
        <item m="1" x="3190"/>
        <item m="1" x="3929"/>
        <item m="1" x="652"/>
        <item m="1" x="4889"/>
        <item m="1" x="2187"/>
        <item m="1" x="645"/>
        <item m="1" x="5138"/>
        <item m="1" x="2360"/>
        <item m="1" x="3406"/>
        <item m="1" x="4138"/>
        <item m="1" x="2935"/>
        <item m="1" x="1217"/>
        <item m="1" x="5425"/>
        <item m="1" x="6151"/>
        <item m="1" x="2457"/>
        <item m="1" x="2556"/>
        <item m="1" x="1271"/>
        <item m="1" x="3007"/>
        <item m="1" x="6020"/>
        <item m="1" x="6832"/>
        <item m="1" x="5428"/>
        <item m="1" x="3186"/>
        <item m="1" x="3178"/>
        <item m="1" x="4434"/>
        <item m="1" x="6650"/>
        <item m="1" x="2738"/>
        <item m="1" x="5872"/>
        <item m="1" x="1309"/>
        <item m="1" x="3695"/>
        <item m="1" x="1489"/>
        <item m="1" x="1075"/>
        <item m="1" x="6264"/>
        <item m="1" x="5545"/>
        <item m="1" x="1070"/>
        <item m="1" x="1619"/>
        <item m="1" x="6526"/>
        <item m="1" x="4061"/>
        <item m="1" x="1340"/>
        <item m="1" x="6775"/>
        <item m="1" x="1172"/>
        <item m="1" x="6507"/>
        <item m="1" x="4987"/>
        <item m="1" x="2920"/>
        <item m="1" x="6553"/>
        <item m="1" x="3448"/>
        <item m="1" x="2350"/>
        <item m="1" x="4028"/>
        <item m="1" x="2450"/>
        <item m="1" x="503"/>
        <item m="1" x="3334"/>
        <item m="1" x="3939"/>
        <item m="1" x="6962"/>
        <item m="1" x="810"/>
        <item m="1" x="5795"/>
        <item m="1" x="2137"/>
        <item m="1" x="2915"/>
        <item m="1" x="1684"/>
        <item m="1" x="5769"/>
        <item m="1" x="5928"/>
        <item m="1" x="991"/>
        <item m="1" x="4788"/>
        <item m="1" x="7007"/>
        <item m="1" x="5409"/>
        <item m="1" x="1073"/>
        <item m="1" x="2479"/>
        <item m="1" x="6554"/>
        <item m="1" x="4821"/>
        <item m="1" x="5796"/>
        <item m="1" x="2451"/>
        <item m="1" x="705"/>
        <item m="1" x="4372"/>
        <item m="1" x="2639"/>
        <item m="1" x="6925"/>
        <item m="1" x="3557"/>
        <item m="1" x="3776"/>
        <item m="1" x="2409"/>
        <item m="1" x="3311"/>
        <item m="1" x="4197"/>
        <item m="1" x="514"/>
        <item m="1" x="5192"/>
        <item m="1" x="6077"/>
        <item m="1" x="3922"/>
        <item m="1" x="2836"/>
        <item m="1" x="5018"/>
        <item m="1" x="5991"/>
        <item m="1" x="5736"/>
        <item m="1" x="946"/>
        <item m="1" x="4350"/>
        <item m="1" x="6577"/>
        <item m="1" x="4184"/>
        <item m="1" x="2965"/>
        <item m="1" x="5225"/>
        <item m="1" x="2705"/>
        <item m="1" x="2117"/>
        <item m="1" x="6540"/>
        <item m="1" x="6705"/>
        <item m="1" x="4069"/>
        <item m="1" x="2749"/>
        <item m="1" x="4918"/>
        <item m="1" x="6810"/>
        <item m="1" x="6135"/>
        <item m="1" x="6419"/>
        <item m="1" x="4861"/>
        <item m="1" x="1263"/>
        <item m="1" x="4357"/>
        <item m="1" x="3569"/>
        <item m="1" x="3818"/>
        <item m="1" x="6907"/>
        <item m="1" x="5340"/>
        <item m="1" x="936"/>
        <item m="1" x="901"/>
        <item m="1" x="1639"/>
        <item m="1" x="951"/>
        <item m="1" x="6659"/>
        <item m="1" x="1734"/>
        <item m="1" x="1892"/>
        <item m="1" x="1035"/>
        <item m="1" x="1672"/>
        <item m="1" x="5903"/>
        <item m="1" x="4150"/>
        <item m="1" x="4928"/>
        <item m="1" x="3282"/>
        <item m="1" x="6848"/>
        <item m="1" x="6134"/>
        <item m="1" x="6525"/>
        <item m="1" x="2615"/>
        <item m="1" x="5902"/>
        <item m="1" x="994"/>
        <item m="1" x="1092"/>
        <item m="1" x="1856"/>
        <item m="1" x="2803"/>
        <item m="1" x="2446"/>
        <item m="1" x="3634"/>
        <item m="1" x="2875"/>
        <item m="1" x="3300"/>
        <item m="1" x="3843"/>
        <item m="1" x="4218"/>
        <item m="1" x="3898"/>
        <item m="1" x="2139"/>
        <item m="1" x="1691"/>
        <item m="1" x="1725"/>
        <item m="1" x="5437"/>
        <item m="1" x="4404"/>
        <item m="1" x="997"/>
        <item m="1" x="1811"/>
        <item m="1" x="1995"/>
        <item m="1" x="4012"/>
        <item m="1" x="6267"/>
        <item m="1" x="2464"/>
        <item m="1" x="5963"/>
        <item m="1" x="3692"/>
        <item m="1" x="4447"/>
        <item m="1" x="3859"/>
        <item m="1" x="737"/>
        <item m="1" x="5634"/>
        <item m="1" x="5798"/>
        <item m="1" x="2917"/>
        <item m="1" x="3760"/>
        <item m="1" x="754"/>
        <item m="1" x="4828"/>
        <item m="1" x="6949"/>
        <item m="1" x="1394"/>
        <item m="1" x="1350"/>
        <item m="1" x="5724"/>
        <item m="1" x="2327"/>
        <item m="1" x="2659"/>
        <item m="1" x="6231"/>
        <item m="1" x="6307"/>
        <item m="1" x="4823"/>
        <item m="1" x="3308"/>
        <item m="1" x="3030"/>
        <item m="1" x="2077"/>
        <item m="1" x="6019"/>
        <item m="1" x="598"/>
        <item m="1" x="6069"/>
        <item m="1" x="5345"/>
        <item m="1" x="4335"/>
        <item m="1" x="5101"/>
        <item m="1" x="1496"/>
        <item m="1" x="918"/>
        <item m="1" x="5319"/>
        <item m="1" x="6125"/>
        <item m="1" x="725"/>
        <item m="1" x="3597"/>
        <item m="1" x="5289"/>
        <item m="1" x="5093"/>
        <item m="1" x="5985"/>
        <item m="1" x="3024"/>
        <item m="1" x="2760"/>
        <item m="1" x="1528"/>
        <item m="1" x="4323"/>
        <item m="1" x="3496"/>
        <item m="1" x="1621"/>
        <item m="1" x="3783"/>
        <item m="1" x="4403"/>
        <item m="1" x="6381"/>
        <item m="1" x="3289"/>
        <item m="1" x="3069"/>
        <item m="1" x="1221"/>
        <item m="1" x="4243"/>
        <item m="1" x="2219"/>
        <item m="1" x="3259"/>
        <item m="1" x="1042"/>
        <item m="1" x="6169"/>
        <item m="1" x="5564"/>
        <item m="1" x="3425"/>
        <item m="1" x="2572"/>
        <item m="1" x="5501"/>
        <item m="1" x="4432"/>
        <item m="1" x="6340"/>
        <item m="1" x="2987"/>
        <item m="1" x="6239"/>
        <item m="1" x="1962"/>
        <item m="1" x="5473"/>
        <item m="1" x="498"/>
        <item m="1" x="827"/>
        <item m="1" x="3979"/>
        <item m="1" x="3450"/>
        <item m="1" x="2334"/>
        <item m="1" x="5841"/>
        <item m="1" x="2403"/>
        <item m="1" x="5278"/>
        <item m="1" x="3572"/>
        <item m="1" x="3339"/>
        <item m="1" x="6712"/>
        <item m="1" x="7032"/>
        <item m="1" x="1409"/>
        <item m="1" x="601"/>
        <item m="1" x="2634"/>
        <item m="1" x="1640"/>
        <item m="1" x="5677"/>
        <item m="1" x="1177"/>
        <item m="1" x="4412"/>
        <item m="1" x="5310"/>
        <item m="1" x="6756"/>
        <item m="1" x="4106"/>
        <item m="1" x="1266"/>
        <item m="1" x="3926"/>
        <item m="1" x="2183"/>
        <item m="1" x="4487"/>
        <item m="1" x="1463"/>
        <item m="1" x="2179"/>
        <item m="1" x="6188"/>
        <item m="1" x="2380"/>
        <item m="1" x="6954"/>
        <item m="1" x="6389"/>
        <item m="1" x="2215"/>
        <item m="1" x="4653"/>
        <item m="1" x="1657"/>
        <item m="1" x="5118"/>
        <item m="1" x="4167"/>
        <item m="1" x="2986"/>
        <item m="1" x="5935"/>
        <item m="1" x="6148"/>
        <item m="1" x="6628"/>
        <item m="1" x="5599"/>
        <item m="1" x="3380"/>
        <item m="1" x="4159"/>
        <item m="1" x="4020"/>
        <item m="1" x="4306"/>
        <item m="1" x="4156"/>
        <item m="1" x="4943"/>
        <item m="1" x="3010"/>
        <item m="1" x="4662"/>
        <item m="1" x="3658"/>
        <item m="1" x="1783"/>
        <item m="1" x="6004"/>
        <item m="1" x="3644"/>
        <item m="1" x="6320"/>
        <item m="1" x="1345"/>
        <item m="1" x="5032"/>
        <item m="1" x="3442"/>
        <item m="1" x="6896"/>
        <item m="1" x="4454"/>
        <item m="1" x="5946"/>
        <item m="1" x="3686"/>
        <item m="1" x="2146"/>
        <item m="1" x="6811"/>
        <item m="1" x="4229"/>
        <item m="1" x="3807"/>
        <item m="1" x="5432"/>
        <item m="1" x="5918"/>
        <item m="1" x="679"/>
        <item m="1" x="5850"/>
        <item m="1" x="5129"/>
        <item m="1" x="3291"/>
        <item m="1" x="1278"/>
        <item m="1" x="5426"/>
        <item m="1" x="527"/>
        <item m="1" x="6433"/>
        <item m="1" x="1746"/>
        <item m="1" x="1450"/>
        <item m="1" x="3165"/>
        <item m="1" x="3740"/>
        <item m="1" x="546"/>
        <item m="1" x="244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0"/>
        <item x="2"/>
        <item x="176"/>
        <item x="27"/>
      </items>
    </pivotField>
    <pivotField showAll="0"/>
    <pivotField dataField="1" showAll="0"/>
    <pivotField dataField="1" showAll="0"/>
    <pivotField axis="axisRow" showAll="0">
      <items count="92">
        <item x="1"/>
        <item x="40"/>
        <item m="1" x="51"/>
        <item m="1" x="75"/>
        <item x="34"/>
        <item x="27"/>
        <item m="1" x="65"/>
        <item m="1" x="66"/>
        <item m="1" x="58"/>
        <item m="1" x="77"/>
        <item m="1" x="79"/>
        <item m="1" x="78"/>
        <item m="1" x="43"/>
        <item m="1" x="72"/>
        <item x="31"/>
        <item x="16"/>
        <item x="5"/>
        <item x="6"/>
        <item x="35"/>
        <item m="1" x="62"/>
        <item m="1" x="48"/>
        <item x="33"/>
        <item m="1" x="44"/>
        <item m="1" x="54"/>
        <item x="28"/>
        <item m="1" x="59"/>
        <item m="1" x="80"/>
        <item m="1" x="73"/>
        <item m="1" x="52"/>
        <item m="1" x="55"/>
        <item m="1" x="90"/>
        <item x="23"/>
        <item m="1" x="88"/>
        <item m="1" x="60"/>
        <item m="1" x="68"/>
        <item x="7"/>
        <item x="12"/>
        <item x="36"/>
        <item m="1" x="89"/>
        <item x="24"/>
        <item m="1" x="69"/>
        <item m="1" x="63"/>
        <item x="42"/>
        <item x="18"/>
        <item m="1" x="53"/>
        <item m="1" x="76"/>
        <item m="1" x="74"/>
        <item m="1" x="47"/>
        <item m="1" x="85"/>
        <item m="1" x="84"/>
        <item x="17"/>
        <item m="1" x="67"/>
        <item m="1" x="87"/>
        <item m="1" x="82"/>
        <item x="41"/>
        <item m="1" x="49"/>
        <item m="1" x="83"/>
        <item m="1" x="57"/>
        <item m="1" x="50"/>
        <item m="1" x="86"/>
        <item m="1" x="81"/>
        <item m="1" x="70"/>
        <item x="29"/>
        <item x="30"/>
        <item x="26"/>
        <item m="1" x="45"/>
        <item x="37"/>
        <item x="25"/>
        <item x="39"/>
        <item m="1" x="64"/>
        <item m="1" x="61"/>
        <item x="38"/>
        <item m="1" x="46"/>
        <item m="1" x="71"/>
        <item m="1" x="56"/>
        <item x="0"/>
        <item x="2"/>
        <item x="3"/>
        <item x="4"/>
        <item x="8"/>
        <item x="9"/>
        <item x="10"/>
        <item x="11"/>
        <item x="13"/>
        <item x="14"/>
        <item x="15"/>
        <item x="19"/>
        <item x="20"/>
        <item x="21"/>
        <item x="22"/>
        <item x="32"/>
        <item t="default"/>
      </items>
    </pivotField>
  </pivotFields>
  <rowFields count="3">
    <field x="13"/>
    <field x="0"/>
    <field x="9"/>
  </rowFields>
  <rowItems count="7">
    <i>
      <x/>
    </i>
    <i r="1">
      <x v="31"/>
    </i>
    <i r="2">
      <x/>
    </i>
    <i>
      <x v="75"/>
    </i>
    <i r="1">
      <x v="31"/>
    </i>
    <i r="2">
      <x v="7030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Durée Base de Départ" fld="12" subtotal="max" baseField="13" baseItem="1" numFmtId="46"/>
    <dataField name="Durée de transit" fld="11" subtotal="max" baseField="13" baseItem="1" numFmtId="46"/>
  </dataFields>
  <chartFormats count="2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eau croisé dynamique2" cacheId="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2">
  <location ref="A3:B6" firstHeaderRow="1" firstDataRow="1" firstDataCol="1"/>
  <pivotFields count="10">
    <pivotField axis="axisRow" multipleItemSelectionAllowed="1" showAll="0">
      <items count="10">
        <item h="1" x="0"/>
        <item h="1" x="1"/>
        <item h="1" x="2"/>
        <item h="1" x="3"/>
        <item h="1" x="4"/>
        <item x="5"/>
        <item h="1" x="6"/>
        <item h="1" x="7"/>
        <item h="1" m="1" x="8"/>
        <item t="default"/>
      </items>
    </pivotField>
    <pivotField axis="axisRow" showAll="0">
      <items count="68"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32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0"/>
        <item h="1" x="1"/>
        <item h="1" x="36"/>
        <item h="1" x="2"/>
        <item h="1" x="3"/>
        <item h="1" x="4"/>
        <item h="1" x="5"/>
        <item h="1" m="1" x="59"/>
        <item h="1" m="1" x="57"/>
        <item h="1" m="1" x="45"/>
        <item h="1" m="1" x="46"/>
        <item h="1" m="1" x="53"/>
        <item h="1" m="1" x="66"/>
        <item h="1" m="1" x="37"/>
        <item h="1" m="1" x="38"/>
        <item h="1" m="1" x="63"/>
        <item h="1" m="1" x="48"/>
        <item h="1" m="1" x="64"/>
        <item h="1" m="1" x="58"/>
        <item h="1" m="1" x="56"/>
        <item h="1" m="1" x="54"/>
        <item h="1" m="1" x="60"/>
        <item h="1" m="1" x="61"/>
        <item h="1" m="1" x="43"/>
        <item h="1" m="1" x="55"/>
        <item h="1" m="1" x="62"/>
        <item h="1" m="1" x="47"/>
        <item h="1" m="1" x="39"/>
        <item h="1" m="1" x="52"/>
        <item h="1" m="1" x="65"/>
        <item h="1" m="1" x="44"/>
        <item h="1" m="1" x="40"/>
        <item h="1" m="1" x="41"/>
        <item h="1" m="1" x="42"/>
        <item h="1" m="1" x="49"/>
        <item h="1" m="1" x="50"/>
        <item h="1" m="1" x="51"/>
        <item h="1" x="29"/>
        <item h="1" x="30"/>
        <item h="1" x="31"/>
        <item h="1" x="33"/>
        <item x="34"/>
        <item h="1" x="3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3">
    <i>
      <x v="65"/>
    </i>
    <i r="1">
      <x v="5"/>
    </i>
    <i t="grand">
      <x/>
    </i>
  </rowItems>
  <colItems count="1">
    <i/>
  </colItems>
  <dataFields count="1">
    <dataField name="Somme de Distance (km)" fld="3" baseField="0" baseItem="0" numFmtId="1"/>
  </dataFields>
  <chartFormats count="2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Jour" sourceName="Jour">
  <pivotTables>
    <pivotTable tabId="7" name="Tableau croisé dynamique5"/>
    <pivotTable tabId="7" name="Tableau croisé dynamique6"/>
    <pivotTable tabId="7" name="Tableau croisé dynamique7"/>
    <pivotTable tabId="7" name="Tableau croisé dynamique8"/>
  </pivotTables>
  <data>
    <tabular pivotCacheId="6">
      <items count="10">
        <i x="0" s="1"/>
        <i x="1" s="1" nd="1"/>
        <i x="3" s="1" nd="1"/>
        <i x="4" s="1" nd="1"/>
        <i x="2" s="1" nd="1"/>
        <i x="9" s="1" nd="1"/>
        <i x="5" s="1" nd="1"/>
        <i x="8" s="1" nd="1"/>
        <i x="7" s="1" nd="1"/>
        <i x="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JOUR1" sourceName="JOUR">
  <pivotTables>
    <pivotTable tabId="7" name="Tableau croisé dynamique3"/>
    <pivotTable tabId="7" name="Tableau croisé dynamique2"/>
    <pivotTable tabId="7" name="Tableau croisé dynamique1"/>
  </pivotTables>
  <data>
    <tabular pivotCacheId="2">
      <items count="9">
        <i x="0"/>
        <i x="1"/>
        <i x="2"/>
        <i x="3"/>
        <i x="4"/>
        <i x="5" s="1"/>
        <i x="6" nd="1"/>
        <i x="8" nd="1"/>
        <i x="7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VEHICULE" sourceName="VEHICULE">
  <pivotTables>
    <pivotTable tabId="7" name="Tableau croisé dynamique3"/>
    <pivotTable tabId="7" name="Tableau croisé dynamique1"/>
    <pivotTable tabId="7" name="Tableau croisé dynamique2"/>
  </pivotTables>
  <data>
    <tabular pivotCacheId="2">
      <items count="67">
        <i x="0"/>
        <i x="29"/>
        <i x="30"/>
        <i x="31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32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33"/>
        <i x="34" s="1"/>
        <i x="35"/>
        <i x="59" nd="1"/>
        <i x="57" nd="1"/>
        <i x="45" nd="1"/>
        <i x="46" nd="1"/>
        <i x="53" nd="1"/>
        <i x="66" nd="1"/>
        <i x="37" nd="1"/>
        <i x="38" nd="1"/>
        <i x="63" nd="1"/>
        <i x="48" nd="1"/>
        <i x="64" nd="1"/>
        <i x="58" nd="1"/>
        <i x="56" nd="1"/>
        <i x="54" nd="1"/>
        <i x="60" nd="1"/>
        <i x="61" nd="1"/>
        <i x="43" nd="1"/>
        <i x="55" nd="1"/>
        <i x="62" nd="1"/>
        <i x="47" nd="1"/>
        <i x="39" nd="1"/>
        <i x="52" nd="1"/>
        <i x="65" nd="1"/>
        <i x="44" nd="1"/>
        <i x="40" nd="1"/>
        <i x="41" nd="1"/>
        <i x="42" nd="1"/>
        <i x="49" nd="1"/>
        <i x="50" nd="1"/>
        <i x="51" nd="1"/>
        <i x="36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Véhicule" sourceName="Véhicule">
  <pivotTables>
    <pivotTable tabId="7" name="Tableau croisé dynamique5"/>
    <pivotTable tabId="7" name="Tableau croisé dynamique6"/>
    <pivotTable tabId="7" name="Tableau croisé dynamique7"/>
    <pivotTable tabId="7" name="Tableau croisé dynamique8"/>
  </pivotTables>
  <data>
    <tabular pivotCacheId="6">
      <items count="37">
        <i x="0" s="1"/>
        <i x="1"/>
        <i x="2"/>
        <i x="3"/>
        <i x="20"/>
        <i x="25"/>
        <i x="12"/>
        <i x="24"/>
        <i x="13"/>
        <i x="10"/>
        <i x="14"/>
        <i x="4"/>
        <i x="15"/>
        <i x="21"/>
        <i x="22"/>
        <i x="27"/>
        <i x="16"/>
        <i x="23"/>
        <i x="26"/>
        <i x="17"/>
        <i x="18"/>
        <i x="19"/>
        <i x="11"/>
        <i x="5"/>
        <i x="6"/>
        <i x="7"/>
        <i x="8"/>
        <i x="9"/>
        <i x="34" nd="1"/>
        <i x="29" nd="1"/>
        <i x="36" nd="1"/>
        <i x="35" nd="1"/>
        <i x="31" nd="1"/>
        <i x="32" nd="1"/>
        <i x="33" nd="1"/>
        <i x="30" nd="1"/>
        <i x="2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OUR 1" cache="Segment_JOUR1" caption="JOUR" columnCount="7" style="SlicerStyleDark1" rowHeight="180000"/>
  <slicer name="VEHICULE" cache="Segment_VEHICULE" caption="VEHICULE" startItem="33" columnCount="11" style="SlicerStyleDark1" rowHeight="14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OUR" cache="Segment_Jour" caption="Sélection JOURS" columnCount="7" style="SlicerStyleDark1" rowHeight="144000"/>
  <slicer name="Véhicule" cache="Segment_Véhicule" caption="Sélection VEHICULES" columnCount="8" style="SlicerStyleDark1" rowHeight="144000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19"/>
  <sheetViews>
    <sheetView showGridLines="0" zoomScale="85" zoomScaleNormal="85" workbookViewId="0">
      <pane ySplit="3" topLeftCell="A4" activePane="bottomLeft" state="frozen"/>
      <selection activeCell="M3" sqref="M3"/>
      <selection pane="bottomLeft" activeCell="I2" sqref="I2:O3"/>
    </sheetView>
  </sheetViews>
  <sheetFormatPr baseColWidth="10" defaultRowHeight="14.4"/>
  <cols>
    <col min="1" max="1" width="11.44140625" style="1"/>
    <col min="2" max="2" width="11.44140625" customWidth="1"/>
    <col min="5" max="5" width="4.6640625" customWidth="1"/>
    <col min="6" max="6" width="9.5546875" customWidth="1"/>
    <col min="9" max="9" width="9.109375" customWidth="1"/>
    <col min="10" max="10" width="7.6640625" customWidth="1"/>
  </cols>
  <sheetData>
    <row r="1" spans="1:15" ht="8.25" customHeight="1"/>
    <row r="2" spans="1:15" ht="15" customHeight="1">
      <c r="I2" s="50" t="s">
        <v>2127</v>
      </c>
      <c r="J2" s="50"/>
      <c r="K2" s="50"/>
      <c r="L2" s="50"/>
      <c r="M2" s="50"/>
      <c r="N2" s="50"/>
      <c r="O2" s="50"/>
    </row>
    <row r="3" spans="1:15" ht="10.5" customHeight="1" thickBot="1">
      <c r="G3" s="1"/>
      <c r="I3" s="50"/>
      <c r="J3" s="50"/>
      <c r="K3" s="50"/>
      <c r="L3" s="50"/>
      <c r="M3" s="50"/>
      <c r="N3" s="50"/>
      <c r="O3" s="50"/>
    </row>
    <row r="4" spans="1:15" s="37" customFormat="1">
      <c r="A4" s="36"/>
    </row>
    <row r="5" spans="1:15" s="35" customFormat="1">
      <c r="A5" s="40"/>
    </row>
    <row r="6" spans="1:15" s="39" customFormat="1" ht="23.25" customHeight="1" thickBot="1">
      <c r="A6" s="38"/>
    </row>
    <row r="8" spans="1:15" ht="29.25" customHeight="1"/>
    <row r="17" ht="11.25" customHeight="1"/>
    <row r="18" ht="11.25" customHeight="1"/>
    <row r="19" ht="6.75" customHeight="1"/>
  </sheetData>
  <sheetProtection formatCells="0" formatColumns="0" formatRows="0" insertColumns="0" insertRows="0" insertHyperlinks="0" deleteColumns="0" deleteRows="0" sort="0" autoFilter="0" pivotTables="0"/>
  <mergeCells count="1">
    <mergeCell ref="I2:O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"/>
  <sheetViews>
    <sheetView showGridLines="0" tabSelected="1" zoomScaleNormal="100" workbookViewId="0">
      <selection activeCell="F2" sqref="F2:O3"/>
    </sheetView>
  </sheetViews>
  <sheetFormatPr baseColWidth="10" defaultRowHeight="14.4"/>
  <cols>
    <col min="1" max="12" width="11.44140625" customWidth="1"/>
  </cols>
  <sheetData>
    <row r="1" spans="1:11" s="35" customFormat="1" ht="6" customHeight="1"/>
    <row r="2" spans="1:11" s="35" customFormat="1" ht="9.75" customHeight="1">
      <c r="F2" s="51" t="s">
        <v>103</v>
      </c>
      <c r="G2" s="51"/>
      <c r="H2" s="51"/>
      <c r="I2" s="51"/>
      <c r="J2" s="51"/>
      <c r="K2" s="51"/>
    </row>
    <row r="3" spans="1:11" s="35" customFormat="1" ht="7.5" customHeight="1">
      <c r="F3" s="51"/>
      <c r="G3" s="51"/>
      <c r="H3" s="51"/>
      <c r="I3" s="51"/>
      <c r="J3" s="51"/>
      <c r="K3" s="51"/>
    </row>
    <row r="4" spans="1:11" s="35" customFormat="1" ht="3" customHeight="1" thickBot="1"/>
    <row r="5" spans="1:11" s="37" customFormat="1">
      <c r="A5" s="36"/>
    </row>
    <row r="6" spans="1:11" s="39" customFormat="1" ht="31.5" customHeight="1" thickBot="1">
      <c r="A6" s="38"/>
    </row>
  </sheetData>
  <mergeCells count="1">
    <mergeCell ref="F2:K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5"/>
  <sheetViews>
    <sheetView topLeftCell="A181" workbookViewId="0">
      <selection activeCell="I53" sqref="I53"/>
    </sheetView>
  </sheetViews>
  <sheetFormatPr baseColWidth="10" defaultColWidth="11.44140625" defaultRowHeight="14.4"/>
  <cols>
    <col min="1" max="1" width="8.109375" style="2" bestFit="1" customWidth="1"/>
    <col min="2" max="2" width="10.33203125" style="2" bestFit="1" customWidth="1"/>
    <col min="3" max="3" width="7" style="2" bestFit="1" customWidth="1"/>
    <col min="4" max="4" width="7" style="2" customWidth="1"/>
    <col min="5" max="5" width="8.6640625" style="2" customWidth="1"/>
    <col min="6" max="6" width="8.88671875" style="2" customWidth="1"/>
    <col min="7" max="7" width="7.109375" style="2" bestFit="1" customWidth="1"/>
    <col min="8" max="8" width="7.88671875" style="2" bestFit="1" customWidth="1"/>
    <col min="9" max="9" width="10.6640625" style="12" bestFit="1" customWidth="1"/>
    <col min="10" max="10" width="25.44140625" style="25" customWidth="1"/>
    <col min="11" max="12" width="11.44140625" style="2"/>
    <col min="13" max="13" width="13.6640625" style="2" bestFit="1" customWidth="1"/>
    <col min="14" max="16384" width="11.44140625" style="2"/>
  </cols>
  <sheetData>
    <row r="1" spans="1:13" ht="31.5" customHeight="1">
      <c r="A1" s="7" t="s">
        <v>64</v>
      </c>
      <c r="B1" s="8" t="s">
        <v>65</v>
      </c>
      <c r="C1" s="9" t="s">
        <v>1</v>
      </c>
      <c r="D1" s="8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14" t="s">
        <v>7</v>
      </c>
      <c r="J1" s="24" t="s">
        <v>35</v>
      </c>
    </row>
    <row r="2" spans="1:13" ht="15" customHeight="1">
      <c r="A2" s="44" t="s">
        <v>40</v>
      </c>
      <c r="B2" s="45" t="s">
        <v>166</v>
      </c>
      <c r="C2" s="46" t="s">
        <v>1827</v>
      </c>
      <c r="D2" s="45">
        <v>33.82</v>
      </c>
      <c r="E2" s="47">
        <v>47</v>
      </c>
      <c r="F2" s="47">
        <v>0</v>
      </c>
      <c r="G2" s="47">
        <v>48</v>
      </c>
      <c r="H2" s="47">
        <v>0</v>
      </c>
      <c r="I2" s="48" t="s">
        <v>0</v>
      </c>
      <c r="J2" s="10" t="str">
        <f>IFERROR(C2-I2,C2)</f>
        <v>05:23:30</v>
      </c>
      <c r="K2" s="12" t="e">
        <f>I2+I6</f>
        <v>#VALUE!</v>
      </c>
      <c r="L2" s="12">
        <v>1.8669791666666669</v>
      </c>
    </row>
    <row r="3" spans="1:13" ht="15" customHeight="1">
      <c r="A3" s="44" t="s">
        <v>40</v>
      </c>
      <c r="B3" s="45" t="s">
        <v>165</v>
      </c>
      <c r="C3" s="46" t="s">
        <v>1828</v>
      </c>
      <c r="D3" s="45">
        <v>48.73</v>
      </c>
      <c r="E3" s="47">
        <v>44</v>
      </c>
      <c r="F3" s="47">
        <v>0</v>
      </c>
      <c r="G3" s="47">
        <v>82</v>
      </c>
      <c r="H3" s="47">
        <v>0</v>
      </c>
      <c r="I3" s="48" t="s">
        <v>0</v>
      </c>
      <c r="J3" s="10" t="str">
        <f t="shared" ref="J3:J19" si="0">IFERROR(C3-I3,C3)</f>
        <v>06:33:20</v>
      </c>
      <c r="K3" s="12" t="e">
        <f>I3+I7</f>
        <v>#VALUE!</v>
      </c>
      <c r="M3" s="25" t="str">
        <f>IFERROR(C3-I3,C3)</f>
        <v>06:33:20</v>
      </c>
    </row>
    <row r="4" spans="1:13" ht="15" customHeight="1">
      <c r="A4" s="44" t="s">
        <v>40</v>
      </c>
      <c r="B4" s="45" t="s">
        <v>251</v>
      </c>
      <c r="C4" s="46" t="s">
        <v>0</v>
      </c>
      <c r="D4" s="45">
        <v>0</v>
      </c>
      <c r="E4" s="47">
        <v>0</v>
      </c>
      <c r="F4" s="47">
        <v>0</v>
      </c>
      <c r="G4" s="47">
        <v>0</v>
      </c>
      <c r="H4" s="47">
        <v>0</v>
      </c>
      <c r="I4" s="48" t="s">
        <v>0</v>
      </c>
      <c r="J4" s="10" t="str">
        <f t="shared" si="0"/>
        <v/>
      </c>
      <c r="K4" s="12" t="e">
        <f>I4+I8</f>
        <v>#VALUE!</v>
      </c>
    </row>
    <row r="5" spans="1:13" ht="15" customHeight="1">
      <c r="A5" s="44" t="s">
        <v>40</v>
      </c>
      <c r="B5" s="45" t="s">
        <v>250</v>
      </c>
      <c r="C5" s="46" t="s">
        <v>1829</v>
      </c>
      <c r="D5" s="45">
        <v>36.020000000000003</v>
      </c>
      <c r="E5" s="47">
        <v>53</v>
      </c>
      <c r="F5" s="47">
        <v>0</v>
      </c>
      <c r="G5" s="47">
        <v>30</v>
      </c>
      <c r="H5" s="47">
        <v>2</v>
      </c>
      <c r="I5" s="48" t="s">
        <v>1830</v>
      </c>
      <c r="J5" s="10">
        <f t="shared" si="0"/>
        <v>0.12697916666666667</v>
      </c>
      <c r="K5" s="12">
        <f>I5+I9</f>
        <v>2.6770833333333334E-2</v>
      </c>
    </row>
    <row r="6" spans="1:13" ht="15" customHeight="1">
      <c r="A6" s="44" t="s">
        <v>40</v>
      </c>
      <c r="B6" s="45" t="s">
        <v>727</v>
      </c>
      <c r="C6" s="46" t="s">
        <v>0</v>
      </c>
      <c r="D6" s="45">
        <v>0</v>
      </c>
      <c r="E6" s="47">
        <v>0</v>
      </c>
      <c r="F6" s="47">
        <v>0</v>
      </c>
      <c r="G6" s="47">
        <v>0</v>
      </c>
      <c r="H6" s="47">
        <v>0</v>
      </c>
      <c r="I6" s="48" t="s">
        <v>0</v>
      </c>
      <c r="J6" s="10" t="str">
        <f t="shared" si="0"/>
        <v/>
      </c>
      <c r="K6" s="12" t="e">
        <f>I6+I10</f>
        <v>#VALUE!</v>
      </c>
    </row>
    <row r="7" spans="1:13" ht="15" customHeight="1">
      <c r="A7" s="44" t="s">
        <v>40</v>
      </c>
      <c r="B7" s="45" t="s">
        <v>728</v>
      </c>
      <c r="C7" s="46" t="s">
        <v>1831</v>
      </c>
      <c r="D7" s="45">
        <v>0</v>
      </c>
      <c r="E7" s="47">
        <v>0</v>
      </c>
      <c r="F7" s="47">
        <v>0</v>
      </c>
      <c r="G7" s="47">
        <v>0</v>
      </c>
      <c r="H7" s="47">
        <v>0</v>
      </c>
      <c r="I7" s="48" t="s">
        <v>0</v>
      </c>
      <c r="J7" s="10" t="str">
        <f t="shared" si="0"/>
        <v>00:00:12</v>
      </c>
      <c r="K7" s="11">
        <f t="shared" ref="K7:K66" si="1">J7/24</f>
        <v>5.7870370370370367E-6</v>
      </c>
    </row>
    <row r="8" spans="1:13" ht="15" customHeight="1">
      <c r="A8" s="44" t="s">
        <v>40</v>
      </c>
      <c r="B8" s="45" t="s">
        <v>68</v>
      </c>
      <c r="C8" s="46" t="s">
        <v>1832</v>
      </c>
      <c r="D8" s="45">
        <v>35.340000000000003</v>
      </c>
      <c r="E8" s="47">
        <v>58</v>
      </c>
      <c r="F8" s="47">
        <v>0</v>
      </c>
      <c r="G8" s="47">
        <v>0</v>
      </c>
      <c r="H8" s="47">
        <v>2</v>
      </c>
      <c r="I8" s="48" t="s">
        <v>1833</v>
      </c>
      <c r="J8" s="10">
        <f t="shared" si="0"/>
        <v>0.14018518518518519</v>
      </c>
      <c r="K8" s="11">
        <f t="shared" si="1"/>
        <v>5.8410493827160499E-3</v>
      </c>
    </row>
    <row r="9" spans="1:13" ht="15" customHeight="1">
      <c r="A9" s="44" t="s">
        <v>40</v>
      </c>
      <c r="B9" s="45" t="s">
        <v>69</v>
      </c>
      <c r="C9" s="46" t="s">
        <v>1834</v>
      </c>
      <c r="D9" s="45">
        <v>0.01</v>
      </c>
      <c r="E9" s="47">
        <v>0</v>
      </c>
      <c r="F9" s="47">
        <v>0</v>
      </c>
      <c r="G9" s="47">
        <v>0</v>
      </c>
      <c r="H9" s="47">
        <v>1</v>
      </c>
      <c r="I9" s="48" t="s">
        <v>1835</v>
      </c>
      <c r="J9" s="10"/>
      <c r="K9" s="11">
        <f t="shared" si="1"/>
        <v>0</v>
      </c>
    </row>
    <row r="10" spans="1:13" ht="15" customHeight="1">
      <c r="A10" s="44" t="s">
        <v>40</v>
      </c>
      <c r="B10" s="45" t="s">
        <v>70</v>
      </c>
      <c r="C10" s="46" t="s">
        <v>1836</v>
      </c>
      <c r="D10" s="45">
        <v>0.22</v>
      </c>
      <c r="E10" s="47">
        <v>15</v>
      </c>
      <c r="F10" s="47">
        <v>0</v>
      </c>
      <c r="G10" s="47">
        <v>0</v>
      </c>
      <c r="H10" s="47">
        <v>1</v>
      </c>
      <c r="I10" s="48" t="s">
        <v>1837</v>
      </c>
      <c r="J10" s="10">
        <f t="shared" si="0"/>
        <v>2.0648148148148148E-2</v>
      </c>
      <c r="K10" s="11">
        <f t="shared" si="1"/>
        <v>8.6033950617283954E-4</v>
      </c>
    </row>
    <row r="11" spans="1:13" ht="15" customHeight="1">
      <c r="A11" s="44" t="s">
        <v>40</v>
      </c>
      <c r="B11" s="45" t="s">
        <v>71</v>
      </c>
      <c r="C11" s="46" t="s">
        <v>1838</v>
      </c>
      <c r="D11" s="45">
        <v>184.1</v>
      </c>
      <c r="E11" s="47">
        <v>64</v>
      </c>
      <c r="F11" s="47">
        <v>0</v>
      </c>
      <c r="G11" s="47">
        <v>25</v>
      </c>
      <c r="H11" s="47">
        <v>8</v>
      </c>
      <c r="I11" s="48" t="s">
        <v>1839</v>
      </c>
      <c r="J11" s="10">
        <f t="shared" si="0"/>
        <v>0.33473379629629629</v>
      </c>
      <c r="K11" s="11">
        <f t="shared" si="1"/>
        <v>1.3947241512345679E-2</v>
      </c>
    </row>
    <row r="12" spans="1:13" ht="15" customHeight="1">
      <c r="A12" s="44" t="s">
        <v>40</v>
      </c>
      <c r="B12" s="45" t="s">
        <v>72</v>
      </c>
      <c r="C12" s="46" t="s">
        <v>0</v>
      </c>
      <c r="D12" s="45">
        <v>0</v>
      </c>
      <c r="E12" s="47">
        <v>0</v>
      </c>
      <c r="F12" s="47">
        <v>0</v>
      </c>
      <c r="G12" s="47">
        <v>0</v>
      </c>
      <c r="H12" s="47">
        <v>0</v>
      </c>
      <c r="I12" s="48" t="s">
        <v>0</v>
      </c>
      <c r="J12" s="10" t="str">
        <f t="shared" si="0"/>
        <v/>
      </c>
      <c r="K12" s="11" t="e">
        <f t="shared" si="1"/>
        <v>#VALUE!</v>
      </c>
    </row>
    <row r="13" spans="1:13" ht="15" customHeight="1">
      <c r="A13" s="44" t="s">
        <v>40</v>
      </c>
      <c r="B13" s="45" t="s">
        <v>73</v>
      </c>
      <c r="C13" s="46" t="s">
        <v>1840</v>
      </c>
      <c r="D13" s="45">
        <v>140.44</v>
      </c>
      <c r="E13" s="47">
        <v>59</v>
      </c>
      <c r="F13" s="47">
        <v>0</v>
      </c>
      <c r="G13" s="47">
        <v>2</v>
      </c>
      <c r="H13" s="47">
        <v>5</v>
      </c>
      <c r="I13" s="48" t="s">
        <v>1841</v>
      </c>
      <c r="J13" s="10">
        <f t="shared" si="0"/>
        <v>0.23726851851851852</v>
      </c>
      <c r="K13" s="11">
        <f t="shared" si="1"/>
        <v>9.8861882716049388E-3</v>
      </c>
    </row>
    <row r="14" spans="1:13" ht="15" customHeight="1">
      <c r="A14" s="44" t="s">
        <v>40</v>
      </c>
      <c r="B14" s="45" t="s">
        <v>74</v>
      </c>
      <c r="C14" s="46" t="s">
        <v>0</v>
      </c>
      <c r="D14" s="45">
        <v>0</v>
      </c>
      <c r="E14" s="47">
        <v>0</v>
      </c>
      <c r="F14" s="47">
        <v>0</v>
      </c>
      <c r="G14" s="47">
        <v>0</v>
      </c>
      <c r="H14" s="47">
        <v>0</v>
      </c>
      <c r="I14" s="48" t="s">
        <v>0</v>
      </c>
      <c r="J14" s="10" t="str">
        <f t="shared" si="0"/>
        <v/>
      </c>
      <c r="K14" s="11" t="e">
        <f t="shared" si="1"/>
        <v>#VALUE!</v>
      </c>
    </row>
    <row r="15" spans="1:13" ht="15" customHeight="1">
      <c r="A15" s="44" t="s">
        <v>40</v>
      </c>
      <c r="B15" s="45" t="s">
        <v>75</v>
      </c>
      <c r="C15" s="46" t="s">
        <v>1842</v>
      </c>
      <c r="D15" s="45">
        <v>297.52999999999997</v>
      </c>
      <c r="E15" s="47">
        <v>63</v>
      </c>
      <c r="F15" s="47">
        <v>0</v>
      </c>
      <c r="G15" s="47">
        <v>0</v>
      </c>
      <c r="H15" s="47">
        <v>7</v>
      </c>
      <c r="I15" s="48" t="s">
        <v>1843</v>
      </c>
      <c r="J15" s="10">
        <f t="shared" si="0"/>
        <v>0.37081018518518516</v>
      </c>
      <c r="K15" s="11">
        <f t="shared" si="1"/>
        <v>1.5450424382716049E-2</v>
      </c>
    </row>
    <row r="16" spans="1:13" ht="15" customHeight="1">
      <c r="A16" s="44" t="s">
        <v>40</v>
      </c>
      <c r="B16" s="45" t="s">
        <v>76</v>
      </c>
      <c r="C16" s="46" t="s">
        <v>1844</v>
      </c>
      <c r="D16" s="45">
        <v>0.56000000000000005</v>
      </c>
      <c r="E16" s="47">
        <v>10</v>
      </c>
      <c r="F16" s="47">
        <v>0</v>
      </c>
      <c r="G16" s="47">
        <v>0</v>
      </c>
      <c r="H16" s="47">
        <v>2</v>
      </c>
      <c r="I16" s="48" t="s">
        <v>1845</v>
      </c>
      <c r="J16" s="10">
        <f t="shared" si="0"/>
        <v>9.9074074074074064E-3</v>
      </c>
      <c r="K16" s="11">
        <f t="shared" si="1"/>
        <v>4.128086419753086E-4</v>
      </c>
    </row>
    <row r="17" spans="1:12" ht="15" customHeight="1">
      <c r="A17" s="44" t="s">
        <v>40</v>
      </c>
      <c r="B17" s="45" t="s">
        <v>78</v>
      </c>
      <c r="C17" s="46" t="s">
        <v>1846</v>
      </c>
      <c r="D17" s="45">
        <v>248.39</v>
      </c>
      <c r="E17" s="47">
        <v>70</v>
      </c>
      <c r="F17" s="47">
        <v>0</v>
      </c>
      <c r="G17" s="47">
        <v>0</v>
      </c>
      <c r="H17" s="47">
        <v>0</v>
      </c>
      <c r="I17" s="48" t="s">
        <v>0</v>
      </c>
      <c r="J17" s="10" t="str">
        <f t="shared" si="0"/>
        <v>08:41:19</v>
      </c>
      <c r="K17" s="11">
        <f t="shared" si="1"/>
        <v>1.5084394290123456E-2</v>
      </c>
    </row>
    <row r="18" spans="1:12" ht="15" customHeight="1">
      <c r="A18" s="44" t="s">
        <v>40</v>
      </c>
      <c r="B18" s="45" t="s">
        <v>79</v>
      </c>
      <c r="C18" s="46" t="s">
        <v>1847</v>
      </c>
      <c r="D18" s="45">
        <v>28.48</v>
      </c>
      <c r="E18" s="47">
        <v>72</v>
      </c>
      <c r="F18" s="47">
        <v>1</v>
      </c>
      <c r="G18" s="47">
        <v>0</v>
      </c>
      <c r="H18" s="47">
        <v>3</v>
      </c>
      <c r="I18" s="48" t="s">
        <v>1848</v>
      </c>
      <c r="J18" s="10">
        <f t="shared" si="0"/>
        <v>8.6099537037037016E-2</v>
      </c>
      <c r="K18" s="11">
        <f t="shared" si="1"/>
        <v>3.5874807098765422E-3</v>
      </c>
    </row>
    <row r="19" spans="1:12" ht="15" customHeight="1">
      <c r="A19" s="44" t="s">
        <v>40</v>
      </c>
      <c r="B19" s="45" t="s">
        <v>80</v>
      </c>
      <c r="C19" s="46" t="s">
        <v>1849</v>
      </c>
      <c r="D19" s="45">
        <v>33.86</v>
      </c>
      <c r="E19" s="47">
        <v>57</v>
      </c>
      <c r="F19" s="47">
        <v>0</v>
      </c>
      <c r="G19" s="47">
        <v>0</v>
      </c>
      <c r="H19" s="47">
        <v>3</v>
      </c>
      <c r="I19" s="48" t="s">
        <v>1850</v>
      </c>
      <c r="J19" s="10">
        <f t="shared" si="0"/>
        <v>0.17319444444444443</v>
      </c>
      <c r="K19" s="11">
        <f t="shared" si="1"/>
        <v>7.2164351851851842E-3</v>
      </c>
    </row>
    <row r="20" spans="1:12" ht="15" customHeight="1">
      <c r="A20" s="44" t="s">
        <v>40</v>
      </c>
      <c r="B20" s="45" t="s">
        <v>81</v>
      </c>
      <c r="C20" s="46" t="s">
        <v>0</v>
      </c>
      <c r="D20" s="45">
        <v>0</v>
      </c>
      <c r="E20" s="47">
        <v>0</v>
      </c>
      <c r="F20" s="47">
        <v>0</v>
      </c>
      <c r="G20" s="47">
        <v>0</v>
      </c>
      <c r="H20" s="47">
        <v>0</v>
      </c>
      <c r="I20" s="48" t="s">
        <v>0</v>
      </c>
      <c r="J20" s="10" t="str">
        <f t="shared" ref="J20:J66" si="2">IFERROR(C20-I20,C20)</f>
        <v/>
      </c>
      <c r="K20" s="11" t="e">
        <f t="shared" si="1"/>
        <v>#VALUE!</v>
      </c>
    </row>
    <row r="21" spans="1:12" ht="15" customHeight="1">
      <c r="A21" s="44" t="s">
        <v>40</v>
      </c>
      <c r="B21" s="45" t="s">
        <v>82</v>
      </c>
      <c r="C21" s="46" t="s">
        <v>1851</v>
      </c>
      <c r="D21" s="45">
        <v>37.94</v>
      </c>
      <c r="E21" s="47">
        <v>55</v>
      </c>
      <c r="F21" s="47">
        <v>0</v>
      </c>
      <c r="G21" s="47">
        <v>0</v>
      </c>
      <c r="H21" s="47">
        <v>3</v>
      </c>
      <c r="I21" s="48" t="s">
        <v>1852</v>
      </c>
      <c r="J21" s="10">
        <f t="shared" si="2"/>
        <v>0.10811342592592593</v>
      </c>
      <c r="K21" s="11">
        <f t="shared" si="1"/>
        <v>4.5047260802469138E-3</v>
      </c>
    </row>
    <row r="22" spans="1:12" ht="15" customHeight="1">
      <c r="A22" s="44" t="s">
        <v>40</v>
      </c>
      <c r="B22" s="45" t="s">
        <v>83</v>
      </c>
      <c r="C22" s="46" t="s">
        <v>0</v>
      </c>
      <c r="D22" s="45">
        <v>0</v>
      </c>
      <c r="E22" s="47">
        <v>0</v>
      </c>
      <c r="F22" s="47">
        <v>0</v>
      </c>
      <c r="G22" s="47">
        <v>0</v>
      </c>
      <c r="H22" s="47">
        <v>0</v>
      </c>
      <c r="I22" s="48" t="s">
        <v>0</v>
      </c>
      <c r="J22" s="10" t="str">
        <f t="shared" si="2"/>
        <v/>
      </c>
      <c r="K22" s="11" t="e">
        <f t="shared" si="1"/>
        <v>#VALUE!</v>
      </c>
    </row>
    <row r="23" spans="1:12" ht="15" customHeight="1">
      <c r="A23" s="44" t="s">
        <v>40</v>
      </c>
      <c r="B23" s="45" t="s">
        <v>84</v>
      </c>
      <c r="C23" s="46" t="s">
        <v>1853</v>
      </c>
      <c r="D23" s="45">
        <v>1.56</v>
      </c>
      <c r="E23" s="47">
        <v>15</v>
      </c>
      <c r="F23" s="47">
        <v>0</v>
      </c>
      <c r="G23" s="47">
        <v>0</v>
      </c>
      <c r="H23" s="47">
        <v>3</v>
      </c>
      <c r="I23" s="48" t="s">
        <v>1854</v>
      </c>
      <c r="J23" s="10">
        <f t="shared" si="2"/>
        <v>4.6400462962962956E-2</v>
      </c>
      <c r="K23" s="11">
        <f t="shared" si="1"/>
        <v>1.9333526234567898E-3</v>
      </c>
    </row>
    <row r="24" spans="1:12" ht="15" customHeight="1">
      <c r="A24" s="44" t="s">
        <v>40</v>
      </c>
      <c r="B24" s="45" t="s">
        <v>85</v>
      </c>
      <c r="C24" s="46" t="s">
        <v>1855</v>
      </c>
      <c r="D24" s="45">
        <v>13.61</v>
      </c>
      <c r="E24" s="47">
        <v>33</v>
      </c>
      <c r="F24" s="47">
        <v>0</v>
      </c>
      <c r="G24" s="47">
        <v>0</v>
      </c>
      <c r="H24" s="47">
        <v>6</v>
      </c>
      <c r="I24" s="48" t="s">
        <v>1856</v>
      </c>
      <c r="J24" s="10">
        <f t="shared" si="2"/>
        <v>8.3634259259259255E-2</v>
      </c>
      <c r="K24" s="11">
        <f t="shared" si="1"/>
        <v>3.4847608024691358E-3</v>
      </c>
    </row>
    <row r="25" spans="1:12" ht="15" customHeight="1">
      <c r="A25" s="44" t="s">
        <v>40</v>
      </c>
      <c r="B25" s="45" t="s">
        <v>86</v>
      </c>
      <c r="C25" s="46" t="s">
        <v>1857</v>
      </c>
      <c r="D25" s="45">
        <v>211.22</v>
      </c>
      <c r="E25" s="47">
        <v>68</v>
      </c>
      <c r="F25" s="47">
        <v>0</v>
      </c>
      <c r="G25" s="47">
        <v>0</v>
      </c>
      <c r="H25" s="47">
        <v>4</v>
      </c>
      <c r="I25" s="48" t="s">
        <v>1858</v>
      </c>
      <c r="J25" s="10">
        <f t="shared" si="2"/>
        <v>0.31364583333333335</v>
      </c>
      <c r="K25" s="11">
        <f t="shared" si="1"/>
        <v>1.306857638888889E-2</v>
      </c>
    </row>
    <row r="26" spans="1:12" ht="15" customHeight="1">
      <c r="A26" s="44" t="s">
        <v>40</v>
      </c>
      <c r="B26" s="45" t="s">
        <v>87</v>
      </c>
      <c r="C26" s="46" t="s">
        <v>1859</v>
      </c>
      <c r="D26" s="45">
        <v>216.1</v>
      </c>
      <c r="E26" s="47">
        <v>77</v>
      </c>
      <c r="F26" s="47">
        <v>4</v>
      </c>
      <c r="G26" s="47">
        <v>1</v>
      </c>
      <c r="H26" s="47">
        <v>0</v>
      </c>
      <c r="I26" s="48" t="s">
        <v>0</v>
      </c>
      <c r="J26" s="10" t="str">
        <f t="shared" si="2"/>
        <v>07:54:50</v>
      </c>
      <c r="K26" s="11">
        <f t="shared" si="1"/>
        <v>1.3739390432098765E-2</v>
      </c>
    </row>
    <row r="27" spans="1:12" ht="15" customHeight="1">
      <c r="A27" s="44" t="s">
        <v>40</v>
      </c>
      <c r="B27" s="45" t="s">
        <v>88</v>
      </c>
      <c r="C27" s="46" t="s">
        <v>1860</v>
      </c>
      <c r="D27" s="45">
        <v>207.67</v>
      </c>
      <c r="E27" s="47">
        <v>69</v>
      </c>
      <c r="F27" s="47">
        <v>0</v>
      </c>
      <c r="G27" s="47">
        <v>13</v>
      </c>
      <c r="H27" s="47">
        <v>3</v>
      </c>
      <c r="I27" s="48" t="s">
        <v>1861</v>
      </c>
      <c r="J27" s="10">
        <f t="shared" si="2"/>
        <v>0.31133101851851852</v>
      </c>
      <c r="K27" s="11">
        <f t="shared" si="1"/>
        <v>1.2972125771604939E-2</v>
      </c>
    </row>
    <row r="28" spans="1:12" ht="15" customHeight="1">
      <c r="A28" s="44" t="s">
        <v>40</v>
      </c>
      <c r="B28" s="45" t="s">
        <v>89</v>
      </c>
      <c r="C28" s="46" t="s">
        <v>1862</v>
      </c>
      <c r="D28" s="45">
        <v>181.52</v>
      </c>
      <c r="E28" s="47">
        <v>63</v>
      </c>
      <c r="F28" s="47">
        <v>0</v>
      </c>
      <c r="G28" s="47">
        <v>1</v>
      </c>
      <c r="H28" s="47">
        <v>7</v>
      </c>
      <c r="I28" s="48" t="s">
        <v>1863</v>
      </c>
      <c r="J28" s="10">
        <f t="shared" si="2"/>
        <v>0.27793981481481478</v>
      </c>
      <c r="K28" s="11">
        <f t="shared" si="1"/>
        <v>1.1580825617283949E-2</v>
      </c>
    </row>
    <row r="29" spans="1:12" ht="15" customHeight="1">
      <c r="A29" s="44" t="s">
        <v>40</v>
      </c>
      <c r="B29" s="45" t="s">
        <v>90</v>
      </c>
      <c r="C29" s="46" t="s">
        <v>0</v>
      </c>
      <c r="D29" s="45">
        <v>0</v>
      </c>
      <c r="E29" s="47">
        <v>0</v>
      </c>
      <c r="F29" s="47">
        <v>0</v>
      </c>
      <c r="G29" s="47">
        <v>0</v>
      </c>
      <c r="H29" s="47">
        <v>0</v>
      </c>
      <c r="I29" s="48" t="s">
        <v>0</v>
      </c>
      <c r="J29" s="10" t="str">
        <f t="shared" si="2"/>
        <v/>
      </c>
      <c r="K29" s="11" t="e">
        <f t="shared" si="1"/>
        <v>#VALUE!</v>
      </c>
    </row>
    <row r="30" spans="1:12" ht="15" customHeight="1">
      <c r="A30" s="44" t="s">
        <v>40</v>
      </c>
      <c r="B30" s="45" t="s">
        <v>91</v>
      </c>
      <c r="C30" s="46" t="s">
        <v>1864</v>
      </c>
      <c r="D30" s="45">
        <v>209.54</v>
      </c>
      <c r="E30" s="47">
        <v>62</v>
      </c>
      <c r="F30" s="47">
        <v>0</v>
      </c>
      <c r="G30" s="47">
        <v>2</v>
      </c>
      <c r="H30" s="47">
        <v>7</v>
      </c>
      <c r="I30" s="48" t="s">
        <v>1865</v>
      </c>
      <c r="J30" s="10">
        <f t="shared" si="2"/>
        <v>0.31560185185185186</v>
      </c>
      <c r="K30" s="11">
        <f t="shared" si="1"/>
        <v>1.3150077160493828E-2</v>
      </c>
      <c r="L30" s="12">
        <v>1.5118171296296297</v>
      </c>
    </row>
    <row r="31" spans="1:12" ht="15" customHeight="1">
      <c r="A31" s="44" t="s">
        <v>97</v>
      </c>
      <c r="B31" s="45" t="s">
        <v>166</v>
      </c>
      <c r="C31" s="46" t="s">
        <v>1866</v>
      </c>
      <c r="D31" s="45">
        <v>67.180000000000007</v>
      </c>
      <c r="E31" s="47">
        <v>49</v>
      </c>
      <c r="F31" s="47">
        <v>0</v>
      </c>
      <c r="G31" s="47">
        <v>89</v>
      </c>
      <c r="H31" s="47">
        <v>0</v>
      </c>
      <c r="I31" s="48" t="s">
        <v>0</v>
      </c>
      <c r="J31" s="10" t="str">
        <f t="shared" si="2"/>
        <v>07:40:24</v>
      </c>
      <c r="K31" s="11">
        <f t="shared" si="1"/>
        <v>1.3321759259259261E-2</v>
      </c>
    </row>
    <row r="32" spans="1:12" ht="15" customHeight="1">
      <c r="A32" s="44" t="s">
        <v>97</v>
      </c>
      <c r="B32" s="45" t="s">
        <v>165</v>
      </c>
      <c r="C32" s="46" t="s">
        <v>1867</v>
      </c>
      <c r="D32" s="45">
        <v>48.73</v>
      </c>
      <c r="E32" s="47">
        <v>34</v>
      </c>
      <c r="F32" s="47">
        <v>0</v>
      </c>
      <c r="G32" s="47">
        <v>76</v>
      </c>
      <c r="H32" s="47">
        <v>0</v>
      </c>
      <c r="I32" s="48" t="s">
        <v>0</v>
      </c>
      <c r="J32" s="10" t="str">
        <f t="shared" si="2"/>
        <v>08:07:56</v>
      </c>
      <c r="K32" s="11">
        <f t="shared" si="1"/>
        <v>1.411844135802469E-2</v>
      </c>
    </row>
    <row r="33" spans="1:11" ht="15" customHeight="1">
      <c r="A33" s="44" t="s">
        <v>97</v>
      </c>
      <c r="B33" s="45" t="s">
        <v>251</v>
      </c>
      <c r="C33" s="46" t="s">
        <v>1868</v>
      </c>
      <c r="D33" s="45">
        <v>16.23</v>
      </c>
      <c r="E33" s="47">
        <v>43</v>
      </c>
      <c r="F33" s="47">
        <v>0</v>
      </c>
      <c r="G33" s="47">
        <v>45</v>
      </c>
      <c r="H33" s="47">
        <v>2</v>
      </c>
      <c r="I33" s="48" t="s">
        <v>1869</v>
      </c>
      <c r="J33" s="10">
        <f t="shared" si="2"/>
        <v>8.8310185185185186E-2</v>
      </c>
      <c r="K33" s="11">
        <f t="shared" si="1"/>
        <v>3.6795910493827161E-3</v>
      </c>
    </row>
    <row r="34" spans="1:11" ht="15" customHeight="1">
      <c r="A34" s="44" t="s">
        <v>97</v>
      </c>
      <c r="B34" s="45" t="s">
        <v>250</v>
      </c>
      <c r="C34" s="46" t="s">
        <v>1870</v>
      </c>
      <c r="D34" s="45">
        <v>56.05</v>
      </c>
      <c r="E34" s="47">
        <v>44</v>
      </c>
      <c r="F34" s="47">
        <v>0</v>
      </c>
      <c r="G34" s="47">
        <v>68</v>
      </c>
      <c r="H34" s="47">
        <v>0</v>
      </c>
      <c r="I34" s="48" t="s">
        <v>0</v>
      </c>
      <c r="J34" s="10" t="str">
        <f t="shared" si="2"/>
        <v>05:37:03</v>
      </c>
      <c r="K34" s="11">
        <f t="shared" si="1"/>
        <v>9.7526041666666664E-3</v>
      </c>
    </row>
    <row r="35" spans="1:11" ht="15" customHeight="1">
      <c r="A35" s="44" t="s">
        <v>97</v>
      </c>
      <c r="B35" s="45" t="s">
        <v>727</v>
      </c>
      <c r="C35" s="46" t="s">
        <v>0</v>
      </c>
      <c r="D35" s="45">
        <v>0</v>
      </c>
      <c r="E35" s="47">
        <v>0</v>
      </c>
      <c r="F35" s="47">
        <v>0</v>
      </c>
      <c r="G35" s="47">
        <v>0</v>
      </c>
      <c r="H35" s="47">
        <v>0</v>
      </c>
      <c r="I35" s="48" t="s">
        <v>0</v>
      </c>
      <c r="J35" s="10" t="str">
        <f t="shared" si="2"/>
        <v/>
      </c>
      <c r="K35" s="11" t="e">
        <f t="shared" si="1"/>
        <v>#VALUE!</v>
      </c>
    </row>
    <row r="36" spans="1:11" ht="15" customHeight="1">
      <c r="A36" s="44" t="s">
        <v>97</v>
      </c>
      <c r="B36" s="45" t="s">
        <v>728</v>
      </c>
      <c r="C36" s="46" t="s">
        <v>0</v>
      </c>
      <c r="D36" s="45">
        <v>0</v>
      </c>
      <c r="E36" s="47">
        <v>0</v>
      </c>
      <c r="F36" s="47">
        <v>0</v>
      </c>
      <c r="G36" s="47">
        <v>0</v>
      </c>
      <c r="H36" s="47">
        <v>0</v>
      </c>
      <c r="I36" s="48" t="s">
        <v>0</v>
      </c>
      <c r="J36" s="10" t="str">
        <f t="shared" si="2"/>
        <v/>
      </c>
      <c r="K36" s="11" t="e">
        <f t="shared" si="1"/>
        <v>#VALUE!</v>
      </c>
    </row>
    <row r="37" spans="1:11" ht="15" customHeight="1">
      <c r="A37" s="44" t="s">
        <v>97</v>
      </c>
      <c r="B37" s="45" t="s">
        <v>68</v>
      </c>
      <c r="C37" s="46" t="s">
        <v>1871</v>
      </c>
      <c r="D37" s="45">
        <v>207.42</v>
      </c>
      <c r="E37" s="47">
        <v>62</v>
      </c>
      <c r="F37" s="47">
        <v>0</v>
      </c>
      <c r="G37" s="47">
        <v>0</v>
      </c>
      <c r="H37" s="47">
        <v>4</v>
      </c>
      <c r="I37" s="48" t="s">
        <v>1872</v>
      </c>
      <c r="J37" s="10">
        <f t="shared" si="2"/>
        <v>0.29758101851851854</v>
      </c>
      <c r="K37" s="11">
        <f t="shared" si="1"/>
        <v>1.2399209104938273E-2</v>
      </c>
    </row>
    <row r="38" spans="1:11" ht="15" customHeight="1">
      <c r="A38" s="44" t="s">
        <v>97</v>
      </c>
      <c r="B38" s="45" t="s">
        <v>69</v>
      </c>
      <c r="C38" s="46" t="s">
        <v>0</v>
      </c>
      <c r="D38" s="45">
        <v>0</v>
      </c>
      <c r="E38" s="47">
        <v>0</v>
      </c>
      <c r="F38" s="47">
        <v>0</v>
      </c>
      <c r="G38" s="47">
        <v>0</v>
      </c>
      <c r="H38" s="47">
        <v>0</v>
      </c>
      <c r="I38" s="48" t="s">
        <v>0</v>
      </c>
      <c r="J38" s="10" t="str">
        <f t="shared" si="2"/>
        <v/>
      </c>
      <c r="K38" s="11" t="e">
        <f t="shared" si="1"/>
        <v>#VALUE!</v>
      </c>
    </row>
    <row r="39" spans="1:11" ht="15" customHeight="1">
      <c r="A39" s="44" t="s">
        <v>97</v>
      </c>
      <c r="B39" s="45" t="s">
        <v>70</v>
      </c>
      <c r="C39" s="46" t="s">
        <v>1873</v>
      </c>
      <c r="D39" s="45">
        <v>0.8</v>
      </c>
      <c r="E39" s="47">
        <v>21</v>
      </c>
      <c r="F39" s="47">
        <v>0</v>
      </c>
      <c r="G39" s="47">
        <v>0</v>
      </c>
      <c r="H39" s="47">
        <v>3</v>
      </c>
      <c r="I39" s="48" t="s">
        <v>1874</v>
      </c>
      <c r="J39" s="10">
        <f t="shared" si="2"/>
        <v>3.545138888888888E-2</v>
      </c>
      <c r="K39" s="11">
        <f t="shared" si="1"/>
        <v>1.4771412037037034E-3</v>
      </c>
    </row>
    <row r="40" spans="1:11" ht="15" customHeight="1">
      <c r="A40" s="44" t="s">
        <v>97</v>
      </c>
      <c r="B40" s="45" t="s">
        <v>71</v>
      </c>
      <c r="C40" s="46" t="s">
        <v>1875</v>
      </c>
      <c r="D40" s="45">
        <v>166.06</v>
      </c>
      <c r="E40" s="47">
        <v>68</v>
      </c>
      <c r="F40" s="47">
        <v>0</v>
      </c>
      <c r="G40" s="47">
        <v>10</v>
      </c>
      <c r="H40" s="47">
        <v>5</v>
      </c>
      <c r="I40" s="48" t="s">
        <v>1876</v>
      </c>
      <c r="J40" s="10">
        <f t="shared" si="2"/>
        <v>0.38173611111111116</v>
      </c>
      <c r="K40" s="11">
        <f t="shared" si="1"/>
        <v>1.59056712962963E-2</v>
      </c>
    </row>
    <row r="41" spans="1:11" ht="15" customHeight="1">
      <c r="A41" s="44" t="s">
        <v>97</v>
      </c>
      <c r="B41" s="45" t="s">
        <v>72</v>
      </c>
      <c r="C41" s="46" t="s">
        <v>1877</v>
      </c>
      <c r="D41" s="45">
        <v>0.89</v>
      </c>
      <c r="E41" s="47">
        <v>35</v>
      </c>
      <c r="F41" s="47">
        <v>0</v>
      </c>
      <c r="G41" s="47">
        <v>6</v>
      </c>
      <c r="H41" s="47">
        <v>0</v>
      </c>
      <c r="I41" s="48" t="s">
        <v>0</v>
      </c>
      <c r="J41" s="10" t="str">
        <f t="shared" si="2"/>
        <v>00:18:08</v>
      </c>
      <c r="K41" s="11">
        <f t="shared" si="1"/>
        <v>5.2469135802469136E-4</v>
      </c>
    </row>
    <row r="42" spans="1:11" ht="15" customHeight="1">
      <c r="A42" s="44" t="s">
        <v>97</v>
      </c>
      <c r="B42" s="45" t="s">
        <v>73</v>
      </c>
      <c r="C42" s="46" t="s">
        <v>1878</v>
      </c>
      <c r="D42" s="45">
        <v>279.19</v>
      </c>
      <c r="E42" s="47">
        <v>66</v>
      </c>
      <c r="F42" s="47">
        <v>0</v>
      </c>
      <c r="G42" s="47">
        <v>3</v>
      </c>
      <c r="H42" s="47">
        <v>3</v>
      </c>
      <c r="I42" s="48" t="s">
        <v>1879</v>
      </c>
      <c r="J42" s="10">
        <f t="shared" si="2"/>
        <v>0.44354166666666667</v>
      </c>
      <c r="K42" s="11">
        <f t="shared" si="1"/>
        <v>1.8480902777777777E-2</v>
      </c>
    </row>
    <row r="43" spans="1:11" ht="15" customHeight="1">
      <c r="A43" s="44" t="s">
        <v>97</v>
      </c>
      <c r="B43" s="45" t="s">
        <v>74</v>
      </c>
      <c r="C43" s="46" t="s">
        <v>0</v>
      </c>
      <c r="D43" s="45">
        <v>0</v>
      </c>
      <c r="E43" s="47">
        <v>0</v>
      </c>
      <c r="F43" s="47">
        <v>0</v>
      </c>
      <c r="G43" s="47">
        <v>0</v>
      </c>
      <c r="H43" s="47">
        <v>0</v>
      </c>
      <c r="I43" s="48" t="s">
        <v>0</v>
      </c>
      <c r="J43" s="10" t="str">
        <f t="shared" si="2"/>
        <v/>
      </c>
      <c r="K43" s="11" t="e">
        <f t="shared" si="1"/>
        <v>#VALUE!</v>
      </c>
    </row>
    <row r="44" spans="1:11" ht="15" customHeight="1">
      <c r="A44" s="44" t="s">
        <v>97</v>
      </c>
      <c r="B44" s="45" t="s">
        <v>75</v>
      </c>
      <c r="C44" s="46" t="s">
        <v>1880</v>
      </c>
      <c r="D44" s="45">
        <v>205.28</v>
      </c>
      <c r="E44" s="47">
        <v>64</v>
      </c>
      <c r="F44" s="47">
        <v>0</v>
      </c>
      <c r="G44" s="47">
        <v>0</v>
      </c>
      <c r="H44" s="47">
        <v>4</v>
      </c>
      <c r="I44" s="48" t="s">
        <v>1881</v>
      </c>
      <c r="J44" s="10">
        <f t="shared" si="2"/>
        <v>0.24304398148148146</v>
      </c>
      <c r="K44" s="11">
        <f t="shared" si="1"/>
        <v>1.0126832561728394E-2</v>
      </c>
    </row>
    <row r="45" spans="1:11" ht="15" customHeight="1">
      <c r="A45" s="44" t="s">
        <v>97</v>
      </c>
      <c r="B45" s="45" t="s">
        <v>76</v>
      </c>
      <c r="C45" s="46" t="s">
        <v>1882</v>
      </c>
      <c r="D45" s="45">
        <v>261.17</v>
      </c>
      <c r="E45" s="47">
        <v>81</v>
      </c>
      <c r="F45" s="47">
        <v>8</v>
      </c>
      <c r="G45" s="47">
        <v>0</v>
      </c>
      <c r="H45" s="47">
        <v>2</v>
      </c>
      <c r="I45" s="48" t="s">
        <v>1883</v>
      </c>
      <c r="J45" s="10">
        <f t="shared" si="2"/>
        <v>0.32427083333333334</v>
      </c>
      <c r="K45" s="11">
        <f t="shared" si="1"/>
        <v>1.3511284722222223E-2</v>
      </c>
    </row>
    <row r="46" spans="1:11" ht="15" customHeight="1">
      <c r="A46" s="44" t="s">
        <v>97</v>
      </c>
      <c r="B46" s="45" t="s">
        <v>78</v>
      </c>
      <c r="C46" s="46" t="s">
        <v>1884</v>
      </c>
      <c r="D46" s="45">
        <v>71.7</v>
      </c>
      <c r="E46" s="47">
        <v>49</v>
      </c>
      <c r="F46" s="47">
        <v>0</v>
      </c>
      <c r="G46" s="47">
        <v>0</v>
      </c>
      <c r="H46" s="47">
        <v>5</v>
      </c>
      <c r="I46" s="48" t="s">
        <v>1885</v>
      </c>
      <c r="J46" s="10">
        <f t="shared" si="2"/>
        <v>0.21251157407407412</v>
      </c>
      <c r="K46" s="11">
        <f t="shared" si="1"/>
        <v>8.8546489197530876E-3</v>
      </c>
    </row>
    <row r="47" spans="1:11" ht="15" customHeight="1">
      <c r="A47" s="44" t="s">
        <v>97</v>
      </c>
      <c r="B47" s="45" t="s">
        <v>79</v>
      </c>
      <c r="C47" s="46" t="s">
        <v>1886</v>
      </c>
      <c r="D47" s="45">
        <v>30.42</v>
      </c>
      <c r="E47" s="47">
        <v>79</v>
      </c>
      <c r="F47" s="47">
        <v>0</v>
      </c>
      <c r="G47" s="47">
        <v>0</v>
      </c>
      <c r="H47" s="47">
        <v>4</v>
      </c>
      <c r="I47" s="48" t="s">
        <v>1887</v>
      </c>
      <c r="J47" s="10">
        <f t="shared" si="2"/>
        <v>8.8240740740740675E-2</v>
      </c>
      <c r="K47" s="11">
        <f t="shared" si="1"/>
        <v>3.6766975308641947E-3</v>
      </c>
    </row>
    <row r="48" spans="1:11" ht="15" customHeight="1">
      <c r="A48" s="44" t="s">
        <v>97</v>
      </c>
      <c r="B48" s="45" t="s">
        <v>80</v>
      </c>
      <c r="C48" s="46" t="s">
        <v>1888</v>
      </c>
      <c r="D48" s="45">
        <v>7.32</v>
      </c>
      <c r="E48" s="47">
        <v>36</v>
      </c>
      <c r="F48" s="47">
        <v>0</v>
      </c>
      <c r="G48" s="47">
        <v>0</v>
      </c>
      <c r="H48" s="47">
        <v>0</v>
      </c>
      <c r="I48" s="48" t="s">
        <v>0</v>
      </c>
      <c r="J48" s="10" t="str">
        <f t="shared" si="2"/>
        <v>00:59:38</v>
      </c>
      <c r="K48" s="11">
        <f t="shared" si="1"/>
        <v>1.7255015432098765E-3</v>
      </c>
    </row>
    <row r="49" spans="1:12" ht="15" customHeight="1">
      <c r="A49" s="44" t="s">
        <v>97</v>
      </c>
      <c r="B49" s="45" t="s">
        <v>81</v>
      </c>
      <c r="C49" s="46" t="s">
        <v>0</v>
      </c>
      <c r="D49" s="45">
        <v>0</v>
      </c>
      <c r="E49" s="47">
        <v>0</v>
      </c>
      <c r="F49" s="47">
        <v>0</v>
      </c>
      <c r="G49" s="47">
        <v>0</v>
      </c>
      <c r="H49" s="47">
        <v>0</v>
      </c>
      <c r="I49" s="48" t="s">
        <v>0</v>
      </c>
      <c r="J49" s="10" t="str">
        <f t="shared" si="2"/>
        <v/>
      </c>
      <c r="K49" s="11" t="e">
        <f t="shared" si="1"/>
        <v>#VALUE!</v>
      </c>
    </row>
    <row r="50" spans="1:12" ht="15" customHeight="1">
      <c r="A50" s="44" t="s">
        <v>97</v>
      </c>
      <c r="B50" s="45" t="s">
        <v>82</v>
      </c>
      <c r="C50" s="46" t="s">
        <v>1889</v>
      </c>
      <c r="D50" s="45">
        <v>49</v>
      </c>
      <c r="E50" s="47">
        <v>55</v>
      </c>
      <c r="F50" s="47">
        <v>0</v>
      </c>
      <c r="G50" s="47">
        <v>0</v>
      </c>
      <c r="H50" s="47">
        <v>1</v>
      </c>
      <c r="I50" s="48" t="s">
        <v>1890</v>
      </c>
      <c r="J50" s="10">
        <f t="shared" si="2"/>
        <v>0.14071759259259259</v>
      </c>
      <c r="K50" s="11">
        <f t="shared" si="1"/>
        <v>5.8632330246913581E-3</v>
      </c>
    </row>
    <row r="51" spans="1:12" ht="15" customHeight="1">
      <c r="A51" s="44" t="s">
        <v>97</v>
      </c>
      <c r="B51" s="45" t="s">
        <v>83</v>
      </c>
      <c r="C51" s="46" t="s">
        <v>1891</v>
      </c>
      <c r="D51" s="45">
        <v>0.05</v>
      </c>
      <c r="E51" s="47">
        <v>0</v>
      </c>
      <c r="F51" s="47">
        <v>0</v>
      </c>
      <c r="G51" s="47">
        <v>0</v>
      </c>
      <c r="H51" s="47">
        <v>1</v>
      </c>
      <c r="I51" s="48" t="s">
        <v>1892</v>
      </c>
      <c r="J51" s="10"/>
      <c r="K51" s="11">
        <f t="shared" si="1"/>
        <v>0</v>
      </c>
    </row>
    <row r="52" spans="1:12" ht="15" customHeight="1">
      <c r="A52" s="44" t="s">
        <v>97</v>
      </c>
      <c r="B52" s="45" t="s">
        <v>84</v>
      </c>
      <c r="C52" s="46" t="s">
        <v>1893</v>
      </c>
      <c r="D52" s="45">
        <v>80.709999999999994</v>
      </c>
      <c r="E52" s="47">
        <v>66</v>
      </c>
      <c r="F52" s="47">
        <v>0</v>
      </c>
      <c r="G52" s="47">
        <v>1</v>
      </c>
      <c r="H52" s="47">
        <v>8</v>
      </c>
      <c r="I52" s="48" t="s">
        <v>1894</v>
      </c>
      <c r="J52" s="10">
        <f t="shared" si="2"/>
        <v>0.29969907407407409</v>
      </c>
      <c r="K52" s="11">
        <f t="shared" si="1"/>
        <v>1.2487461419753087E-2</v>
      </c>
    </row>
    <row r="53" spans="1:12" ht="15" customHeight="1">
      <c r="A53" s="44" t="s">
        <v>97</v>
      </c>
      <c r="B53" s="45" t="s">
        <v>85</v>
      </c>
      <c r="C53" s="46" t="s">
        <v>1895</v>
      </c>
      <c r="D53" s="45">
        <v>112.21</v>
      </c>
      <c r="E53" s="47">
        <v>75</v>
      </c>
      <c r="F53" s="47">
        <v>4</v>
      </c>
      <c r="G53" s="47">
        <v>0</v>
      </c>
      <c r="H53" s="47">
        <v>4</v>
      </c>
      <c r="I53" s="48" t="s">
        <v>1896</v>
      </c>
      <c r="J53" s="10">
        <f t="shared" si="2"/>
        <v>0.17548611111111112</v>
      </c>
      <c r="K53" s="11">
        <f t="shared" si="1"/>
        <v>7.3119212962962964E-3</v>
      </c>
    </row>
    <row r="54" spans="1:12" ht="15" customHeight="1">
      <c r="A54" s="44" t="s">
        <v>97</v>
      </c>
      <c r="B54" s="45" t="s">
        <v>86</v>
      </c>
      <c r="C54" s="46" t="s">
        <v>1897</v>
      </c>
      <c r="D54" s="45">
        <v>226.58</v>
      </c>
      <c r="E54" s="47">
        <v>68</v>
      </c>
      <c r="F54" s="47">
        <v>0</v>
      </c>
      <c r="G54" s="47">
        <v>0</v>
      </c>
      <c r="H54" s="47">
        <v>2</v>
      </c>
      <c r="I54" s="48" t="s">
        <v>1898</v>
      </c>
      <c r="J54" s="10">
        <f t="shared" si="2"/>
        <v>0.35473379629629626</v>
      </c>
      <c r="K54" s="11">
        <f t="shared" si="1"/>
        <v>1.4780574845679011E-2</v>
      </c>
    </row>
    <row r="55" spans="1:12" ht="15" customHeight="1">
      <c r="A55" s="44" t="s">
        <v>97</v>
      </c>
      <c r="B55" s="45" t="s">
        <v>87</v>
      </c>
      <c r="C55" s="46" t="s">
        <v>1899</v>
      </c>
      <c r="D55" s="45">
        <v>344.66</v>
      </c>
      <c r="E55" s="47">
        <v>74</v>
      </c>
      <c r="F55" s="47">
        <v>16</v>
      </c>
      <c r="G55" s="47">
        <v>0</v>
      </c>
      <c r="H55" s="47">
        <v>3</v>
      </c>
      <c r="I55" s="48" t="s">
        <v>1900</v>
      </c>
      <c r="J55" s="10">
        <f t="shared" si="2"/>
        <v>0.39202546296296292</v>
      </c>
      <c r="K55" s="11">
        <f t="shared" si="1"/>
        <v>1.6334394290123455E-2</v>
      </c>
    </row>
    <row r="56" spans="1:12" ht="15" customHeight="1">
      <c r="A56" s="44" t="s">
        <v>97</v>
      </c>
      <c r="B56" s="45" t="s">
        <v>88</v>
      </c>
      <c r="C56" s="46" t="s">
        <v>1901</v>
      </c>
      <c r="D56" s="45">
        <v>207.43</v>
      </c>
      <c r="E56" s="47">
        <v>66</v>
      </c>
      <c r="F56" s="47">
        <v>0</v>
      </c>
      <c r="G56" s="47">
        <v>14</v>
      </c>
      <c r="H56" s="47">
        <v>1</v>
      </c>
      <c r="I56" s="48" t="s">
        <v>1902</v>
      </c>
      <c r="J56" s="10">
        <f t="shared" si="2"/>
        <v>0.31780092592592596</v>
      </c>
      <c r="K56" s="11">
        <f t="shared" si="1"/>
        <v>1.3241705246913581E-2</v>
      </c>
    </row>
    <row r="57" spans="1:12" ht="15" customHeight="1">
      <c r="A57" s="44" t="s">
        <v>97</v>
      </c>
      <c r="B57" s="45" t="s">
        <v>89</v>
      </c>
      <c r="C57" s="46" t="s">
        <v>1903</v>
      </c>
      <c r="D57" s="45">
        <v>279.26</v>
      </c>
      <c r="E57" s="47">
        <v>62</v>
      </c>
      <c r="F57" s="47">
        <v>0</v>
      </c>
      <c r="G57" s="47">
        <v>2</v>
      </c>
      <c r="H57" s="47">
        <v>6</v>
      </c>
      <c r="I57" s="48" t="s">
        <v>1904</v>
      </c>
      <c r="J57" s="10">
        <f t="shared" si="2"/>
        <v>0.42495370370370372</v>
      </c>
      <c r="K57" s="11">
        <f t="shared" si="1"/>
        <v>1.7706404320987655E-2</v>
      </c>
    </row>
    <row r="58" spans="1:12" ht="15" customHeight="1">
      <c r="A58" s="44" t="s">
        <v>97</v>
      </c>
      <c r="B58" s="45" t="s">
        <v>90</v>
      </c>
      <c r="C58" s="46" t="s">
        <v>0</v>
      </c>
      <c r="D58" s="45">
        <v>0</v>
      </c>
      <c r="E58" s="47">
        <v>0</v>
      </c>
      <c r="F58" s="47">
        <v>0</v>
      </c>
      <c r="G58" s="47">
        <v>0</v>
      </c>
      <c r="H58" s="47">
        <v>0</v>
      </c>
      <c r="I58" s="48" t="s">
        <v>0</v>
      </c>
      <c r="J58" s="10" t="str">
        <f t="shared" si="2"/>
        <v/>
      </c>
      <c r="K58" s="11" t="e">
        <f t="shared" si="1"/>
        <v>#VALUE!</v>
      </c>
      <c r="L58" s="12">
        <v>1.7962037037037035</v>
      </c>
    </row>
    <row r="59" spans="1:12" ht="15" customHeight="1">
      <c r="A59" s="44" t="s">
        <v>97</v>
      </c>
      <c r="B59" s="45" t="s">
        <v>91</v>
      </c>
      <c r="C59" s="46" t="s">
        <v>1905</v>
      </c>
      <c r="D59" s="45">
        <v>216.12</v>
      </c>
      <c r="E59" s="47">
        <v>62</v>
      </c>
      <c r="F59" s="47">
        <v>0</v>
      </c>
      <c r="G59" s="47">
        <v>2</v>
      </c>
      <c r="H59" s="47">
        <v>7</v>
      </c>
      <c r="I59" s="48" t="s">
        <v>1906</v>
      </c>
      <c r="J59" s="10">
        <f t="shared" si="2"/>
        <v>0.35192129629629637</v>
      </c>
      <c r="K59" s="11">
        <f t="shared" si="1"/>
        <v>1.4663387345679015E-2</v>
      </c>
    </row>
    <row r="60" spans="1:12" ht="15" customHeight="1">
      <c r="A60" s="44" t="s">
        <v>98</v>
      </c>
      <c r="B60" s="45" t="s">
        <v>166</v>
      </c>
      <c r="C60" s="46" t="s">
        <v>1907</v>
      </c>
      <c r="D60" s="45">
        <v>48.07</v>
      </c>
      <c r="E60" s="47">
        <v>38</v>
      </c>
      <c r="F60" s="47">
        <v>0</v>
      </c>
      <c r="G60" s="47">
        <v>61</v>
      </c>
      <c r="H60" s="47">
        <v>0</v>
      </c>
      <c r="I60" s="48" t="s">
        <v>0</v>
      </c>
      <c r="J60" s="10" t="str">
        <f t="shared" si="2"/>
        <v>05:21:41</v>
      </c>
      <c r="K60" s="11">
        <f t="shared" si="1"/>
        <v>9.3079668209876537E-3</v>
      </c>
    </row>
    <row r="61" spans="1:12" ht="15" customHeight="1">
      <c r="A61" s="44" t="s">
        <v>98</v>
      </c>
      <c r="B61" s="45" t="s">
        <v>165</v>
      </c>
      <c r="C61" s="46" t="s">
        <v>1908</v>
      </c>
      <c r="D61" s="45">
        <v>50.4</v>
      </c>
      <c r="E61" s="47">
        <v>37</v>
      </c>
      <c r="F61" s="47">
        <v>0</v>
      </c>
      <c r="G61" s="47">
        <v>99</v>
      </c>
      <c r="H61" s="47">
        <v>0</v>
      </c>
      <c r="I61" s="48" t="s">
        <v>0</v>
      </c>
      <c r="J61" s="10" t="str">
        <f t="shared" si="2"/>
        <v>06:45:46</v>
      </c>
      <c r="K61" s="11">
        <f t="shared" si="1"/>
        <v>1.1740933641975308E-2</v>
      </c>
    </row>
    <row r="62" spans="1:12" ht="15" customHeight="1">
      <c r="A62" s="44" t="s">
        <v>98</v>
      </c>
      <c r="B62" s="45" t="s">
        <v>251</v>
      </c>
      <c r="C62" s="46" t="s">
        <v>0</v>
      </c>
      <c r="D62" s="45">
        <v>0</v>
      </c>
      <c r="E62" s="47">
        <v>0</v>
      </c>
      <c r="F62" s="47">
        <v>0</v>
      </c>
      <c r="G62" s="47">
        <v>0</v>
      </c>
      <c r="H62" s="47">
        <v>0</v>
      </c>
      <c r="I62" s="48" t="s">
        <v>0</v>
      </c>
      <c r="J62" s="10" t="str">
        <f t="shared" si="2"/>
        <v/>
      </c>
      <c r="K62" s="11" t="e">
        <f t="shared" si="1"/>
        <v>#VALUE!</v>
      </c>
    </row>
    <row r="63" spans="1:12" ht="15" customHeight="1">
      <c r="A63" s="44" t="s">
        <v>98</v>
      </c>
      <c r="B63" s="45" t="s">
        <v>250</v>
      </c>
      <c r="C63" s="46" t="s">
        <v>1909</v>
      </c>
      <c r="D63" s="45">
        <v>31.62</v>
      </c>
      <c r="E63" s="47">
        <v>47</v>
      </c>
      <c r="F63" s="47">
        <v>0</v>
      </c>
      <c r="G63" s="47">
        <v>35</v>
      </c>
      <c r="H63" s="47">
        <v>1</v>
      </c>
      <c r="I63" s="48" t="s">
        <v>1910</v>
      </c>
      <c r="J63" s="10">
        <f t="shared" si="2"/>
        <v>0.10692129629629629</v>
      </c>
      <c r="K63" s="11">
        <f t="shared" si="1"/>
        <v>4.4550540123456791E-3</v>
      </c>
    </row>
    <row r="64" spans="1:12" ht="15" customHeight="1">
      <c r="A64" s="44" t="s">
        <v>98</v>
      </c>
      <c r="B64" s="45" t="s">
        <v>727</v>
      </c>
      <c r="C64" s="46" t="s">
        <v>0</v>
      </c>
      <c r="D64" s="45">
        <v>0</v>
      </c>
      <c r="E64" s="47">
        <v>0</v>
      </c>
      <c r="F64" s="47">
        <v>0</v>
      </c>
      <c r="G64" s="47">
        <v>0</v>
      </c>
      <c r="H64" s="47">
        <v>0</v>
      </c>
      <c r="I64" s="48" t="s">
        <v>0</v>
      </c>
      <c r="J64" s="10" t="str">
        <f t="shared" si="2"/>
        <v/>
      </c>
      <c r="K64" s="11" t="e">
        <f t="shared" si="1"/>
        <v>#VALUE!</v>
      </c>
    </row>
    <row r="65" spans="1:11" ht="15" customHeight="1">
      <c r="A65" s="44" t="s">
        <v>98</v>
      </c>
      <c r="B65" s="45" t="s">
        <v>728</v>
      </c>
      <c r="C65" s="46" t="s">
        <v>0</v>
      </c>
      <c r="D65" s="45">
        <v>0</v>
      </c>
      <c r="E65" s="47">
        <v>0</v>
      </c>
      <c r="F65" s="47">
        <v>0</v>
      </c>
      <c r="G65" s="47">
        <v>0</v>
      </c>
      <c r="H65" s="47">
        <v>0</v>
      </c>
      <c r="I65" s="48" t="s">
        <v>0</v>
      </c>
      <c r="J65" s="10" t="str">
        <f t="shared" si="2"/>
        <v/>
      </c>
      <c r="K65" s="11" t="e">
        <f t="shared" si="1"/>
        <v>#VALUE!</v>
      </c>
    </row>
    <row r="66" spans="1:11" ht="15" customHeight="1">
      <c r="A66" s="44" t="s">
        <v>98</v>
      </c>
      <c r="B66" s="45" t="s">
        <v>68</v>
      </c>
      <c r="C66" s="46" t="s">
        <v>1911</v>
      </c>
      <c r="D66" s="45">
        <v>313.17</v>
      </c>
      <c r="E66" s="47">
        <v>64</v>
      </c>
      <c r="F66" s="47">
        <v>0</v>
      </c>
      <c r="G66" s="47">
        <v>0</v>
      </c>
      <c r="H66" s="47">
        <v>7</v>
      </c>
      <c r="I66" s="48" t="s">
        <v>1912</v>
      </c>
      <c r="J66" s="10">
        <f t="shared" si="2"/>
        <v>0.61936342592592586</v>
      </c>
      <c r="K66" s="11">
        <f t="shared" si="1"/>
        <v>2.5806809413580243E-2</v>
      </c>
    </row>
    <row r="67" spans="1:11" ht="15" customHeight="1">
      <c r="A67" s="44" t="s">
        <v>98</v>
      </c>
      <c r="B67" s="45" t="s">
        <v>69</v>
      </c>
      <c r="C67" s="46" t="s">
        <v>1913</v>
      </c>
      <c r="D67" s="45">
        <v>23.14</v>
      </c>
      <c r="E67" s="47">
        <v>65</v>
      </c>
      <c r="F67" s="47">
        <v>0</v>
      </c>
      <c r="G67" s="47">
        <v>0</v>
      </c>
      <c r="H67" s="47">
        <v>1</v>
      </c>
      <c r="I67" s="48" t="s">
        <v>1914</v>
      </c>
      <c r="J67" s="10">
        <f t="shared" ref="J67:J130" si="3">IFERROR(C67-I67,C67)</f>
        <v>8.3055555555555563E-2</v>
      </c>
      <c r="K67" s="11">
        <f t="shared" ref="K67:K130" si="4">J67/24</f>
        <v>3.4606481481481485E-3</v>
      </c>
    </row>
    <row r="68" spans="1:11" ht="15" customHeight="1">
      <c r="A68" s="44" t="s">
        <v>98</v>
      </c>
      <c r="B68" s="45" t="s">
        <v>70</v>
      </c>
      <c r="C68" s="46" t="s">
        <v>1915</v>
      </c>
      <c r="D68" s="45">
        <v>103.5</v>
      </c>
      <c r="E68" s="47">
        <v>67</v>
      </c>
      <c r="F68" s="47">
        <v>0</v>
      </c>
      <c r="G68" s="47">
        <v>0</v>
      </c>
      <c r="H68" s="47">
        <v>4</v>
      </c>
      <c r="I68" s="48" t="s">
        <v>1916</v>
      </c>
      <c r="J68" s="10">
        <f t="shared" si="3"/>
        <v>0.19908564814814816</v>
      </c>
      <c r="K68" s="11">
        <f t="shared" si="4"/>
        <v>8.2952353395061729E-3</v>
      </c>
    </row>
    <row r="69" spans="1:11" ht="15" customHeight="1">
      <c r="A69" s="44" t="s">
        <v>98</v>
      </c>
      <c r="B69" s="45" t="s">
        <v>71</v>
      </c>
      <c r="C69" s="46" t="s">
        <v>1917</v>
      </c>
      <c r="D69" s="45">
        <v>202.36</v>
      </c>
      <c r="E69" s="47">
        <v>69</v>
      </c>
      <c r="F69" s="47">
        <v>0</v>
      </c>
      <c r="G69" s="47">
        <v>27</v>
      </c>
      <c r="H69" s="47">
        <v>10</v>
      </c>
      <c r="I69" s="48" t="s">
        <v>1918</v>
      </c>
      <c r="J69" s="10">
        <f t="shared" si="3"/>
        <v>0.36303240740740744</v>
      </c>
      <c r="K69" s="11">
        <f t="shared" si="4"/>
        <v>1.5126350308641977E-2</v>
      </c>
    </row>
    <row r="70" spans="1:11" ht="15" customHeight="1">
      <c r="A70" s="44" t="s">
        <v>98</v>
      </c>
      <c r="B70" s="45" t="s">
        <v>72</v>
      </c>
      <c r="C70" s="46" t="s">
        <v>1919</v>
      </c>
      <c r="D70" s="45">
        <v>96.2</v>
      </c>
      <c r="E70" s="47">
        <v>82</v>
      </c>
      <c r="F70" s="47">
        <v>2</v>
      </c>
      <c r="G70" s="47">
        <v>2</v>
      </c>
      <c r="H70" s="47">
        <v>1</v>
      </c>
      <c r="I70" s="48" t="s">
        <v>1920</v>
      </c>
      <c r="J70" s="10">
        <f t="shared" si="3"/>
        <v>0.1995717592592593</v>
      </c>
      <c r="K70" s="11">
        <f t="shared" si="4"/>
        <v>8.3154899691358034E-3</v>
      </c>
    </row>
    <row r="71" spans="1:11" ht="15" customHeight="1">
      <c r="A71" s="44" t="s">
        <v>98</v>
      </c>
      <c r="B71" s="45" t="s">
        <v>73</v>
      </c>
      <c r="C71" s="46" t="s">
        <v>1921</v>
      </c>
      <c r="D71" s="45">
        <v>281.08999999999997</v>
      </c>
      <c r="E71" s="47">
        <v>63</v>
      </c>
      <c r="F71" s="47">
        <v>0</v>
      </c>
      <c r="G71" s="47">
        <v>3</v>
      </c>
      <c r="H71" s="47">
        <v>7</v>
      </c>
      <c r="I71" s="48" t="s">
        <v>1922</v>
      </c>
      <c r="J71" s="10">
        <f t="shared" si="3"/>
        <v>0.41767361111111112</v>
      </c>
      <c r="K71" s="11">
        <f t="shared" si="4"/>
        <v>1.7403067129629631E-2</v>
      </c>
    </row>
    <row r="72" spans="1:11" ht="15" customHeight="1">
      <c r="A72" s="44" t="s">
        <v>98</v>
      </c>
      <c r="B72" s="45" t="s">
        <v>74</v>
      </c>
      <c r="C72" s="46" t="s">
        <v>0</v>
      </c>
      <c r="D72" s="45">
        <v>0</v>
      </c>
      <c r="E72" s="47">
        <v>0</v>
      </c>
      <c r="F72" s="47">
        <v>0</v>
      </c>
      <c r="G72" s="47">
        <v>0</v>
      </c>
      <c r="H72" s="47">
        <v>0</v>
      </c>
      <c r="I72" s="48" t="s">
        <v>0</v>
      </c>
      <c r="J72" s="10" t="str">
        <f t="shared" si="3"/>
        <v/>
      </c>
      <c r="K72" s="11" t="e">
        <f t="shared" si="4"/>
        <v>#VALUE!</v>
      </c>
    </row>
    <row r="73" spans="1:11" ht="15" customHeight="1">
      <c r="A73" s="44" t="s">
        <v>98</v>
      </c>
      <c r="B73" s="45" t="s">
        <v>75</v>
      </c>
      <c r="C73" s="46" t="s">
        <v>1923</v>
      </c>
      <c r="D73" s="45">
        <v>278.76</v>
      </c>
      <c r="E73" s="47">
        <v>65</v>
      </c>
      <c r="F73" s="47">
        <v>0</v>
      </c>
      <c r="G73" s="47">
        <v>0</v>
      </c>
      <c r="H73" s="47">
        <v>6</v>
      </c>
      <c r="I73" s="48" t="s">
        <v>1924</v>
      </c>
      <c r="J73" s="10">
        <f t="shared" si="3"/>
        <v>0.4414583333333334</v>
      </c>
      <c r="K73" s="11">
        <f t="shared" si="4"/>
        <v>1.8394097222222225E-2</v>
      </c>
    </row>
    <row r="74" spans="1:11" ht="15" customHeight="1">
      <c r="A74" s="44" t="s">
        <v>98</v>
      </c>
      <c r="B74" s="45" t="s">
        <v>76</v>
      </c>
      <c r="C74" s="46" t="s">
        <v>1925</v>
      </c>
      <c r="D74" s="45">
        <v>9.44</v>
      </c>
      <c r="E74" s="47">
        <v>37</v>
      </c>
      <c r="F74" s="47">
        <v>0</v>
      </c>
      <c r="G74" s="47">
        <v>0</v>
      </c>
      <c r="H74" s="47">
        <v>6</v>
      </c>
      <c r="I74" s="48" t="s">
        <v>1926</v>
      </c>
      <c r="J74" s="10">
        <f t="shared" si="3"/>
        <v>7.3275462962962973E-2</v>
      </c>
      <c r="K74" s="11">
        <f t="shared" si="4"/>
        <v>3.0531442901234572E-3</v>
      </c>
    </row>
    <row r="75" spans="1:11" ht="15" customHeight="1">
      <c r="A75" s="44" t="s">
        <v>98</v>
      </c>
      <c r="B75" s="45" t="s">
        <v>78</v>
      </c>
      <c r="C75" s="46" t="s">
        <v>1927</v>
      </c>
      <c r="D75" s="45">
        <v>246.94</v>
      </c>
      <c r="E75" s="47">
        <v>73</v>
      </c>
      <c r="F75" s="47">
        <v>3</v>
      </c>
      <c r="G75" s="47">
        <v>1</v>
      </c>
      <c r="H75" s="47">
        <v>0</v>
      </c>
      <c r="I75" s="48" t="s">
        <v>0</v>
      </c>
      <c r="J75" s="10" t="str">
        <f t="shared" si="3"/>
        <v>06:36:13</v>
      </c>
      <c r="K75" s="11">
        <f t="shared" si="4"/>
        <v>1.146460262345679E-2</v>
      </c>
    </row>
    <row r="76" spans="1:11" ht="15" customHeight="1">
      <c r="A76" s="44" t="s">
        <v>98</v>
      </c>
      <c r="B76" s="45" t="s">
        <v>79</v>
      </c>
      <c r="C76" s="46" t="s">
        <v>1928</v>
      </c>
      <c r="D76" s="45">
        <v>28.11</v>
      </c>
      <c r="E76" s="47">
        <v>75</v>
      </c>
      <c r="F76" s="47">
        <v>1</v>
      </c>
      <c r="G76" s="47">
        <v>0</v>
      </c>
      <c r="H76" s="47">
        <v>2</v>
      </c>
      <c r="I76" s="48" t="s">
        <v>1929</v>
      </c>
      <c r="J76" s="10">
        <f t="shared" si="3"/>
        <v>5.0868055555555569E-2</v>
      </c>
      <c r="K76" s="11">
        <f t="shared" si="4"/>
        <v>2.1195023148148154E-3</v>
      </c>
    </row>
    <row r="77" spans="1:11" ht="15" customHeight="1">
      <c r="A77" s="44" t="s">
        <v>98</v>
      </c>
      <c r="B77" s="45" t="s">
        <v>80</v>
      </c>
      <c r="C77" s="46" t="s">
        <v>1930</v>
      </c>
      <c r="D77" s="45">
        <v>11.83</v>
      </c>
      <c r="E77" s="47">
        <v>58</v>
      </c>
      <c r="F77" s="47">
        <v>0</v>
      </c>
      <c r="G77" s="47">
        <v>0</v>
      </c>
      <c r="H77" s="47">
        <v>1</v>
      </c>
      <c r="I77" s="48" t="s">
        <v>1931</v>
      </c>
      <c r="J77" s="10">
        <f t="shared" si="3"/>
        <v>7.2465277777777781E-2</v>
      </c>
      <c r="K77" s="11">
        <f t="shared" si="4"/>
        <v>3.0193865740740741E-3</v>
      </c>
    </row>
    <row r="78" spans="1:11" ht="15" customHeight="1">
      <c r="A78" s="44" t="s">
        <v>98</v>
      </c>
      <c r="B78" s="45" t="s">
        <v>81</v>
      </c>
      <c r="C78" s="46" t="s">
        <v>0</v>
      </c>
      <c r="D78" s="45">
        <v>0</v>
      </c>
      <c r="E78" s="47">
        <v>0</v>
      </c>
      <c r="F78" s="47">
        <v>0</v>
      </c>
      <c r="G78" s="47">
        <v>0</v>
      </c>
      <c r="H78" s="47">
        <v>0</v>
      </c>
      <c r="I78" s="48" t="s">
        <v>0</v>
      </c>
      <c r="J78" s="10" t="str">
        <f t="shared" si="3"/>
        <v/>
      </c>
      <c r="K78" s="11" t="e">
        <f t="shared" si="4"/>
        <v>#VALUE!</v>
      </c>
    </row>
    <row r="79" spans="1:11" ht="15" customHeight="1">
      <c r="A79" s="44" t="s">
        <v>98</v>
      </c>
      <c r="B79" s="45" t="s">
        <v>82</v>
      </c>
      <c r="C79" s="46" t="s">
        <v>1932</v>
      </c>
      <c r="D79" s="45">
        <v>60.63</v>
      </c>
      <c r="E79" s="47">
        <v>49</v>
      </c>
      <c r="F79" s="47">
        <v>0</v>
      </c>
      <c r="G79" s="47">
        <v>0</v>
      </c>
      <c r="H79" s="47">
        <v>1</v>
      </c>
      <c r="I79" s="48" t="s">
        <v>1933</v>
      </c>
      <c r="J79" s="10"/>
      <c r="K79" s="11">
        <f t="shared" si="4"/>
        <v>0</v>
      </c>
    </row>
    <row r="80" spans="1:11" ht="15" customHeight="1">
      <c r="A80" s="44" t="s">
        <v>98</v>
      </c>
      <c r="B80" s="45" t="s">
        <v>83</v>
      </c>
      <c r="C80" s="46" t="s">
        <v>1934</v>
      </c>
      <c r="D80" s="45">
        <v>0.78</v>
      </c>
      <c r="E80" s="47">
        <v>15</v>
      </c>
      <c r="F80" s="47">
        <v>0</v>
      </c>
      <c r="G80" s="47">
        <v>0</v>
      </c>
      <c r="H80" s="47">
        <v>1</v>
      </c>
      <c r="I80" s="48" t="s">
        <v>1935</v>
      </c>
      <c r="J80" s="10">
        <f t="shared" si="3"/>
        <v>0.30212962962962964</v>
      </c>
      <c r="K80" s="11">
        <f t="shared" si="4"/>
        <v>1.2588734567901235E-2</v>
      </c>
    </row>
    <row r="81" spans="1:12" ht="15" customHeight="1">
      <c r="A81" s="44" t="s">
        <v>98</v>
      </c>
      <c r="B81" s="45" t="s">
        <v>84</v>
      </c>
      <c r="C81" s="46" t="s">
        <v>1936</v>
      </c>
      <c r="D81" s="45">
        <v>121.92</v>
      </c>
      <c r="E81" s="47">
        <v>69</v>
      </c>
      <c r="F81" s="47">
        <v>0</v>
      </c>
      <c r="G81" s="47">
        <v>0</v>
      </c>
      <c r="H81" s="47">
        <v>7</v>
      </c>
      <c r="I81" s="48" t="s">
        <v>1937</v>
      </c>
      <c r="J81" s="10">
        <f t="shared" si="3"/>
        <v>0.24728009259259259</v>
      </c>
      <c r="K81" s="11">
        <f t="shared" si="4"/>
        <v>1.0303337191358024E-2</v>
      </c>
    </row>
    <row r="82" spans="1:12" ht="15" customHeight="1">
      <c r="A82" s="44" t="s">
        <v>98</v>
      </c>
      <c r="B82" s="45" t="s">
        <v>85</v>
      </c>
      <c r="C82" s="46" t="s">
        <v>1938</v>
      </c>
      <c r="D82" s="45">
        <v>113.14</v>
      </c>
      <c r="E82" s="47">
        <v>73</v>
      </c>
      <c r="F82" s="47">
        <v>2</v>
      </c>
      <c r="G82" s="47">
        <v>0</v>
      </c>
      <c r="H82" s="47">
        <v>4</v>
      </c>
      <c r="I82" s="48" t="s">
        <v>1939</v>
      </c>
      <c r="J82" s="10">
        <f t="shared" si="3"/>
        <v>0.22187500000000002</v>
      </c>
      <c r="K82" s="11">
        <f t="shared" si="4"/>
        <v>9.2447916666666668E-3</v>
      </c>
    </row>
    <row r="83" spans="1:12" ht="15" customHeight="1">
      <c r="A83" s="44" t="s">
        <v>98</v>
      </c>
      <c r="B83" s="45" t="s">
        <v>86</v>
      </c>
      <c r="C83" s="46" t="s">
        <v>1940</v>
      </c>
      <c r="D83" s="45">
        <v>210.49</v>
      </c>
      <c r="E83" s="47">
        <v>65</v>
      </c>
      <c r="F83" s="47">
        <v>0</v>
      </c>
      <c r="G83" s="47">
        <v>0</v>
      </c>
      <c r="H83" s="47">
        <v>2</v>
      </c>
      <c r="I83" s="48" t="s">
        <v>1941</v>
      </c>
      <c r="J83" s="10">
        <f t="shared" si="3"/>
        <v>0.3122800925925926</v>
      </c>
      <c r="K83" s="11">
        <f t="shared" si="4"/>
        <v>1.3011670524691358E-2</v>
      </c>
    </row>
    <row r="84" spans="1:12" ht="15" customHeight="1">
      <c r="A84" s="44" t="s">
        <v>98</v>
      </c>
      <c r="B84" s="45" t="s">
        <v>87</v>
      </c>
      <c r="C84" s="46" t="s">
        <v>1942</v>
      </c>
      <c r="D84" s="45">
        <v>199.42</v>
      </c>
      <c r="E84" s="47">
        <v>75</v>
      </c>
      <c r="F84" s="47">
        <v>2</v>
      </c>
      <c r="G84" s="47">
        <v>0</v>
      </c>
      <c r="H84" s="47">
        <v>0</v>
      </c>
      <c r="I84" s="48" t="s">
        <v>0</v>
      </c>
      <c r="J84" s="10" t="str">
        <f t="shared" si="3"/>
        <v>05:36:11</v>
      </c>
      <c r="K84" s="11">
        <f t="shared" si="4"/>
        <v>9.7275270061728397E-3</v>
      </c>
    </row>
    <row r="85" spans="1:12" ht="15" customHeight="1">
      <c r="A85" s="44" t="s">
        <v>98</v>
      </c>
      <c r="B85" s="45" t="s">
        <v>88</v>
      </c>
      <c r="C85" s="46" t="s">
        <v>1943</v>
      </c>
      <c r="D85" s="45">
        <v>207.43</v>
      </c>
      <c r="E85" s="47">
        <v>66</v>
      </c>
      <c r="F85" s="47">
        <v>0</v>
      </c>
      <c r="G85" s="47">
        <v>7</v>
      </c>
      <c r="H85" s="47">
        <v>4</v>
      </c>
      <c r="I85" s="48" t="s">
        <v>1944</v>
      </c>
      <c r="J85" s="10">
        <f t="shared" si="3"/>
        <v>0.31449074074074074</v>
      </c>
      <c r="K85" s="11">
        <f t="shared" si="4"/>
        <v>1.310378086419753E-2</v>
      </c>
    </row>
    <row r="86" spans="1:12" ht="15" customHeight="1">
      <c r="A86" s="44" t="s">
        <v>98</v>
      </c>
      <c r="B86" s="45" t="s">
        <v>89</v>
      </c>
      <c r="C86" s="46" t="s">
        <v>1945</v>
      </c>
      <c r="D86" s="45">
        <v>182.14</v>
      </c>
      <c r="E86" s="47">
        <v>60</v>
      </c>
      <c r="F86" s="47">
        <v>0</v>
      </c>
      <c r="G86" s="47">
        <v>0</v>
      </c>
      <c r="H86" s="47">
        <v>5</v>
      </c>
      <c r="I86" s="48" t="s">
        <v>1946</v>
      </c>
      <c r="J86" s="10">
        <f t="shared" si="3"/>
        <v>0.28106481481481477</v>
      </c>
      <c r="K86" s="11">
        <f t="shared" si="4"/>
        <v>1.1711033950617282E-2</v>
      </c>
      <c r="L86" s="12">
        <v>1.8094444444444444</v>
      </c>
    </row>
    <row r="87" spans="1:12" ht="15" customHeight="1">
      <c r="A87" s="44" t="s">
        <v>98</v>
      </c>
      <c r="B87" s="45" t="s">
        <v>90</v>
      </c>
      <c r="C87" s="46" t="s">
        <v>0</v>
      </c>
      <c r="D87" s="45">
        <v>0</v>
      </c>
      <c r="E87" s="47">
        <v>0</v>
      </c>
      <c r="F87" s="47">
        <v>0</v>
      </c>
      <c r="G87" s="47">
        <v>0</v>
      </c>
      <c r="H87" s="47">
        <v>0</v>
      </c>
      <c r="I87" s="48" t="s">
        <v>0</v>
      </c>
      <c r="J87" s="10" t="str">
        <f t="shared" si="3"/>
        <v/>
      </c>
      <c r="K87" s="11" t="e">
        <f t="shared" si="4"/>
        <v>#VALUE!</v>
      </c>
    </row>
    <row r="88" spans="1:12" ht="15" customHeight="1">
      <c r="A88" s="44" t="s">
        <v>98</v>
      </c>
      <c r="B88" s="45" t="s">
        <v>91</v>
      </c>
      <c r="C88" s="46" t="s">
        <v>1947</v>
      </c>
      <c r="D88" s="45">
        <v>183.25</v>
      </c>
      <c r="E88" s="47">
        <v>63</v>
      </c>
      <c r="F88" s="47">
        <v>0</v>
      </c>
      <c r="G88" s="47">
        <v>0</v>
      </c>
      <c r="H88" s="47">
        <v>6</v>
      </c>
      <c r="I88" s="48" t="s">
        <v>1948</v>
      </c>
      <c r="J88" s="10">
        <f t="shared" si="3"/>
        <v>0.3099305555555556</v>
      </c>
      <c r="K88" s="11">
        <f t="shared" si="4"/>
        <v>1.291377314814815E-2</v>
      </c>
    </row>
    <row r="89" spans="1:12" ht="15" customHeight="1">
      <c r="A89" s="44" t="s">
        <v>99</v>
      </c>
      <c r="B89" s="45" t="s">
        <v>166</v>
      </c>
      <c r="C89" s="46" t="s">
        <v>1949</v>
      </c>
      <c r="D89" s="45">
        <v>66.510000000000005</v>
      </c>
      <c r="E89" s="47">
        <v>52</v>
      </c>
      <c r="F89" s="47">
        <v>0</v>
      </c>
      <c r="G89" s="47">
        <v>66</v>
      </c>
      <c r="H89" s="47">
        <v>0</v>
      </c>
      <c r="I89" s="48" t="s">
        <v>0</v>
      </c>
      <c r="J89" s="10" t="str">
        <f t="shared" si="3"/>
        <v>06:38:22</v>
      </c>
      <c r="K89" s="11">
        <f t="shared" si="4"/>
        <v>1.1526813271604939E-2</v>
      </c>
    </row>
    <row r="90" spans="1:12" ht="15" customHeight="1">
      <c r="A90" s="44" t="s">
        <v>99</v>
      </c>
      <c r="B90" s="45" t="s">
        <v>165</v>
      </c>
      <c r="C90" s="46" t="s">
        <v>1950</v>
      </c>
      <c r="D90" s="45">
        <v>62.13</v>
      </c>
      <c r="E90" s="47">
        <v>43</v>
      </c>
      <c r="F90" s="47">
        <v>0</v>
      </c>
      <c r="G90" s="47">
        <v>140</v>
      </c>
      <c r="H90" s="47">
        <v>0</v>
      </c>
      <c r="I90" s="48" t="s">
        <v>0</v>
      </c>
      <c r="J90" s="10" t="str">
        <f t="shared" si="3"/>
        <v>06:39:24</v>
      </c>
      <c r="K90" s="11">
        <f t="shared" si="4"/>
        <v>1.1556712962962963E-2</v>
      </c>
    </row>
    <row r="91" spans="1:12" ht="15" customHeight="1">
      <c r="A91" s="44" t="s">
        <v>99</v>
      </c>
      <c r="B91" s="45" t="s">
        <v>251</v>
      </c>
      <c r="C91" s="46" t="s">
        <v>0</v>
      </c>
      <c r="D91" s="45">
        <v>0</v>
      </c>
      <c r="E91" s="47">
        <v>0</v>
      </c>
      <c r="F91" s="47">
        <v>0</v>
      </c>
      <c r="G91" s="47">
        <v>0</v>
      </c>
      <c r="H91" s="47">
        <v>0</v>
      </c>
      <c r="I91" s="48" t="s">
        <v>0</v>
      </c>
      <c r="J91" s="10" t="str">
        <f t="shared" si="3"/>
        <v/>
      </c>
      <c r="K91" s="11" t="e">
        <f t="shared" si="4"/>
        <v>#VALUE!</v>
      </c>
    </row>
    <row r="92" spans="1:12" ht="15" customHeight="1">
      <c r="A92" s="44" t="s">
        <v>99</v>
      </c>
      <c r="B92" s="45" t="s">
        <v>250</v>
      </c>
      <c r="C92" s="46" t="s">
        <v>1951</v>
      </c>
      <c r="D92" s="45">
        <v>0.44</v>
      </c>
      <c r="E92" s="47">
        <v>10</v>
      </c>
      <c r="F92" s="47">
        <v>0</v>
      </c>
      <c r="G92" s="47">
        <v>2</v>
      </c>
      <c r="H92" s="47">
        <v>1</v>
      </c>
      <c r="I92" s="48" t="s">
        <v>1952</v>
      </c>
      <c r="J92" s="10">
        <f t="shared" si="3"/>
        <v>1.3252314814814821E-2</v>
      </c>
      <c r="K92" s="11">
        <f t="shared" si="4"/>
        <v>5.521797839506175E-4</v>
      </c>
    </row>
    <row r="93" spans="1:12" ht="15" customHeight="1">
      <c r="A93" s="44" t="s">
        <v>99</v>
      </c>
      <c r="B93" s="45" t="s">
        <v>727</v>
      </c>
      <c r="C93" s="46" t="s">
        <v>1953</v>
      </c>
      <c r="D93" s="45">
        <v>2.64</v>
      </c>
      <c r="E93" s="47">
        <v>0</v>
      </c>
      <c r="F93" s="47">
        <v>0</v>
      </c>
      <c r="G93" s="47">
        <v>0</v>
      </c>
      <c r="H93" s="47">
        <v>0</v>
      </c>
      <c r="I93" s="48" t="s">
        <v>0</v>
      </c>
      <c r="J93" s="10" t="str">
        <f t="shared" si="3"/>
        <v>00:14:20</v>
      </c>
      <c r="K93" s="11">
        <f t="shared" si="4"/>
        <v>4.1473765432098767E-4</v>
      </c>
    </row>
    <row r="94" spans="1:12" ht="15" customHeight="1">
      <c r="A94" s="44" t="s">
        <v>99</v>
      </c>
      <c r="B94" s="45" t="s">
        <v>728</v>
      </c>
      <c r="C94" s="46" t="s">
        <v>0</v>
      </c>
      <c r="D94" s="45">
        <v>0</v>
      </c>
      <c r="E94" s="47">
        <v>0</v>
      </c>
      <c r="F94" s="47">
        <v>0</v>
      </c>
      <c r="G94" s="47">
        <v>0</v>
      </c>
      <c r="H94" s="47">
        <v>0</v>
      </c>
      <c r="I94" s="48" t="s">
        <v>0</v>
      </c>
      <c r="J94" s="10" t="str">
        <f t="shared" si="3"/>
        <v/>
      </c>
      <c r="K94" s="11" t="e">
        <f t="shared" si="4"/>
        <v>#VALUE!</v>
      </c>
    </row>
    <row r="95" spans="1:12" ht="15" customHeight="1">
      <c r="A95" s="44" t="s">
        <v>99</v>
      </c>
      <c r="B95" s="45" t="s">
        <v>68</v>
      </c>
      <c r="C95" s="46" t="s">
        <v>1954</v>
      </c>
      <c r="D95" s="45">
        <v>17.88</v>
      </c>
      <c r="E95" s="47">
        <v>48</v>
      </c>
      <c r="F95" s="47">
        <v>0</v>
      </c>
      <c r="G95" s="47">
        <v>0</v>
      </c>
      <c r="H95" s="47">
        <v>4</v>
      </c>
      <c r="I95" s="48" t="s">
        <v>1955</v>
      </c>
      <c r="J95" s="10">
        <f t="shared" si="3"/>
        <v>0.26748842592592592</v>
      </c>
      <c r="K95" s="11">
        <f t="shared" si="4"/>
        <v>1.1145351080246913E-2</v>
      </c>
    </row>
    <row r="96" spans="1:12" ht="15" customHeight="1">
      <c r="A96" s="44" t="s">
        <v>99</v>
      </c>
      <c r="B96" s="45" t="s">
        <v>69</v>
      </c>
      <c r="C96" s="46" t="s">
        <v>1956</v>
      </c>
      <c r="D96" s="45">
        <v>24.34</v>
      </c>
      <c r="E96" s="47">
        <v>66</v>
      </c>
      <c r="F96" s="47">
        <v>0</v>
      </c>
      <c r="G96" s="47">
        <v>0</v>
      </c>
      <c r="H96" s="47">
        <v>3</v>
      </c>
      <c r="I96" s="48" t="s">
        <v>1957</v>
      </c>
      <c r="J96" s="10">
        <f t="shared" si="3"/>
        <v>9.8437499999999983E-2</v>
      </c>
      <c r="K96" s="11">
        <f t="shared" si="4"/>
        <v>4.1015624999999993E-3</v>
      </c>
    </row>
    <row r="97" spans="1:11" ht="15" customHeight="1">
      <c r="A97" s="44" t="s">
        <v>99</v>
      </c>
      <c r="B97" s="45" t="s">
        <v>70</v>
      </c>
      <c r="C97" s="46" t="s">
        <v>1958</v>
      </c>
      <c r="D97" s="45">
        <v>11.92</v>
      </c>
      <c r="E97" s="47">
        <v>63</v>
      </c>
      <c r="F97" s="47">
        <v>0</v>
      </c>
      <c r="G97" s="47">
        <v>0</v>
      </c>
      <c r="H97" s="47">
        <v>7</v>
      </c>
      <c r="I97" s="48" t="s">
        <v>1959</v>
      </c>
      <c r="J97" s="10">
        <f t="shared" si="3"/>
        <v>6.1678240740740756E-2</v>
      </c>
      <c r="K97" s="11">
        <f t="shared" si="4"/>
        <v>2.5699266975308648E-3</v>
      </c>
    </row>
    <row r="98" spans="1:11" ht="15" customHeight="1">
      <c r="A98" s="44" t="s">
        <v>99</v>
      </c>
      <c r="B98" s="45" t="s">
        <v>71</v>
      </c>
      <c r="C98" s="46" t="s">
        <v>1960</v>
      </c>
      <c r="D98" s="45">
        <v>218.79</v>
      </c>
      <c r="E98" s="47">
        <v>62</v>
      </c>
      <c r="F98" s="47">
        <v>0</v>
      </c>
      <c r="G98" s="47">
        <v>29</v>
      </c>
      <c r="H98" s="47">
        <v>6</v>
      </c>
      <c r="I98" s="48" t="s">
        <v>1961</v>
      </c>
      <c r="J98" s="10">
        <f t="shared" si="3"/>
        <v>0.37020833333333331</v>
      </c>
      <c r="K98" s="11">
        <f t="shared" si="4"/>
        <v>1.5425347222222221E-2</v>
      </c>
    </row>
    <row r="99" spans="1:11" ht="15" customHeight="1">
      <c r="A99" s="44" t="s">
        <v>99</v>
      </c>
      <c r="B99" s="45" t="s">
        <v>72</v>
      </c>
      <c r="C99" s="46" t="s">
        <v>1962</v>
      </c>
      <c r="D99" s="45">
        <v>185.26</v>
      </c>
      <c r="E99" s="47">
        <v>80</v>
      </c>
      <c r="F99" s="47">
        <v>4</v>
      </c>
      <c r="G99" s="47">
        <v>0</v>
      </c>
      <c r="H99" s="47">
        <v>1</v>
      </c>
      <c r="I99" s="48" t="s">
        <v>1963</v>
      </c>
      <c r="J99" s="10">
        <f t="shared" si="3"/>
        <v>0.34152777777777776</v>
      </c>
      <c r="K99" s="11">
        <f t="shared" si="4"/>
        <v>1.4230324074074074E-2</v>
      </c>
    </row>
    <row r="100" spans="1:11" ht="15" customHeight="1">
      <c r="A100" s="44" t="s">
        <v>99</v>
      </c>
      <c r="B100" s="45" t="s">
        <v>73</v>
      </c>
      <c r="C100" s="46" t="s">
        <v>1964</v>
      </c>
      <c r="D100" s="45">
        <v>210.27</v>
      </c>
      <c r="E100" s="47">
        <v>60</v>
      </c>
      <c r="F100" s="47">
        <v>0</v>
      </c>
      <c r="G100" s="47">
        <v>1</v>
      </c>
      <c r="H100" s="47">
        <v>2</v>
      </c>
      <c r="I100" s="48" t="s">
        <v>1965</v>
      </c>
      <c r="J100" s="10">
        <f t="shared" si="3"/>
        <v>0.38995370370370369</v>
      </c>
      <c r="K100" s="11">
        <f t="shared" si="4"/>
        <v>1.6248070987654319E-2</v>
      </c>
    </row>
    <row r="101" spans="1:11" ht="15" customHeight="1">
      <c r="A101" s="44" t="s">
        <v>99</v>
      </c>
      <c r="B101" s="45" t="s">
        <v>74</v>
      </c>
      <c r="C101" s="46" t="s">
        <v>0</v>
      </c>
      <c r="D101" s="45">
        <v>0</v>
      </c>
      <c r="E101" s="47">
        <v>0</v>
      </c>
      <c r="F101" s="47">
        <v>0</v>
      </c>
      <c r="G101" s="47">
        <v>0</v>
      </c>
      <c r="H101" s="47">
        <v>0</v>
      </c>
      <c r="I101" s="48" t="s">
        <v>0</v>
      </c>
      <c r="J101" s="10" t="str">
        <f t="shared" si="3"/>
        <v/>
      </c>
      <c r="K101" s="11" t="e">
        <f t="shared" si="4"/>
        <v>#VALUE!</v>
      </c>
    </row>
    <row r="102" spans="1:11" ht="15" customHeight="1">
      <c r="A102" s="44" t="s">
        <v>99</v>
      </c>
      <c r="B102" s="45" t="s">
        <v>75</v>
      </c>
      <c r="C102" s="46" t="s">
        <v>1966</v>
      </c>
      <c r="D102" s="45">
        <v>245.27</v>
      </c>
      <c r="E102" s="47">
        <v>61</v>
      </c>
      <c r="F102" s="47">
        <v>0</v>
      </c>
      <c r="G102" s="47">
        <v>17</v>
      </c>
      <c r="H102" s="47">
        <v>8</v>
      </c>
      <c r="I102" s="48" t="s">
        <v>1967</v>
      </c>
      <c r="J102" s="10">
        <f t="shared" si="3"/>
        <v>0.42142361111111115</v>
      </c>
      <c r="K102" s="11">
        <f t="shared" si="4"/>
        <v>1.7559317129629631E-2</v>
      </c>
    </row>
    <row r="103" spans="1:11" ht="15" customHeight="1">
      <c r="A103" s="44" t="s">
        <v>99</v>
      </c>
      <c r="B103" s="45" t="s">
        <v>76</v>
      </c>
      <c r="C103" s="46" t="s">
        <v>1968</v>
      </c>
      <c r="D103" s="45">
        <v>13.65</v>
      </c>
      <c r="E103" s="47">
        <v>44</v>
      </c>
      <c r="F103" s="47">
        <v>0</v>
      </c>
      <c r="G103" s="47">
        <v>0</v>
      </c>
      <c r="H103" s="47">
        <v>4</v>
      </c>
      <c r="I103" s="48" t="s">
        <v>1969</v>
      </c>
      <c r="J103" s="10">
        <f t="shared" si="3"/>
        <v>7.101851851851855E-2</v>
      </c>
      <c r="K103" s="11">
        <f t="shared" si="4"/>
        <v>2.9591049382716064E-3</v>
      </c>
    </row>
    <row r="104" spans="1:11" ht="15" customHeight="1">
      <c r="A104" s="44" t="s">
        <v>99</v>
      </c>
      <c r="B104" s="45" t="s">
        <v>78</v>
      </c>
      <c r="C104" s="46" t="s">
        <v>1970</v>
      </c>
      <c r="D104" s="45">
        <v>73.88</v>
      </c>
      <c r="E104" s="47">
        <v>60</v>
      </c>
      <c r="F104" s="47">
        <v>0</v>
      </c>
      <c r="G104" s="47">
        <v>0</v>
      </c>
      <c r="H104" s="47">
        <v>11</v>
      </c>
      <c r="I104" s="48" t="s">
        <v>1971</v>
      </c>
      <c r="J104" s="10">
        <f t="shared" si="3"/>
        <v>0.26894675925925926</v>
      </c>
      <c r="K104" s="11">
        <f t="shared" si="4"/>
        <v>1.1206114969135803E-2</v>
      </c>
    </row>
    <row r="105" spans="1:11" ht="15" customHeight="1">
      <c r="A105" s="44" t="s">
        <v>99</v>
      </c>
      <c r="B105" s="45" t="s">
        <v>79</v>
      </c>
      <c r="C105" s="46" t="s">
        <v>1972</v>
      </c>
      <c r="D105" s="45">
        <v>29.4</v>
      </c>
      <c r="E105" s="47">
        <v>66</v>
      </c>
      <c r="F105" s="47">
        <v>0</v>
      </c>
      <c r="G105" s="47">
        <v>0</v>
      </c>
      <c r="H105" s="47">
        <v>3</v>
      </c>
      <c r="I105" s="48" t="s">
        <v>1973</v>
      </c>
      <c r="J105" s="10">
        <f t="shared" si="3"/>
        <v>0.1416203703703704</v>
      </c>
      <c r="K105" s="11">
        <f t="shared" si="4"/>
        <v>5.9008487654320999E-3</v>
      </c>
    </row>
    <row r="106" spans="1:11" ht="15" customHeight="1">
      <c r="A106" s="44" t="s">
        <v>99</v>
      </c>
      <c r="B106" s="45" t="s">
        <v>80</v>
      </c>
      <c r="C106" s="46" t="s">
        <v>1974</v>
      </c>
      <c r="D106" s="45">
        <v>36.979999999999997</v>
      </c>
      <c r="E106" s="47">
        <v>73</v>
      </c>
      <c r="F106" s="47">
        <v>2</v>
      </c>
      <c r="G106" s="47">
        <v>0</v>
      </c>
      <c r="H106" s="47">
        <v>5</v>
      </c>
      <c r="I106" s="48" t="s">
        <v>1975</v>
      </c>
      <c r="J106" s="10">
        <f t="shared" si="3"/>
        <v>0.13517361111111112</v>
      </c>
      <c r="K106" s="11">
        <f t="shared" si="4"/>
        <v>5.6322337962962966E-3</v>
      </c>
    </row>
    <row r="107" spans="1:11" ht="15" customHeight="1">
      <c r="A107" s="44" t="s">
        <v>99</v>
      </c>
      <c r="B107" s="45" t="s">
        <v>81</v>
      </c>
      <c r="C107" s="46" t="s">
        <v>0</v>
      </c>
      <c r="D107" s="45">
        <v>0</v>
      </c>
      <c r="E107" s="47">
        <v>0</v>
      </c>
      <c r="F107" s="47">
        <v>0</v>
      </c>
      <c r="G107" s="47">
        <v>0</v>
      </c>
      <c r="H107" s="47">
        <v>0</v>
      </c>
      <c r="I107" s="48" t="s">
        <v>0</v>
      </c>
      <c r="J107" s="10" t="str">
        <f t="shared" si="3"/>
        <v/>
      </c>
      <c r="K107" s="11" t="e">
        <f t="shared" si="4"/>
        <v>#VALUE!</v>
      </c>
    </row>
    <row r="108" spans="1:11" ht="15" customHeight="1">
      <c r="A108" s="44" t="s">
        <v>99</v>
      </c>
      <c r="B108" s="45" t="s">
        <v>82</v>
      </c>
      <c r="C108" s="46" t="s">
        <v>1976</v>
      </c>
      <c r="D108" s="45">
        <v>20.79</v>
      </c>
      <c r="E108" s="47">
        <v>55</v>
      </c>
      <c r="F108" s="47">
        <v>0</v>
      </c>
      <c r="G108" s="47">
        <v>0</v>
      </c>
      <c r="H108" s="47">
        <v>0</v>
      </c>
      <c r="I108" s="48" t="s">
        <v>0</v>
      </c>
      <c r="J108" s="10" t="str">
        <f t="shared" si="3"/>
        <v>01:06:00</v>
      </c>
      <c r="K108" s="11">
        <f t="shared" si="4"/>
        <v>1.9097222222222224E-3</v>
      </c>
    </row>
    <row r="109" spans="1:11" ht="15" customHeight="1">
      <c r="A109" s="44" t="s">
        <v>99</v>
      </c>
      <c r="B109" s="45" t="s">
        <v>83</v>
      </c>
      <c r="C109" s="46" t="s">
        <v>1977</v>
      </c>
      <c r="D109" s="45">
        <v>2.0099999999999998</v>
      </c>
      <c r="E109" s="47">
        <v>17</v>
      </c>
      <c r="F109" s="47">
        <v>0</v>
      </c>
      <c r="G109" s="47">
        <v>0</v>
      </c>
      <c r="H109" s="47">
        <v>2</v>
      </c>
      <c r="I109" s="48" t="s">
        <v>1978</v>
      </c>
      <c r="J109" s="10">
        <f t="shared" si="3"/>
        <v>0.11568287037037045</v>
      </c>
      <c r="K109" s="11">
        <f t="shared" si="4"/>
        <v>4.8201195987654351E-3</v>
      </c>
    </row>
    <row r="110" spans="1:11" ht="15" customHeight="1">
      <c r="A110" s="44" t="s">
        <v>99</v>
      </c>
      <c r="B110" s="45" t="s">
        <v>84</v>
      </c>
      <c r="C110" s="46" t="s">
        <v>1979</v>
      </c>
      <c r="D110" s="45">
        <v>43.37</v>
      </c>
      <c r="E110" s="47">
        <v>74</v>
      </c>
      <c r="F110" s="47">
        <v>1</v>
      </c>
      <c r="G110" s="47">
        <v>1</v>
      </c>
      <c r="H110" s="47">
        <v>1</v>
      </c>
      <c r="I110" s="48" t="s">
        <v>1980</v>
      </c>
      <c r="J110" s="10">
        <f t="shared" si="3"/>
        <v>0.14671296296296296</v>
      </c>
      <c r="K110" s="11">
        <f t="shared" si="4"/>
        <v>6.1130401234567901E-3</v>
      </c>
    </row>
    <row r="111" spans="1:11" ht="15" customHeight="1">
      <c r="A111" s="44" t="s">
        <v>99</v>
      </c>
      <c r="B111" s="45" t="s">
        <v>85</v>
      </c>
      <c r="C111" s="46" t="s">
        <v>1981</v>
      </c>
      <c r="D111" s="45">
        <v>10.7</v>
      </c>
      <c r="E111" s="47">
        <v>60</v>
      </c>
      <c r="F111" s="47">
        <v>0</v>
      </c>
      <c r="G111" s="47">
        <v>0</v>
      </c>
      <c r="H111" s="47">
        <v>1</v>
      </c>
      <c r="I111" s="48" t="s">
        <v>1982</v>
      </c>
      <c r="J111" s="10">
        <f t="shared" si="3"/>
        <v>4.1446759259259253E-2</v>
      </c>
      <c r="K111" s="11">
        <f t="shared" si="4"/>
        <v>1.7269483024691355E-3</v>
      </c>
    </row>
    <row r="112" spans="1:11" ht="15" customHeight="1">
      <c r="A112" s="44" t="s">
        <v>99</v>
      </c>
      <c r="B112" s="45" t="s">
        <v>86</v>
      </c>
      <c r="C112" s="46" t="s">
        <v>1983</v>
      </c>
      <c r="D112" s="45">
        <v>290.95</v>
      </c>
      <c r="E112" s="47">
        <v>66</v>
      </c>
      <c r="F112" s="47">
        <v>0</v>
      </c>
      <c r="G112" s="47">
        <v>0</v>
      </c>
      <c r="H112" s="47">
        <v>3</v>
      </c>
      <c r="I112" s="48" t="s">
        <v>1984</v>
      </c>
      <c r="J112" s="10">
        <f t="shared" si="3"/>
        <v>0.44057870370370372</v>
      </c>
      <c r="K112" s="11">
        <f t="shared" si="4"/>
        <v>1.8357445987654323E-2</v>
      </c>
    </row>
    <row r="113" spans="1:12" ht="15" customHeight="1">
      <c r="A113" s="44" t="s">
        <v>99</v>
      </c>
      <c r="B113" s="45" t="s">
        <v>87</v>
      </c>
      <c r="C113" s="46" t="s">
        <v>1985</v>
      </c>
      <c r="D113" s="45">
        <v>341.83</v>
      </c>
      <c r="E113" s="47">
        <v>77</v>
      </c>
      <c r="F113" s="47">
        <v>10</v>
      </c>
      <c r="G113" s="47">
        <v>0</v>
      </c>
      <c r="H113" s="47">
        <v>0</v>
      </c>
      <c r="I113" s="48" t="s">
        <v>0</v>
      </c>
      <c r="J113" s="10" t="str">
        <f t="shared" si="3"/>
        <v>10:16:25</v>
      </c>
      <c r="K113" s="11">
        <f t="shared" si="4"/>
        <v>1.7836130401234569E-2</v>
      </c>
    </row>
    <row r="114" spans="1:12" ht="15" customHeight="1">
      <c r="A114" s="44" t="s">
        <v>99</v>
      </c>
      <c r="B114" s="45" t="s">
        <v>88</v>
      </c>
      <c r="C114" s="46" t="s">
        <v>1986</v>
      </c>
      <c r="D114" s="45">
        <v>288.04000000000002</v>
      </c>
      <c r="E114" s="47">
        <v>68</v>
      </c>
      <c r="F114" s="47">
        <v>0</v>
      </c>
      <c r="G114" s="47">
        <v>3</v>
      </c>
      <c r="H114" s="47">
        <v>1</v>
      </c>
      <c r="I114" s="48" t="s">
        <v>1987</v>
      </c>
      <c r="J114" s="10">
        <f t="shared" si="3"/>
        <v>0.45206018518518515</v>
      </c>
      <c r="K114" s="11">
        <f t="shared" si="4"/>
        <v>1.8835841049382716E-2</v>
      </c>
      <c r="L114" s="12">
        <v>1.4079282407407407</v>
      </c>
    </row>
    <row r="115" spans="1:12" ht="15" customHeight="1">
      <c r="A115" s="44" t="s">
        <v>99</v>
      </c>
      <c r="B115" s="45" t="s">
        <v>89</v>
      </c>
      <c r="C115" s="46" t="s">
        <v>1988</v>
      </c>
      <c r="D115" s="45">
        <v>244.23</v>
      </c>
      <c r="E115" s="47">
        <v>60</v>
      </c>
      <c r="F115" s="47">
        <v>0</v>
      </c>
      <c r="G115" s="47">
        <v>3</v>
      </c>
      <c r="H115" s="47">
        <v>4</v>
      </c>
      <c r="I115" s="48" t="s">
        <v>1989</v>
      </c>
      <c r="J115" s="10">
        <f t="shared" si="3"/>
        <v>0.36766203703703704</v>
      </c>
      <c r="K115" s="11">
        <f t="shared" si="4"/>
        <v>1.5319251543209877E-2</v>
      </c>
    </row>
    <row r="116" spans="1:12" ht="15" customHeight="1">
      <c r="A116" s="44" t="s">
        <v>99</v>
      </c>
      <c r="B116" s="45" t="s">
        <v>90</v>
      </c>
      <c r="C116" s="46" t="s">
        <v>0</v>
      </c>
      <c r="D116" s="45">
        <v>0</v>
      </c>
      <c r="E116" s="47">
        <v>0</v>
      </c>
      <c r="F116" s="47">
        <v>0</v>
      </c>
      <c r="G116" s="47">
        <v>0</v>
      </c>
      <c r="H116" s="47">
        <v>0</v>
      </c>
      <c r="I116" s="48" t="s">
        <v>0</v>
      </c>
      <c r="J116" s="10" t="str">
        <f t="shared" si="3"/>
        <v/>
      </c>
      <c r="K116" s="11" t="e">
        <f t="shared" si="4"/>
        <v>#VALUE!</v>
      </c>
    </row>
    <row r="117" spans="1:12" ht="15" customHeight="1">
      <c r="A117" s="44" t="s">
        <v>99</v>
      </c>
      <c r="B117" s="45" t="s">
        <v>91</v>
      </c>
      <c r="C117" s="46" t="s">
        <v>1990</v>
      </c>
      <c r="D117" s="45">
        <v>245.05</v>
      </c>
      <c r="E117" s="47">
        <v>59</v>
      </c>
      <c r="F117" s="47">
        <v>0</v>
      </c>
      <c r="G117" s="47">
        <v>0</v>
      </c>
      <c r="H117" s="47">
        <v>8</v>
      </c>
      <c r="I117" s="48" t="s">
        <v>1991</v>
      </c>
      <c r="J117" s="10">
        <f t="shared" si="3"/>
        <v>0.35373842592592591</v>
      </c>
      <c r="K117" s="11">
        <f t="shared" si="4"/>
        <v>1.4739101080246913E-2</v>
      </c>
    </row>
    <row r="118" spans="1:12" ht="15" customHeight="1">
      <c r="A118" s="44" t="s">
        <v>106</v>
      </c>
      <c r="B118" s="45" t="s">
        <v>166</v>
      </c>
      <c r="C118" s="46" t="s">
        <v>1992</v>
      </c>
      <c r="D118" s="45">
        <v>69.739999999999995</v>
      </c>
      <c r="E118" s="47">
        <v>49</v>
      </c>
      <c r="F118" s="47">
        <v>0</v>
      </c>
      <c r="G118" s="47">
        <v>50</v>
      </c>
      <c r="H118" s="47">
        <v>0</v>
      </c>
      <c r="I118" s="48" t="s">
        <v>0</v>
      </c>
      <c r="J118" s="10" t="str">
        <f t="shared" si="3"/>
        <v>07:48:11</v>
      </c>
      <c r="K118" s="11">
        <f t="shared" si="4"/>
        <v>1.3546971450617284E-2</v>
      </c>
    </row>
    <row r="119" spans="1:12" ht="15" customHeight="1">
      <c r="A119" s="44" t="s">
        <v>106</v>
      </c>
      <c r="B119" s="45" t="s">
        <v>165</v>
      </c>
      <c r="C119" s="46" t="s">
        <v>1993</v>
      </c>
      <c r="D119" s="45">
        <v>123.51</v>
      </c>
      <c r="E119" s="47">
        <v>50</v>
      </c>
      <c r="F119" s="47">
        <v>0</v>
      </c>
      <c r="G119" s="47">
        <v>217</v>
      </c>
      <c r="H119" s="47">
        <v>0</v>
      </c>
      <c r="I119" s="48" t="s">
        <v>0</v>
      </c>
      <c r="J119" s="10" t="str">
        <f t="shared" si="3"/>
        <v>10:30:37</v>
      </c>
      <c r="K119" s="11">
        <f t="shared" si="4"/>
        <v>1.8247010030864198E-2</v>
      </c>
    </row>
    <row r="120" spans="1:12" ht="15" customHeight="1">
      <c r="A120" s="44" t="s">
        <v>106</v>
      </c>
      <c r="B120" s="45" t="s">
        <v>251</v>
      </c>
      <c r="C120" s="46" t="s">
        <v>0</v>
      </c>
      <c r="D120" s="45">
        <v>0</v>
      </c>
      <c r="E120" s="47">
        <v>0</v>
      </c>
      <c r="F120" s="47">
        <v>0</v>
      </c>
      <c r="G120" s="47">
        <v>0</v>
      </c>
      <c r="H120" s="47">
        <v>0</v>
      </c>
      <c r="I120" s="48" t="s">
        <v>0</v>
      </c>
      <c r="J120" s="10" t="str">
        <f t="shared" si="3"/>
        <v/>
      </c>
      <c r="K120" s="11" t="e">
        <f t="shared" si="4"/>
        <v>#VALUE!</v>
      </c>
    </row>
    <row r="121" spans="1:12" ht="15" customHeight="1">
      <c r="A121" s="44" t="s">
        <v>106</v>
      </c>
      <c r="B121" s="45" t="s">
        <v>250</v>
      </c>
      <c r="C121" s="46" t="s">
        <v>1994</v>
      </c>
      <c r="D121" s="45">
        <v>13.6</v>
      </c>
      <c r="E121" s="47">
        <v>46</v>
      </c>
      <c r="F121" s="47">
        <v>0</v>
      </c>
      <c r="G121" s="47">
        <v>15</v>
      </c>
      <c r="H121" s="47">
        <v>0</v>
      </c>
      <c r="I121" s="48" t="s">
        <v>0</v>
      </c>
      <c r="J121" s="10" t="str">
        <f t="shared" si="3"/>
        <v>01:51:51</v>
      </c>
      <c r="K121" s="11">
        <f t="shared" si="4"/>
        <v>3.2364004629629631E-3</v>
      </c>
    </row>
    <row r="122" spans="1:12" ht="15" customHeight="1">
      <c r="A122" s="44" t="s">
        <v>106</v>
      </c>
      <c r="B122" s="45" t="s">
        <v>727</v>
      </c>
      <c r="C122" s="46" t="s">
        <v>1995</v>
      </c>
      <c r="D122" s="45">
        <v>36.39</v>
      </c>
      <c r="E122" s="47">
        <v>61</v>
      </c>
      <c r="F122" s="47">
        <v>0</v>
      </c>
      <c r="G122" s="47">
        <v>1</v>
      </c>
      <c r="H122" s="47">
        <v>3</v>
      </c>
      <c r="I122" s="48" t="s">
        <v>1996</v>
      </c>
      <c r="J122" s="10">
        <f t="shared" si="3"/>
        <v>0.11108796296296294</v>
      </c>
      <c r="K122" s="11">
        <f t="shared" si="4"/>
        <v>4.6286651234567896E-3</v>
      </c>
    </row>
    <row r="123" spans="1:12" ht="15" customHeight="1">
      <c r="A123" s="44" t="s">
        <v>106</v>
      </c>
      <c r="B123" s="45" t="s">
        <v>728</v>
      </c>
      <c r="C123" s="46" t="s">
        <v>0</v>
      </c>
      <c r="D123" s="45">
        <v>0</v>
      </c>
      <c r="E123" s="47">
        <v>0</v>
      </c>
      <c r="F123" s="47">
        <v>0</v>
      </c>
      <c r="G123" s="47">
        <v>0</v>
      </c>
      <c r="H123" s="47">
        <v>0</v>
      </c>
      <c r="I123" s="48" t="s">
        <v>0</v>
      </c>
      <c r="J123" s="10" t="str">
        <f t="shared" si="3"/>
        <v/>
      </c>
      <c r="K123" s="11" t="e">
        <f t="shared" si="4"/>
        <v>#VALUE!</v>
      </c>
    </row>
    <row r="124" spans="1:12" ht="15" customHeight="1">
      <c r="A124" s="44" t="s">
        <v>106</v>
      </c>
      <c r="B124" s="45" t="s">
        <v>68</v>
      </c>
      <c r="C124" s="46" t="s">
        <v>1997</v>
      </c>
      <c r="D124" s="45">
        <v>260.02999999999997</v>
      </c>
      <c r="E124" s="47">
        <v>62</v>
      </c>
      <c r="F124" s="47">
        <v>0</v>
      </c>
      <c r="G124" s="47">
        <v>0</v>
      </c>
      <c r="H124" s="47">
        <v>0</v>
      </c>
      <c r="I124" s="48" t="s">
        <v>0</v>
      </c>
      <c r="J124" s="10" t="str">
        <f t="shared" si="3"/>
        <v>08:04:18</v>
      </c>
      <c r="K124" s="11">
        <f t="shared" si="4"/>
        <v>1.4013310185185186E-2</v>
      </c>
    </row>
    <row r="125" spans="1:12" ht="15" customHeight="1">
      <c r="A125" s="44" t="s">
        <v>106</v>
      </c>
      <c r="B125" s="45" t="s">
        <v>69</v>
      </c>
      <c r="C125" s="46" t="s">
        <v>1998</v>
      </c>
      <c r="D125" s="45">
        <v>262.88</v>
      </c>
      <c r="E125" s="47">
        <v>77</v>
      </c>
      <c r="F125" s="47">
        <v>1</v>
      </c>
      <c r="G125" s="47">
        <v>0</v>
      </c>
      <c r="H125" s="47">
        <v>0</v>
      </c>
      <c r="I125" s="48" t="s">
        <v>0</v>
      </c>
      <c r="J125" s="10" t="str">
        <f t="shared" si="3"/>
        <v>08:13:52</v>
      </c>
      <c r="K125" s="11">
        <f t="shared" si="4"/>
        <v>1.4290123456790123E-2</v>
      </c>
    </row>
    <row r="126" spans="1:12" ht="15" customHeight="1">
      <c r="A126" s="44" t="s">
        <v>106</v>
      </c>
      <c r="B126" s="45" t="s">
        <v>70</v>
      </c>
      <c r="C126" s="46" t="s">
        <v>1999</v>
      </c>
      <c r="D126" s="45">
        <v>52.93</v>
      </c>
      <c r="E126" s="47">
        <v>67</v>
      </c>
      <c r="F126" s="47">
        <v>0</v>
      </c>
      <c r="G126" s="47">
        <v>0</v>
      </c>
      <c r="H126" s="47">
        <v>9</v>
      </c>
      <c r="I126" s="48" t="s">
        <v>2000</v>
      </c>
      <c r="J126" s="10">
        <f t="shared" si="3"/>
        <v>0.16479166666666664</v>
      </c>
      <c r="K126" s="11">
        <f t="shared" si="4"/>
        <v>6.8663194444444431E-3</v>
      </c>
    </row>
    <row r="127" spans="1:12" ht="15" customHeight="1">
      <c r="A127" s="44" t="s">
        <v>106</v>
      </c>
      <c r="B127" s="45" t="s">
        <v>71</v>
      </c>
      <c r="C127" s="46" t="s">
        <v>2001</v>
      </c>
      <c r="D127" s="45">
        <v>271.95</v>
      </c>
      <c r="E127" s="47">
        <v>66</v>
      </c>
      <c r="F127" s="47">
        <v>0</v>
      </c>
      <c r="G127" s="47">
        <v>18</v>
      </c>
      <c r="H127" s="47">
        <v>4</v>
      </c>
      <c r="I127" s="48" t="s">
        <v>2002</v>
      </c>
      <c r="J127" s="10">
        <f t="shared" si="3"/>
        <v>0.42557870370370371</v>
      </c>
      <c r="K127" s="11">
        <f t="shared" si="4"/>
        <v>1.7732445987654322E-2</v>
      </c>
    </row>
    <row r="128" spans="1:12" ht="15" customHeight="1">
      <c r="A128" s="44" t="s">
        <v>106</v>
      </c>
      <c r="B128" s="45" t="s">
        <v>72</v>
      </c>
      <c r="C128" s="46" t="s">
        <v>2003</v>
      </c>
      <c r="D128" s="45">
        <v>242.06</v>
      </c>
      <c r="E128" s="47">
        <v>81</v>
      </c>
      <c r="F128" s="47">
        <v>9</v>
      </c>
      <c r="G128" s="47">
        <v>4</v>
      </c>
      <c r="H128" s="47">
        <v>2</v>
      </c>
      <c r="I128" s="48" t="s">
        <v>2004</v>
      </c>
      <c r="J128" s="10">
        <f t="shared" si="3"/>
        <v>0.42629629629629628</v>
      </c>
      <c r="K128" s="11">
        <f t="shared" si="4"/>
        <v>1.7762345679012345E-2</v>
      </c>
    </row>
    <row r="129" spans="1:12" ht="15" customHeight="1">
      <c r="A129" s="44" t="s">
        <v>106</v>
      </c>
      <c r="B129" s="45" t="s">
        <v>73</v>
      </c>
      <c r="C129" s="46" t="s">
        <v>2005</v>
      </c>
      <c r="D129" s="45">
        <v>71.62</v>
      </c>
      <c r="E129" s="47">
        <v>61</v>
      </c>
      <c r="F129" s="47">
        <v>0</v>
      </c>
      <c r="G129" s="47">
        <v>2</v>
      </c>
      <c r="H129" s="47">
        <v>3</v>
      </c>
      <c r="I129" s="48" t="s">
        <v>2006</v>
      </c>
      <c r="J129" s="10">
        <f t="shared" si="3"/>
        <v>0.16304398148148147</v>
      </c>
      <c r="K129" s="11">
        <f t="shared" si="4"/>
        <v>6.7934992283950613E-3</v>
      </c>
    </row>
    <row r="130" spans="1:12" ht="15" customHeight="1">
      <c r="A130" s="44" t="s">
        <v>106</v>
      </c>
      <c r="B130" s="45" t="s">
        <v>74</v>
      </c>
      <c r="C130" s="46" t="s">
        <v>0</v>
      </c>
      <c r="D130" s="45">
        <v>0</v>
      </c>
      <c r="E130" s="47">
        <v>0</v>
      </c>
      <c r="F130" s="47">
        <v>0</v>
      </c>
      <c r="G130" s="47">
        <v>0</v>
      </c>
      <c r="H130" s="47">
        <v>0</v>
      </c>
      <c r="I130" s="48" t="s">
        <v>0</v>
      </c>
      <c r="J130" s="10" t="str">
        <f t="shared" si="3"/>
        <v/>
      </c>
      <c r="K130" s="11" t="e">
        <f t="shared" si="4"/>
        <v>#VALUE!</v>
      </c>
    </row>
    <row r="131" spans="1:12" ht="15" customHeight="1">
      <c r="A131" s="44" t="s">
        <v>106</v>
      </c>
      <c r="B131" s="45" t="s">
        <v>75</v>
      </c>
      <c r="C131" s="46" t="s">
        <v>0</v>
      </c>
      <c r="D131" s="45">
        <v>0</v>
      </c>
      <c r="E131" s="47">
        <v>0</v>
      </c>
      <c r="F131" s="47">
        <v>0</v>
      </c>
      <c r="G131" s="47">
        <v>0</v>
      </c>
      <c r="H131" s="47">
        <v>0</v>
      </c>
      <c r="I131" s="48" t="s">
        <v>0</v>
      </c>
      <c r="J131" s="10" t="str">
        <f t="shared" ref="J131:J194" si="5">IFERROR(C131-I131,C131)</f>
        <v/>
      </c>
      <c r="K131" s="11" t="e">
        <f t="shared" ref="K131:K183" si="6">J131/24</f>
        <v>#VALUE!</v>
      </c>
    </row>
    <row r="132" spans="1:12" ht="15" customHeight="1">
      <c r="A132" s="44" t="s">
        <v>106</v>
      </c>
      <c r="B132" s="45" t="s">
        <v>76</v>
      </c>
      <c r="C132" s="46" t="s">
        <v>2007</v>
      </c>
      <c r="D132" s="45">
        <v>252.48</v>
      </c>
      <c r="E132" s="47">
        <v>76</v>
      </c>
      <c r="F132" s="47">
        <v>3</v>
      </c>
      <c r="G132" s="47">
        <v>0</v>
      </c>
      <c r="H132" s="47">
        <v>4</v>
      </c>
      <c r="I132" s="48" t="s">
        <v>2008</v>
      </c>
      <c r="J132" s="10">
        <f t="shared" si="5"/>
        <v>0.25143518518518515</v>
      </c>
      <c r="K132" s="11">
        <f t="shared" si="6"/>
        <v>1.0476466049382715E-2</v>
      </c>
    </row>
    <row r="133" spans="1:12" ht="15" customHeight="1">
      <c r="A133" s="44" t="s">
        <v>106</v>
      </c>
      <c r="B133" s="45" t="s">
        <v>78</v>
      </c>
      <c r="C133" s="46" t="s">
        <v>2009</v>
      </c>
      <c r="D133" s="45">
        <v>52.72</v>
      </c>
      <c r="E133" s="47">
        <v>65</v>
      </c>
      <c r="F133" s="47">
        <v>0</v>
      </c>
      <c r="G133" s="47">
        <v>0</v>
      </c>
      <c r="H133" s="47">
        <v>6</v>
      </c>
      <c r="I133" s="48" t="s">
        <v>2010</v>
      </c>
      <c r="J133" s="10">
        <f t="shared" si="5"/>
        <v>0.2474884259259259</v>
      </c>
      <c r="K133" s="11">
        <f t="shared" si="6"/>
        <v>1.0312017746913579E-2</v>
      </c>
    </row>
    <row r="134" spans="1:12" ht="15" customHeight="1">
      <c r="A134" s="44" t="s">
        <v>106</v>
      </c>
      <c r="B134" s="45" t="s">
        <v>79</v>
      </c>
      <c r="C134" s="46" t="s">
        <v>2011</v>
      </c>
      <c r="D134" s="45">
        <v>1.9</v>
      </c>
      <c r="E134" s="47">
        <v>10</v>
      </c>
      <c r="F134" s="47">
        <v>0</v>
      </c>
      <c r="G134" s="47">
        <v>0</v>
      </c>
      <c r="H134" s="47">
        <v>2</v>
      </c>
      <c r="I134" s="48" t="s">
        <v>2012</v>
      </c>
      <c r="J134" s="10">
        <f t="shared" si="5"/>
        <v>1.4074074074074072E-2</v>
      </c>
      <c r="K134" s="11">
        <f t="shared" si="6"/>
        <v>5.8641975308641964E-4</v>
      </c>
    </row>
    <row r="135" spans="1:12" ht="15" customHeight="1">
      <c r="A135" s="44" t="s">
        <v>106</v>
      </c>
      <c r="B135" s="45" t="s">
        <v>80</v>
      </c>
      <c r="C135" s="46" t="s">
        <v>2013</v>
      </c>
      <c r="D135" s="45">
        <v>35.71</v>
      </c>
      <c r="E135" s="47">
        <v>63</v>
      </c>
      <c r="F135" s="47">
        <v>0</v>
      </c>
      <c r="G135" s="47">
        <v>0</v>
      </c>
      <c r="H135" s="47">
        <v>3</v>
      </c>
      <c r="I135" s="48" t="s">
        <v>2014</v>
      </c>
      <c r="J135" s="10">
        <f t="shared" si="5"/>
        <v>0.13674768518518521</v>
      </c>
      <c r="K135" s="11">
        <f t="shared" si="6"/>
        <v>5.6978202160493834E-3</v>
      </c>
    </row>
    <row r="136" spans="1:12" ht="15" customHeight="1">
      <c r="A136" s="44" t="s">
        <v>106</v>
      </c>
      <c r="B136" s="45" t="s">
        <v>81</v>
      </c>
      <c r="C136" s="46" t="s">
        <v>0</v>
      </c>
      <c r="D136" s="45">
        <v>0</v>
      </c>
      <c r="E136" s="47">
        <v>0</v>
      </c>
      <c r="F136" s="47">
        <v>0</v>
      </c>
      <c r="G136" s="47">
        <v>0</v>
      </c>
      <c r="H136" s="47">
        <v>0</v>
      </c>
      <c r="I136" s="48" t="s">
        <v>0</v>
      </c>
      <c r="J136" s="10" t="str">
        <f t="shared" si="5"/>
        <v/>
      </c>
      <c r="K136" s="11" t="e">
        <f t="shared" si="6"/>
        <v>#VALUE!</v>
      </c>
    </row>
    <row r="137" spans="1:12" ht="15" customHeight="1">
      <c r="A137" s="44" t="s">
        <v>106</v>
      </c>
      <c r="B137" s="45" t="s">
        <v>82</v>
      </c>
      <c r="C137" s="46" t="s">
        <v>2015</v>
      </c>
      <c r="D137" s="45">
        <v>473.46</v>
      </c>
      <c r="E137" s="47">
        <v>64</v>
      </c>
      <c r="F137" s="47">
        <v>0</v>
      </c>
      <c r="G137" s="47">
        <v>0</v>
      </c>
      <c r="H137" s="47">
        <v>2</v>
      </c>
      <c r="I137" s="48" t="s">
        <v>2016</v>
      </c>
      <c r="J137" s="10">
        <f t="shared" si="5"/>
        <v>0.49252314814814818</v>
      </c>
      <c r="K137" s="11">
        <f t="shared" si="6"/>
        <v>2.0521797839506174E-2</v>
      </c>
    </row>
    <row r="138" spans="1:12" ht="15" customHeight="1">
      <c r="A138" s="44" t="s">
        <v>106</v>
      </c>
      <c r="B138" s="45" t="s">
        <v>83</v>
      </c>
      <c r="C138" s="46" t="s">
        <v>0</v>
      </c>
      <c r="D138" s="45">
        <v>0</v>
      </c>
      <c r="E138" s="47">
        <v>0</v>
      </c>
      <c r="F138" s="47">
        <v>0</v>
      </c>
      <c r="G138" s="47">
        <v>0</v>
      </c>
      <c r="H138" s="47">
        <v>0</v>
      </c>
      <c r="I138" s="48" t="s">
        <v>0</v>
      </c>
      <c r="J138" s="10" t="str">
        <f t="shared" si="5"/>
        <v/>
      </c>
      <c r="K138" s="11" t="e">
        <f t="shared" si="6"/>
        <v>#VALUE!</v>
      </c>
    </row>
    <row r="139" spans="1:12" ht="15" customHeight="1">
      <c r="A139" s="44" t="s">
        <v>106</v>
      </c>
      <c r="B139" s="45" t="s">
        <v>84</v>
      </c>
      <c r="C139" s="46" t="s">
        <v>2017</v>
      </c>
      <c r="D139" s="45">
        <v>55.43</v>
      </c>
      <c r="E139" s="47">
        <v>71</v>
      </c>
      <c r="F139" s="47">
        <v>2</v>
      </c>
      <c r="G139" s="47">
        <v>1</v>
      </c>
      <c r="H139" s="47">
        <v>12</v>
      </c>
      <c r="I139" s="48" t="s">
        <v>2018</v>
      </c>
      <c r="J139" s="10">
        <f t="shared" si="5"/>
        <v>0.2265972222222222</v>
      </c>
      <c r="K139" s="11">
        <f t="shared" si="6"/>
        <v>9.4415509259259244E-3</v>
      </c>
    </row>
    <row r="140" spans="1:12" ht="15" customHeight="1">
      <c r="A140" s="44" t="s">
        <v>106</v>
      </c>
      <c r="B140" s="45" t="s">
        <v>85</v>
      </c>
      <c r="C140" s="46" t="s">
        <v>2019</v>
      </c>
      <c r="D140" s="45">
        <v>295.99</v>
      </c>
      <c r="E140" s="47">
        <v>76</v>
      </c>
      <c r="F140" s="47">
        <v>1</v>
      </c>
      <c r="G140" s="47">
        <v>0</v>
      </c>
      <c r="H140" s="47">
        <v>1</v>
      </c>
      <c r="I140" s="48" t="s">
        <v>2020</v>
      </c>
      <c r="J140" s="10">
        <f t="shared" si="5"/>
        <v>0.356875</v>
      </c>
      <c r="K140" s="11">
        <f t="shared" si="6"/>
        <v>1.4869791666666667E-2</v>
      </c>
    </row>
    <row r="141" spans="1:12" ht="15" customHeight="1">
      <c r="A141" s="44" t="s">
        <v>106</v>
      </c>
      <c r="B141" s="45" t="s">
        <v>86</v>
      </c>
      <c r="C141" s="46" t="s">
        <v>2021</v>
      </c>
      <c r="D141" s="45">
        <v>285.33</v>
      </c>
      <c r="E141" s="47">
        <v>68</v>
      </c>
      <c r="F141" s="47">
        <v>0</v>
      </c>
      <c r="G141" s="47">
        <v>0</v>
      </c>
      <c r="H141" s="47">
        <v>9</v>
      </c>
      <c r="I141" s="48" t="s">
        <v>2022</v>
      </c>
      <c r="J141" s="10">
        <f t="shared" si="5"/>
        <v>0.40621527777777783</v>
      </c>
      <c r="K141" s="11">
        <f t="shared" si="6"/>
        <v>1.6925636574074077E-2</v>
      </c>
    </row>
    <row r="142" spans="1:12" ht="15" customHeight="1">
      <c r="A142" s="44" t="s">
        <v>106</v>
      </c>
      <c r="B142" s="45" t="s">
        <v>87</v>
      </c>
      <c r="C142" s="46" t="s">
        <v>2023</v>
      </c>
      <c r="D142" s="45">
        <v>200.86</v>
      </c>
      <c r="E142" s="47">
        <v>85</v>
      </c>
      <c r="F142" s="47">
        <v>15</v>
      </c>
      <c r="G142" s="47">
        <v>0</v>
      </c>
      <c r="H142" s="47">
        <v>1</v>
      </c>
      <c r="I142" s="48" t="s">
        <v>2024</v>
      </c>
      <c r="J142" s="10">
        <f t="shared" si="5"/>
        <v>0.23612268518518517</v>
      </c>
      <c r="K142" s="11">
        <f t="shared" si="6"/>
        <v>9.8384452160493827E-3</v>
      </c>
      <c r="L142" s="12">
        <v>1.1926273148148148</v>
      </c>
    </row>
    <row r="143" spans="1:12" ht="15" customHeight="1">
      <c r="A143" s="44" t="s">
        <v>106</v>
      </c>
      <c r="B143" s="45" t="s">
        <v>88</v>
      </c>
      <c r="C143" s="46" t="s">
        <v>2025</v>
      </c>
      <c r="D143" s="45">
        <v>283.25</v>
      </c>
      <c r="E143" s="47">
        <v>67</v>
      </c>
      <c r="F143" s="47">
        <v>0</v>
      </c>
      <c r="G143" s="47">
        <v>2</v>
      </c>
      <c r="H143" s="47">
        <v>2</v>
      </c>
      <c r="I143" s="48" t="s">
        <v>2026</v>
      </c>
      <c r="J143" s="10">
        <f t="shared" si="5"/>
        <v>0.44145833333333334</v>
      </c>
      <c r="K143" s="11">
        <f t="shared" si="6"/>
        <v>1.8394097222222221E-2</v>
      </c>
    </row>
    <row r="144" spans="1:12" ht="15" customHeight="1">
      <c r="A144" s="44" t="s">
        <v>106</v>
      </c>
      <c r="B144" s="45" t="s">
        <v>89</v>
      </c>
      <c r="C144" s="46" t="s">
        <v>0</v>
      </c>
      <c r="D144" s="45">
        <v>0</v>
      </c>
      <c r="E144" s="47">
        <v>0</v>
      </c>
      <c r="F144" s="47">
        <v>0</v>
      </c>
      <c r="G144" s="47">
        <v>0</v>
      </c>
      <c r="H144" s="47">
        <v>0</v>
      </c>
      <c r="I144" s="48" t="s">
        <v>0</v>
      </c>
      <c r="J144" s="10" t="str">
        <f t="shared" si="5"/>
        <v/>
      </c>
      <c r="K144" s="11" t="e">
        <f t="shared" si="6"/>
        <v>#VALUE!</v>
      </c>
    </row>
    <row r="145" spans="1:11" ht="15" customHeight="1">
      <c r="A145" s="44" t="s">
        <v>106</v>
      </c>
      <c r="B145" s="45" t="s">
        <v>90</v>
      </c>
      <c r="C145" s="46" t="s">
        <v>2027</v>
      </c>
      <c r="D145" s="45">
        <v>0</v>
      </c>
      <c r="E145" s="47">
        <v>0</v>
      </c>
      <c r="F145" s="47">
        <v>0</v>
      </c>
      <c r="G145" s="47">
        <v>0</v>
      </c>
      <c r="H145" s="47">
        <v>0</v>
      </c>
      <c r="I145" s="48" t="s">
        <v>0</v>
      </c>
      <c r="J145" s="10" t="str">
        <f t="shared" si="5"/>
        <v>00:07:21</v>
      </c>
      <c r="K145" s="11">
        <f t="shared" si="6"/>
        <v>2.126736111111111E-4</v>
      </c>
    </row>
    <row r="146" spans="1:11" ht="15" customHeight="1">
      <c r="A146" s="44" t="s">
        <v>106</v>
      </c>
      <c r="B146" s="45" t="s">
        <v>91</v>
      </c>
      <c r="C146" s="46" t="s">
        <v>0</v>
      </c>
      <c r="D146" s="45">
        <v>0</v>
      </c>
      <c r="E146" s="47">
        <v>0</v>
      </c>
      <c r="F146" s="47">
        <v>0</v>
      </c>
      <c r="G146" s="47">
        <v>0</v>
      </c>
      <c r="H146" s="47">
        <v>0</v>
      </c>
      <c r="I146" s="48" t="s">
        <v>0</v>
      </c>
      <c r="J146" s="10" t="str">
        <f t="shared" si="5"/>
        <v/>
      </c>
      <c r="K146" s="11" t="e">
        <f t="shared" si="6"/>
        <v>#VALUE!</v>
      </c>
    </row>
    <row r="147" spans="1:11" ht="15" customHeight="1">
      <c r="A147" s="44" t="s">
        <v>105</v>
      </c>
      <c r="B147" s="45" t="s">
        <v>166</v>
      </c>
      <c r="C147" s="46" t="s">
        <v>2028</v>
      </c>
      <c r="D147" s="45">
        <v>46.1</v>
      </c>
      <c r="E147" s="47">
        <v>51</v>
      </c>
      <c r="F147" s="47">
        <v>0</v>
      </c>
      <c r="G147" s="47">
        <v>75</v>
      </c>
      <c r="H147" s="47">
        <v>0</v>
      </c>
      <c r="I147" s="48" t="s">
        <v>0</v>
      </c>
      <c r="J147" s="10" t="str">
        <f t="shared" si="5"/>
        <v>05:01:23</v>
      </c>
      <c r="K147" s="11">
        <f t="shared" si="6"/>
        <v>8.7205825617283957E-3</v>
      </c>
    </row>
    <row r="148" spans="1:11" ht="15" customHeight="1">
      <c r="A148" s="44" t="s">
        <v>105</v>
      </c>
      <c r="B148" s="45" t="s">
        <v>165</v>
      </c>
      <c r="C148" s="46" t="s">
        <v>2029</v>
      </c>
      <c r="D148" s="45">
        <v>48.07</v>
      </c>
      <c r="E148" s="47">
        <v>40</v>
      </c>
      <c r="F148" s="47">
        <v>0</v>
      </c>
      <c r="G148" s="47">
        <v>70</v>
      </c>
      <c r="H148" s="47">
        <v>0</v>
      </c>
      <c r="I148" s="48" t="s">
        <v>0</v>
      </c>
      <c r="J148" s="10" t="str">
        <f t="shared" si="5"/>
        <v>04:59:56</v>
      </c>
      <c r="K148" s="11">
        <f t="shared" si="6"/>
        <v>8.6786265432098764E-3</v>
      </c>
    </row>
    <row r="149" spans="1:11" ht="15" customHeight="1">
      <c r="A149" s="44" t="s">
        <v>105</v>
      </c>
      <c r="B149" s="45" t="s">
        <v>251</v>
      </c>
      <c r="C149" s="46" t="s">
        <v>0</v>
      </c>
      <c r="D149" s="45">
        <v>0</v>
      </c>
      <c r="E149" s="47">
        <v>0</v>
      </c>
      <c r="F149" s="47">
        <v>0</v>
      </c>
      <c r="G149" s="47">
        <v>0</v>
      </c>
      <c r="H149" s="47">
        <v>0</v>
      </c>
      <c r="I149" s="48" t="s">
        <v>0</v>
      </c>
      <c r="J149" s="10" t="str">
        <f t="shared" si="5"/>
        <v/>
      </c>
      <c r="K149" s="11" t="e">
        <f t="shared" si="6"/>
        <v>#VALUE!</v>
      </c>
    </row>
    <row r="150" spans="1:11" ht="15" customHeight="1">
      <c r="A150" s="44" t="s">
        <v>105</v>
      </c>
      <c r="B150" s="45" t="s">
        <v>250</v>
      </c>
      <c r="C150" s="46" t="s">
        <v>2030</v>
      </c>
      <c r="D150" s="45">
        <v>0.4</v>
      </c>
      <c r="E150" s="47">
        <v>8</v>
      </c>
      <c r="F150" s="47">
        <v>0</v>
      </c>
      <c r="G150" s="47">
        <v>7</v>
      </c>
      <c r="H150" s="47">
        <v>1</v>
      </c>
      <c r="I150" s="48" t="s">
        <v>2031</v>
      </c>
      <c r="J150" s="10">
        <f t="shared" si="5"/>
        <v>0.52260416666666665</v>
      </c>
      <c r="K150" s="11">
        <f t="shared" si="6"/>
        <v>2.1775173611111111E-2</v>
      </c>
    </row>
    <row r="151" spans="1:11" ht="15" customHeight="1">
      <c r="A151" s="44" t="s">
        <v>105</v>
      </c>
      <c r="B151" s="45" t="s">
        <v>727</v>
      </c>
      <c r="C151" s="46" t="s">
        <v>2032</v>
      </c>
      <c r="D151" s="45">
        <v>13.96</v>
      </c>
      <c r="E151" s="47">
        <v>31</v>
      </c>
      <c r="F151" s="47">
        <v>0</v>
      </c>
      <c r="G151" s="47">
        <v>0</v>
      </c>
      <c r="H151" s="47">
        <v>0</v>
      </c>
      <c r="I151" s="48" t="s">
        <v>0</v>
      </c>
      <c r="J151" s="10" t="str">
        <f t="shared" si="5"/>
        <v>01:43:56</v>
      </c>
      <c r="K151" s="11">
        <f t="shared" si="6"/>
        <v>3.0073302469135802E-3</v>
      </c>
    </row>
    <row r="152" spans="1:11" ht="15" customHeight="1">
      <c r="A152" s="44" t="s">
        <v>105</v>
      </c>
      <c r="B152" s="45" t="s">
        <v>728</v>
      </c>
      <c r="C152" s="46" t="s">
        <v>0</v>
      </c>
      <c r="D152" s="45">
        <v>0</v>
      </c>
      <c r="E152" s="47">
        <v>0</v>
      </c>
      <c r="F152" s="47">
        <v>0</v>
      </c>
      <c r="G152" s="47">
        <v>0</v>
      </c>
      <c r="H152" s="47">
        <v>0</v>
      </c>
      <c r="I152" s="48" t="s">
        <v>0</v>
      </c>
      <c r="J152" s="10" t="str">
        <f t="shared" si="5"/>
        <v/>
      </c>
      <c r="K152" s="11" t="e">
        <f t="shared" si="6"/>
        <v>#VALUE!</v>
      </c>
    </row>
    <row r="153" spans="1:11" ht="15" customHeight="1">
      <c r="A153" s="44" t="s">
        <v>105</v>
      </c>
      <c r="B153" s="45" t="s">
        <v>68</v>
      </c>
      <c r="C153" s="46" t="s">
        <v>2033</v>
      </c>
      <c r="D153" s="45">
        <v>0.01</v>
      </c>
      <c r="E153" s="47">
        <v>0</v>
      </c>
      <c r="F153" s="47">
        <v>0</v>
      </c>
      <c r="G153" s="47">
        <v>0</v>
      </c>
      <c r="H153" s="47">
        <v>0</v>
      </c>
      <c r="I153" s="48" t="s">
        <v>0</v>
      </c>
      <c r="J153" s="10" t="str">
        <f t="shared" si="5"/>
        <v>00:19:19</v>
      </c>
      <c r="K153" s="11">
        <f t="shared" si="6"/>
        <v>5.5893132716049382E-4</v>
      </c>
    </row>
    <row r="154" spans="1:11" ht="15" customHeight="1">
      <c r="A154" s="44" t="s">
        <v>105</v>
      </c>
      <c r="B154" s="45" t="s">
        <v>69</v>
      </c>
      <c r="C154" s="46" t="s">
        <v>2034</v>
      </c>
      <c r="D154" s="45">
        <v>253.92</v>
      </c>
      <c r="E154" s="47">
        <v>85</v>
      </c>
      <c r="F154" s="47">
        <v>4</v>
      </c>
      <c r="G154" s="47">
        <v>0</v>
      </c>
      <c r="H154" s="47">
        <v>2</v>
      </c>
      <c r="I154" s="48" t="s">
        <v>2035</v>
      </c>
      <c r="J154" s="10">
        <f t="shared" si="5"/>
        <v>0.28658564814814813</v>
      </c>
      <c r="K154" s="11">
        <f t="shared" si="6"/>
        <v>1.1941068672839505E-2</v>
      </c>
    </row>
    <row r="155" spans="1:11" ht="15" customHeight="1">
      <c r="A155" s="44" t="s">
        <v>105</v>
      </c>
      <c r="B155" s="45" t="s">
        <v>70</v>
      </c>
      <c r="C155" s="46" t="s">
        <v>2036</v>
      </c>
      <c r="D155" s="45">
        <v>10.56</v>
      </c>
      <c r="E155" s="47">
        <v>68</v>
      </c>
      <c r="F155" s="47">
        <v>0</v>
      </c>
      <c r="G155" s="47">
        <v>0</v>
      </c>
      <c r="H155" s="47">
        <v>0</v>
      </c>
      <c r="I155" s="48" t="s">
        <v>0</v>
      </c>
      <c r="J155" s="10" t="str">
        <f t="shared" si="5"/>
        <v>00:36:24</v>
      </c>
      <c r="K155" s="11">
        <f t="shared" si="6"/>
        <v>1.0532407407407407E-3</v>
      </c>
    </row>
    <row r="156" spans="1:11" ht="15" customHeight="1">
      <c r="A156" s="44" t="s">
        <v>105</v>
      </c>
      <c r="B156" s="45" t="s">
        <v>71</v>
      </c>
      <c r="C156" s="46" t="s">
        <v>2037</v>
      </c>
      <c r="D156" s="45">
        <v>114.08</v>
      </c>
      <c r="E156" s="47">
        <v>66</v>
      </c>
      <c r="F156" s="47">
        <v>0</v>
      </c>
      <c r="G156" s="47">
        <v>12</v>
      </c>
      <c r="H156" s="47">
        <v>3</v>
      </c>
      <c r="I156" s="48" t="s">
        <v>2038</v>
      </c>
      <c r="J156" s="10">
        <f t="shared" si="5"/>
        <v>0.20909722222222221</v>
      </c>
      <c r="K156" s="11">
        <f t="shared" si="6"/>
        <v>8.7123842592592583E-3</v>
      </c>
    </row>
    <row r="157" spans="1:11" ht="15" customHeight="1">
      <c r="A157" s="44" t="s">
        <v>105</v>
      </c>
      <c r="B157" s="45" t="s">
        <v>72</v>
      </c>
      <c r="C157" s="46" t="s">
        <v>2039</v>
      </c>
      <c r="D157" s="45">
        <v>137.93</v>
      </c>
      <c r="E157" s="47">
        <v>76</v>
      </c>
      <c r="F157" s="47">
        <v>5</v>
      </c>
      <c r="G157" s="47">
        <v>0</v>
      </c>
      <c r="H157" s="47">
        <v>2</v>
      </c>
      <c r="I157" s="48" t="s">
        <v>2040</v>
      </c>
      <c r="J157" s="10">
        <f t="shared" si="5"/>
        <v>0.2364236111111111</v>
      </c>
      <c r="K157" s="11">
        <f t="shared" si="6"/>
        <v>9.8509837962962952E-3</v>
      </c>
    </row>
    <row r="158" spans="1:11" ht="15" customHeight="1">
      <c r="A158" s="44" t="s">
        <v>105</v>
      </c>
      <c r="B158" s="45" t="s">
        <v>73</v>
      </c>
      <c r="C158" s="46" t="s">
        <v>0</v>
      </c>
      <c r="D158" s="45">
        <v>0</v>
      </c>
      <c r="E158" s="47">
        <v>0</v>
      </c>
      <c r="F158" s="47">
        <v>0</v>
      </c>
      <c r="G158" s="47">
        <v>0</v>
      </c>
      <c r="H158" s="47">
        <v>0</v>
      </c>
      <c r="I158" s="48" t="s">
        <v>0</v>
      </c>
      <c r="J158" s="10" t="str">
        <f t="shared" si="5"/>
        <v/>
      </c>
      <c r="K158" s="11" t="e">
        <f t="shared" si="6"/>
        <v>#VALUE!</v>
      </c>
    </row>
    <row r="159" spans="1:11" ht="15" customHeight="1">
      <c r="A159" s="44" t="s">
        <v>105</v>
      </c>
      <c r="B159" s="45" t="s">
        <v>74</v>
      </c>
      <c r="C159" s="46" t="s">
        <v>0</v>
      </c>
      <c r="D159" s="45">
        <v>0</v>
      </c>
      <c r="E159" s="47">
        <v>0</v>
      </c>
      <c r="F159" s="47">
        <v>0</v>
      </c>
      <c r="G159" s="47">
        <v>0</v>
      </c>
      <c r="H159" s="47">
        <v>0</v>
      </c>
      <c r="I159" s="48" t="s">
        <v>0</v>
      </c>
      <c r="J159" s="10" t="str">
        <f t="shared" si="5"/>
        <v/>
      </c>
      <c r="K159" s="11" t="e">
        <f t="shared" si="6"/>
        <v>#VALUE!</v>
      </c>
    </row>
    <row r="160" spans="1:11" ht="15" customHeight="1">
      <c r="A160" s="44" t="s">
        <v>105</v>
      </c>
      <c r="B160" s="45" t="s">
        <v>75</v>
      </c>
      <c r="C160" s="46" t="s">
        <v>0</v>
      </c>
      <c r="D160" s="45">
        <v>0</v>
      </c>
      <c r="E160" s="47">
        <v>0</v>
      </c>
      <c r="F160" s="47">
        <v>0</v>
      </c>
      <c r="G160" s="47">
        <v>0</v>
      </c>
      <c r="H160" s="47">
        <v>0</v>
      </c>
      <c r="I160" s="48" t="s">
        <v>0</v>
      </c>
      <c r="J160" s="10" t="str">
        <f t="shared" si="5"/>
        <v/>
      </c>
      <c r="K160" s="11" t="e">
        <f t="shared" si="6"/>
        <v>#VALUE!</v>
      </c>
    </row>
    <row r="161" spans="1:12" ht="15" customHeight="1">
      <c r="A161" s="44" t="s">
        <v>105</v>
      </c>
      <c r="B161" s="45" t="s">
        <v>76</v>
      </c>
      <c r="C161" s="46" t="s">
        <v>2041</v>
      </c>
      <c r="D161" s="45">
        <v>0</v>
      </c>
      <c r="E161" s="47">
        <v>0</v>
      </c>
      <c r="F161" s="47">
        <v>0</v>
      </c>
      <c r="G161" s="47">
        <v>0</v>
      </c>
      <c r="H161" s="47">
        <v>0</v>
      </c>
      <c r="I161" s="48" t="s">
        <v>0</v>
      </c>
      <c r="J161" s="10" t="str">
        <f t="shared" si="5"/>
        <v>00:08:29</v>
      </c>
      <c r="K161" s="11">
        <f t="shared" si="6"/>
        <v>2.4546682098765428E-4</v>
      </c>
    </row>
    <row r="162" spans="1:12" ht="15" customHeight="1">
      <c r="A162" s="44" t="s">
        <v>105</v>
      </c>
      <c r="B162" s="45" t="s">
        <v>78</v>
      </c>
      <c r="C162" s="46" t="s">
        <v>2042</v>
      </c>
      <c r="D162" s="45">
        <v>0.97</v>
      </c>
      <c r="E162" s="47">
        <v>10</v>
      </c>
      <c r="F162" s="47">
        <v>0</v>
      </c>
      <c r="G162" s="47">
        <v>0</v>
      </c>
      <c r="H162" s="47">
        <v>1</v>
      </c>
      <c r="I162" s="48" t="s">
        <v>2043</v>
      </c>
      <c r="J162" s="10">
        <f t="shared" si="5"/>
        <v>3.0555555555555558E-2</v>
      </c>
      <c r="K162" s="11">
        <f t="shared" si="6"/>
        <v>1.2731481481481483E-3</v>
      </c>
    </row>
    <row r="163" spans="1:12" ht="15" customHeight="1">
      <c r="A163" s="44" t="s">
        <v>105</v>
      </c>
      <c r="B163" s="45" t="s">
        <v>79</v>
      </c>
      <c r="C163" s="46" t="s">
        <v>2044</v>
      </c>
      <c r="D163" s="45">
        <v>29.02</v>
      </c>
      <c r="E163" s="47">
        <v>71</v>
      </c>
      <c r="F163" s="47">
        <v>0</v>
      </c>
      <c r="G163" s="47">
        <v>0</v>
      </c>
      <c r="H163" s="47">
        <v>5</v>
      </c>
      <c r="I163" s="48" t="s">
        <v>2045</v>
      </c>
      <c r="J163" s="10">
        <f t="shared" si="5"/>
        <v>0.14074074074074075</v>
      </c>
      <c r="K163" s="11">
        <f t="shared" si="6"/>
        <v>5.8641975308641979E-3</v>
      </c>
    </row>
    <row r="164" spans="1:12" ht="15" customHeight="1">
      <c r="A164" s="44" t="s">
        <v>105</v>
      </c>
      <c r="B164" s="45" t="s">
        <v>80</v>
      </c>
      <c r="C164" s="46" t="s">
        <v>2046</v>
      </c>
      <c r="D164" s="45">
        <v>22.4</v>
      </c>
      <c r="E164" s="47">
        <v>68</v>
      </c>
      <c r="F164" s="47">
        <v>0</v>
      </c>
      <c r="G164" s="47">
        <v>0</v>
      </c>
      <c r="H164" s="47">
        <v>1</v>
      </c>
      <c r="I164" s="48" t="s">
        <v>2047</v>
      </c>
      <c r="J164" s="10">
        <f t="shared" si="5"/>
        <v>4.4189814814814807E-2</v>
      </c>
      <c r="K164" s="11">
        <f t="shared" si="6"/>
        <v>1.841242283950617E-3</v>
      </c>
    </row>
    <row r="165" spans="1:12" ht="15" customHeight="1">
      <c r="A165" s="44" t="s">
        <v>105</v>
      </c>
      <c r="B165" s="45" t="s">
        <v>81</v>
      </c>
      <c r="C165" s="46" t="s">
        <v>2048</v>
      </c>
      <c r="D165" s="45">
        <v>0.11</v>
      </c>
      <c r="E165" s="47">
        <v>1</v>
      </c>
      <c r="F165" s="47">
        <v>0</v>
      </c>
      <c r="G165" s="47">
        <v>0</v>
      </c>
      <c r="H165" s="47">
        <v>0</v>
      </c>
      <c r="I165" s="48" t="s">
        <v>0</v>
      </c>
      <c r="J165" s="10" t="str">
        <f t="shared" si="5"/>
        <v>00:16:07</v>
      </c>
      <c r="K165" s="11">
        <f t="shared" si="6"/>
        <v>4.6633873456790125E-4</v>
      </c>
    </row>
    <row r="166" spans="1:12" ht="15" customHeight="1">
      <c r="A166" s="44" t="s">
        <v>105</v>
      </c>
      <c r="B166" s="45" t="s">
        <v>82</v>
      </c>
      <c r="C166" s="46" t="s">
        <v>2049</v>
      </c>
      <c r="D166" s="45">
        <v>44.62</v>
      </c>
      <c r="E166" s="47">
        <v>51</v>
      </c>
      <c r="F166" s="47">
        <v>0</v>
      </c>
      <c r="G166" s="47">
        <v>0</v>
      </c>
      <c r="H166" s="47">
        <v>8</v>
      </c>
      <c r="I166" s="48" t="s">
        <v>2050</v>
      </c>
      <c r="J166" s="10">
        <f t="shared" si="5"/>
        <v>9.4502314814814817E-2</v>
      </c>
      <c r="K166" s="11">
        <f t="shared" si="6"/>
        <v>3.9375964506172837E-3</v>
      </c>
    </row>
    <row r="167" spans="1:12" ht="15" customHeight="1">
      <c r="A167" s="44" t="s">
        <v>105</v>
      </c>
      <c r="B167" s="45" t="s">
        <v>83</v>
      </c>
      <c r="C167" s="46" t="s">
        <v>0</v>
      </c>
      <c r="D167" s="45">
        <v>0</v>
      </c>
      <c r="E167" s="47">
        <v>0</v>
      </c>
      <c r="F167" s="47">
        <v>0</v>
      </c>
      <c r="G167" s="47">
        <v>0</v>
      </c>
      <c r="H167" s="47">
        <v>0</v>
      </c>
      <c r="I167" s="48" t="s">
        <v>0</v>
      </c>
      <c r="J167" s="10" t="str">
        <f t="shared" si="5"/>
        <v/>
      </c>
      <c r="K167" s="11" t="e">
        <f t="shared" si="6"/>
        <v>#VALUE!</v>
      </c>
    </row>
    <row r="168" spans="1:12" ht="15" customHeight="1">
      <c r="A168" s="44" t="s">
        <v>105</v>
      </c>
      <c r="B168" s="45" t="s">
        <v>84</v>
      </c>
      <c r="C168" s="46" t="s">
        <v>2051</v>
      </c>
      <c r="D168" s="45">
        <v>15.31</v>
      </c>
      <c r="E168" s="47">
        <v>68</v>
      </c>
      <c r="F168" s="47">
        <v>0</v>
      </c>
      <c r="G168" s="47">
        <v>0</v>
      </c>
      <c r="H168" s="47">
        <v>6</v>
      </c>
      <c r="I168" s="48" t="s">
        <v>2052</v>
      </c>
      <c r="J168" s="10">
        <f t="shared" si="5"/>
        <v>0.10019675925925925</v>
      </c>
      <c r="K168" s="11">
        <f t="shared" si="6"/>
        <v>4.1748649691358023E-3</v>
      </c>
    </row>
    <row r="169" spans="1:12" ht="15" customHeight="1">
      <c r="A169" s="44" t="s">
        <v>105</v>
      </c>
      <c r="B169" s="45" t="s">
        <v>85</v>
      </c>
      <c r="C169" s="46" t="s">
        <v>2053</v>
      </c>
      <c r="D169" s="45">
        <v>87.67</v>
      </c>
      <c r="E169" s="47">
        <v>56</v>
      </c>
      <c r="F169" s="47">
        <v>0</v>
      </c>
      <c r="G169" s="47">
        <v>0</v>
      </c>
      <c r="H169" s="47">
        <v>0</v>
      </c>
      <c r="I169" s="48" t="s">
        <v>0</v>
      </c>
      <c r="J169" s="10" t="str">
        <f t="shared" si="5"/>
        <v>04:26:20</v>
      </c>
      <c r="K169" s="11">
        <f t="shared" si="6"/>
        <v>7.706404320987654E-3</v>
      </c>
    </row>
    <row r="170" spans="1:12" ht="15" customHeight="1">
      <c r="A170" s="44" t="s">
        <v>105</v>
      </c>
      <c r="B170" s="45" t="s">
        <v>86</v>
      </c>
      <c r="C170" s="46" t="s">
        <v>2054</v>
      </c>
      <c r="D170" s="45">
        <v>114.84</v>
      </c>
      <c r="E170" s="47">
        <v>69</v>
      </c>
      <c r="F170" s="47">
        <v>0</v>
      </c>
      <c r="G170" s="47">
        <v>0</v>
      </c>
      <c r="H170" s="47">
        <v>5</v>
      </c>
      <c r="I170" s="48" t="s">
        <v>2055</v>
      </c>
      <c r="J170" s="10">
        <f t="shared" si="5"/>
        <v>0.16771990740740741</v>
      </c>
      <c r="K170" s="11">
        <f t="shared" si="6"/>
        <v>6.988329475308642E-3</v>
      </c>
      <c r="L170" s="12">
        <v>0.89371527777777782</v>
      </c>
    </row>
    <row r="171" spans="1:12" ht="15" customHeight="1">
      <c r="A171" s="44" t="s">
        <v>105</v>
      </c>
      <c r="B171" s="45" t="s">
        <v>87</v>
      </c>
      <c r="C171" s="46" t="s">
        <v>2056</v>
      </c>
      <c r="D171" s="45">
        <v>345.54</v>
      </c>
      <c r="E171" s="47">
        <v>81</v>
      </c>
      <c r="F171" s="47">
        <v>28</v>
      </c>
      <c r="G171" s="47">
        <v>0</v>
      </c>
      <c r="H171" s="47">
        <v>3</v>
      </c>
      <c r="I171" s="48" t="s">
        <v>2057</v>
      </c>
      <c r="J171" s="10">
        <f t="shared" si="5"/>
        <v>0.41200231481481486</v>
      </c>
      <c r="K171" s="11">
        <f t="shared" si="6"/>
        <v>1.7166763117283951E-2</v>
      </c>
    </row>
    <row r="172" spans="1:12" ht="15" customHeight="1">
      <c r="A172" s="44" t="s">
        <v>105</v>
      </c>
      <c r="B172" s="45" t="s">
        <v>88</v>
      </c>
      <c r="C172" s="46" t="s">
        <v>2058</v>
      </c>
      <c r="D172" s="45">
        <v>187.9</v>
      </c>
      <c r="E172" s="47">
        <v>69</v>
      </c>
      <c r="F172" s="47">
        <v>0</v>
      </c>
      <c r="G172" s="47">
        <v>8</v>
      </c>
      <c r="H172" s="47">
        <v>1</v>
      </c>
      <c r="I172" s="48" t="s">
        <v>2059</v>
      </c>
      <c r="J172" s="10">
        <f t="shared" si="5"/>
        <v>0.28275462962962966</v>
      </c>
      <c r="K172" s="11">
        <f t="shared" si="6"/>
        <v>1.1781442901234569E-2</v>
      </c>
    </row>
    <row r="173" spans="1:12" ht="15" customHeight="1">
      <c r="A173" s="44" t="s">
        <v>105</v>
      </c>
      <c r="B173" s="45" t="s">
        <v>89</v>
      </c>
      <c r="C173" s="46" t="s">
        <v>0</v>
      </c>
      <c r="D173" s="45">
        <v>0</v>
      </c>
      <c r="E173" s="47">
        <v>0</v>
      </c>
      <c r="F173" s="47">
        <v>0</v>
      </c>
      <c r="G173" s="47">
        <v>0</v>
      </c>
      <c r="H173" s="47">
        <v>0</v>
      </c>
      <c r="I173" s="48" t="s">
        <v>0</v>
      </c>
      <c r="J173" s="10" t="str">
        <f t="shared" si="5"/>
        <v/>
      </c>
      <c r="K173" s="11" t="e">
        <f t="shared" si="6"/>
        <v>#VALUE!</v>
      </c>
    </row>
    <row r="174" spans="1:12" ht="15" customHeight="1">
      <c r="A174" s="44" t="s">
        <v>105</v>
      </c>
      <c r="B174" s="45" t="s">
        <v>90</v>
      </c>
      <c r="C174" s="46" t="s">
        <v>0</v>
      </c>
      <c r="D174" s="45">
        <v>0</v>
      </c>
      <c r="E174" s="47">
        <v>0</v>
      </c>
      <c r="F174" s="47">
        <v>0</v>
      </c>
      <c r="G174" s="47">
        <v>0</v>
      </c>
      <c r="H174" s="47">
        <v>0</v>
      </c>
      <c r="I174" s="48" t="s">
        <v>0</v>
      </c>
      <c r="J174" s="10" t="str">
        <f t="shared" si="5"/>
        <v/>
      </c>
      <c r="K174" s="11" t="e">
        <f t="shared" si="6"/>
        <v>#VALUE!</v>
      </c>
    </row>
    <row r="175" spans="1:12" ht="15" customHeight="1">
      <c r="A175" s="44" t="s">
        <v>105</v>
      </c>
      <c r="B175" s="45" t="s">
        <v>91</v>
      </c>
      <c r="C175" s="46" t="s">
        <v>0</v>
      </c>
      <c r="D175" s="45">
        <v>0</v>
      </c>
      <c r="E175" s="47">
        <v>0</v>
      </c>
      <c r="F175" s="47">
        <v>0</v>
      </c>
      <c r="G175" s="47">
        <v>0</v>
      </c>
      <c r="H175" s="47">
        <v>0</v>
      </c>
      <c r="I175" s="48" t="s">
        <v>0</v>
      </c>
      <c r="J175" s="10" t="str">
        <f t="shared" si="5"/>
        <v/>
      </c>
      <c r="K175" s="11" t="e">
        <f t="shared" si="6"/>
        <v>#VALUE!</v>
      </c>
    </row>
    <row r="176" spans="1:12" ht="15" customHeight="1">
      <c r="A176" s="44" t="s">
        <v>104</v>
      </c>
      <c r="B176" s="45" t="s">
        <v>166</v>
      </c>
      <c r="C176" s="46" t="s">
        <v>0</v>
      </c>
      <c r="D176" s="45">
        <v>0</v>
      </c>
      <c r="E176" s="47">
        <v>0</v>
      </c>
      <c r="F176" s="47">
        <v>0</v>
      </c>
      <c r="G176" s="47">
        <v>0</v>
      </c>
      <c r="H176" s="47">
        <v>0</v>
      </c>
      <c r="I176" s="48" t="s">
        <v>0</v>
      </c>
      <c r="J176" s="10" t="str">
        <f t="shared" si="5"/>
        <v/>
      </c>
      <c r="K176" s="11" t="e">
        <f t="shared" si="6"/>
        <v>#VALUE!</v>
      </c>
    </row>
    <row r="177" spans="1:11" ht="15" customHeight="1">
      <c r="A177" s="44" t="s">
        <v>104</v>
      </c>
      <c r="B177" s="45" t="s">
        <v>165</v>
      </c>
      <c r="C177" s="46" t="s">
        <v>0</v>
      </c>
      <c r="D177" s="45">
        <v>0</v>
      </c>
      <c r="E177" s="47">
        <v>0</v>
      </c>
      <c r="F177" s="47">
        <v>0</v>
      </c>
      <c r="G177" s="47">
        <v>0</v>
      </c>
      <c r="H177" s="47">
        <v>0</v>
      </c>
      <c r="I177" s="48" t="s">
        <v>0</v>
      </c>
      <c r="J177" s="10" t="str">
        <f t="shared" si="5"/>
        <v/>
      </c>
      <c r="K177" s="11" t="e">
        <f t="shared" si="6"/>
        <v>#VALUE!</v>
      </c>
    </row>
    <row r="178" spans="1:11" ht="15" customHeight="1">
      <c r="A178" s="44" t="s">
        <v>104</v>
      </c>
      <c r="B178" s="45" t="s">
        <v>251</v>
      </c>
      <c r="C178" s="46" t="s">
        <v>0</v>
      </c>
      <c r="D178" s="45">
        <v>0</v>
      </c>
      <c r="E178" s="47">
        <v>0</v>
      </c>
      <c r="F178" s="47">
        <v>0</v>
      </c>
      <c r="G178" s="47">
        <v>0</v>
      </c>
      <c r="H178" s="47">
        <v>0</v>
      </c>
      <c r="I178" s="48" t="s">
        <v>0</v>
      </c>
      <c r="J178" s="10" t="str">
        <f t="shared" si="5"/>
        <v/>
      </c>
      <c r="K178" s="11" t="e">
        <f t="shared" si="6"/>
        <v>#VALUE!</v>
      </c>
    </row>
    <row r="179" spans="1:11" ht="15" customHeight="1">
      <c r="A179" s="44" t="s">
        <v>104</v>
      </c>
      <c r="B179" s="45" t="s">
        <v>250</v>
      </c>
      <c r="C179" s="46" t="s">
        <v>0</v>
      </c>
      <c r="D179" s="45">
        <v>0</v>
      </c>
      <c r="E179" s="47">
        <v>0</v>
      </c>
      <c r="F179" s="47">
        <v>0</v>
      </c>
      <c r="G179" s="47">
        <v>0</v>
      </c>
      <c r="H179" s="47">
        <v>1</v>
      </c>
      <c r="I179" s="48" t="s">
        <v>2060</v>
      </c>
      <c r="J179" s="10" t="str">
        <f t="shared" si="5"/>
        <v/>
      </c>
      <c r="K179" s="11" t="e">
        <f t="shared" si="6"/>
        <v>#VALUE!</v>
      </c>
    </row>
    <row r="180" spans="1:11" ht="15" customHeight="1">
      <c r="A180" s="44" t="s">
        <v>104</v>
      </c>
      <c r="B180" s="45" t="s">
        <v>727</v>
      </c>
      <c r="C180" s="46" t="s">
        <v>0</v>
      </c>
      <c r="D180" s="45">
        <v>0</v>
      </c>
      <c r="E180" s="47">
        <v>0</v>
      </c>
      <c r="F180" s="47">
        <v>0</v>
      </c>
      <c r="G180" s="47">
        <v>0</v>
      </c>
      <c r="H180" s="47">
        <v>0</v>
      </c>
      <c r="I180" s="48" t="s">
        <v>0</v>
      </c>
      <c r="J180" s="10" t="str">
        <f t="shared" si="5"/>
        <v/>
      </c>
      <c r="K180" s="11" t="e">
        <f t="shared" si="6"/>
        <v>#VALUE!</v>
      </c>
    </row>
    <row r="181" spans="1:11" ht="15" customHeight="1">
      <c r="A181" s="44" t="s">
        <v>104</v>
      </c>
      <c r="B181" s="45" t="s">
        <v>728</v>
      </c>
      <c r="C181" s="46" t="s">
        <v>0</v>
      </c>
      <c r="D181" s="45">
        <v>0</v>
      </c>
      <c r="E181" s="47">
        <v>0</v>
      </c>
      <c r="F181" s="47">
        <v>0</v>
      </c>
      <c r="G181" s="47">
        <v>0</v>
      </c>
      <c r="H181" s="47">
        <v>0</v>
      </c>
      <c r="I181" s="48" t="s">
        <v>0</v>
      </c>
      <c r="J181" s="10" t="str">
        <f t="shared" si="5"/>
        <v/>
      </c>
      <c r="K181" s="11" t="e">
        <f t="shared" si="6"/>
        <v>#VALUE!</v>
      </c>
    </row>
    <row r="182" spans="1:11" ht="15" customHeight="1">
      <c r="A182" s="44" t="s">
        <v>104</v>
      </c>
      <c r="B182" s="45" t="s">
        <v>68</v>
      </c>
      <c r="C182" s="47" t="s">
        <v>0</v>
      </c>
      <c r="D182" s="45">
        <v>0</v>
      </c>
      <c r="E182" s="47">
        <v>0</v>
      </c>
      <c r="F182" s="47">
        <v>0</v>
      </c>
      <c r="G182" s="47">
        <v>0</v>
      </c>
      <c r="H182" s="47">
        <v>0</v>
      </c>
      <c r="I182" s="48" t="s">
        <v>0</v>
      </c>
      <c r="J182" s="10" t="str">
        <f t="shared" si="5"/>
        <v/>
      </c>
      <c r="K182" s="11" t="e">
        <f t="shared" si="6"/>
        <v>#VALUE!</v>
      </c>
    </row>
    <row r="183" spans="1:11" ht="15" customHeight="1">
      <c r="A183" s="44" t="s">
        <v>104</v>
      </c>
      <c r="B183" s="45" t="s">
        <v>69</v>
      </c>
      <c r="C183" s="47" t="s">
        <v>0</v>
      </c>
      <c r="D183" s="45">
        <v>0</v>
      </c>
      <c r="E183" s="47">
        <v>0</v>
      </c>
      <c r="F183" s="47">
        <v>0</v>
      </c>
      <c r="G183" s="47">
        <v>0</v>
      </c>
      <c r="H183" s="47">
        <v>0</v>
      </c>
      <c r="I183" s="48" t="s">
        <v>0</v>
      </c>
      <c r="J183" s="10" t="str">
        <f t="shared" si="5"/>
        <v/>
      </c>
      <c r="K183" s="11" t="e">
        <f t="shared" si="6"/>
        <v>#VALUE!</v>
      </c>
    </row>
    <row r="184" spans="1:11" ht="15" customHeight="1">
      <c r="A184" s="44" t="s">
        <v>104</v>
      </c>
      <c r="B184" s="45" t="s">
        <v>70</v>
      </c>
      <c r="C184" s="47" t="s">
        <v>0</v>
      </c>
      <c r="D184" s="45">
        <v>0</v>
      </c>
      <c r="E184" s="47">
        <v>0</v>
      </c>
      <c r="F184" s="47">
        <v>0</v>
      </c>
      <c r="G184" s="47">
        <v>0</v>
      </c>
      <c r="H184" s="47">
        <v>0</v>
      </c>
      <c r="I184" s="48" t="s">
        <v>0</v>
      </c>
      <c r="J184" s="10" t="str">
        <f t="shared" si="5"/>
        <v/>
      </c>
      <c r="K184" s="11"/>
    </row>
    <row r="185" spans="1:11" ht="15" customHeight="1">
      <c r="A185" s="44" t="s">
        <v>104</v>
      </c>
      <c r="B185" s="45" t="s">
        <v>71</v>
      </c>
      <c r="C185" s="46" t="s">
        <v>0</v>
      </c>
      <c r="D185" s="45">
        <v>0</v>
      </c>
      <c r="E185" s="47">
        <v>0</v>
      </c>
      <c r="F185" s="47">
        <v>0</v>
      </c>
      <c r="G185" s="47">
        <v>0</v>
      </c>
      <c r="H185" s="47">
        <v>0</v>
      </c>
      <c r="I185" s="48" t="s">
        <v>0</v>
      </c>
      <c r="J185" s="10" t="str">
        <f t="shared" si="5"/>
        <v/>
      </c>
      <c r="K185" s="11"/>
    </row>
    <row r="186" spans="1:11" ht="15" customHeight="1">
      <c r="A186" s="44" t="s">
        <v>104</v>
      </c>
      <c r="B186" s="45" t="s">
        <v>72</v>
      </c>
      <c r="C186" s="47" t="s">
        <v>0</v>
      </c>
      <c r="D186" s="45">
        <v>0</v>
      </c>
      <c r="E186" s="47">
        <v>0</v>
      </c>
      <c r="F186" s="47">
        <v>0</v>
      </c>
      <c r="G186" s="47">
        <v>0</v>
      </c>
      <c r="H186" s="47">
        <v>0</v>
      </c>
      <c r="I186" s="48" t="s">
        <v>0</v>
      </c>
      <c r="J186" s="10" t="str">
        <f t="shared" si="5"/>
        <v/>
      </c>
      <c r="K186" s="11"/>
    </row>
    <row r="187" spans="1:11" ht="15" customHeight="1">
      <c r="A187" s="44" t="s">
        <v>104</v>
      </c>
      <c r="B187" s="45" t="s">
        <v>73</v>
      </c>
      <c r="C187" s="46" t="s">
        <v>0</v>
      </c>
      <c r="D187" s="45">
        <v>0</v>
      </c>
      <c r="E187" s="47">
        <v>0</v>
      </c>
      <c r="F187" s="47">
        <v>0</v>
      </c>
      <c r="G187" s="47">
        <v>0</v>
      </c>
      <c r="H187" s="47">
        <v>0</v>
      </c>
      <c r="I187" s="48" t="s">
        <v>0</v>
      </c>
      <c r="J187" s="10" t="str">
        <f t="shared" si="5"/>
        <v/>
      </c>
      <c r="K187" s="11"/>
    </row>
    <row r="188" spans="1:11" ht="15" customHeight="1">
      <c r="A188" s="44" t="s">
        <v>104</v>
      </c>
      <c r="B188" s="45" t="s">
        <v>74</v>
      </c>
      <c r="C188" s="46" t="s">
        <v>0</v>
      </c>
      <c r="D188" s="45">
        <v>0</v>
      </c>
      <c r="E188" s="47">
        <v>0</v>
      </c>
      <c r="F188" s="47">
        <v>0</v>
      </c>
      <c r="G188" s="47">
        <v>0</v>
      </c>
      <c r="H188" s="47">
        <v>0</v>
      </c>
      <c r="I188" s="48" t="s">
        <v>0</v>
      </c>
      <c r="J188" s="10" t="str">
        <f t="shared" si="5"/>
        <v/>
      </c>
      <c r="K188" s="11"/>
    </row>
    <row r="189" spans="1:11" ht="15" customHeight="1">
      <c r="A189" s="44" t="s">
        <v>104</v>
      </c>
      <c r="B189" s="45" t="s">
        <v>75</v>
      </c>
      <c r="C189" s="47" t="s">
        <v>0</v>
      </c>
      <c r="D189" s="45">
        <v>0</v>
      </c>
      <c r="E189" s="47">
        <v>0</v>
      </c>
      <c r="F189" s="47">
        <v>0</v>
      </c>
      <c r="G189" s="47">
        <v>0</v>
      </c>
      <c r="H189" s="47">
        <v>0</v>
      </c>
      <c r="I189" s="48" t="s">
        <v>0</v>
      </c>
      <c r="J189" s="10" t="str">
        <f t="shared" si="5"/>
        <v/>
      </c>
      <c r="K189" s="11"/>
    </row>
    <row r="190" spans="1:11" ht="15" customHeight="1">
      <c r="A190" s="44" t="s">
        <v>104</v>
      </c>
      <c r="B190" s="45" t="s">
        <v>76</v>
      </c>
      <c r="C190" s="47" t="s">
        <v>0</v>
      </c>
      <c r="D190" s="45">
        <v>0</v>
      </c>
      <c r="E190" s="47">
        <v>0</v>
      </c>
      <c r="F190" s="47">
        <v>0</v>
      </c>
      <c r="G190" s="47">
        <v>0</v>
      </c>
      <c r="H190" s="47">
        <v>0</v>
      </c>
      <c r="I190" s="48" t="s">
        <v>0</v>
      </c>
      <c r="J190" s="10" t="str">
        <f t="shared" si="5"/>
        <v/>
      </c>
      <c r="K190" s="11"/>
    </row>
    <row r="191" spans="1:11" ht="15" customHeight="1">
      <c r="A191" s="44" t="s">
        <v>104</v>
      </c>
      <c r="B191" s="45" t="s">
        <v>78</v>
      </c>
      <c r="C191" s="47" t="s">
        <v>0</v>
      </c>
      <c r="D191" s="45">
        <v>0</v>
      </c>
      <c r="E191" s="47">
        <v>0</v>
      </c>
      <c r="F191" s="47">
        <v>0</v>
      </c>
      <c r="G191" s="47">
        <v>0</v>
      </c>
      <c r="H191" s="47">
        <v>0</v>
      </c>
      <c r="I191" s="48" t="s">
        <v>0</v>
      </c>
      <c r="J191" s="10" t="str">
        <f t="shared" si="5"/>
        <v/>
      </c>
      <c r="K191" s="11"/>
    </row>
    <row r="192" spans="1:11" ht="15" customHeight="1">
      <c r="A192" s="44" t="s">
        <v>104</v>
      </c>
      <c r="B192" s="45" t="s">
        <v>79</v>
      </c>
      <c r="C192" s="46" t="s">
        <v>0</v>
      </c>
      <c r="D192" s="45">
        <v>0</v>
      </c>
      <c r="E192" s="47">
        <v>0</v>
      </c>
      <c r="F192" s="47">
        <v>0</v>
      </c>
      <c r="G192" s="47">
        <v>0</v>
      </c>
      <c r="H192" s="47">
        <v>0</v>
      </c>
      <c r="I192" s="48" t="s">
        <v>0</v>
      </c>
      <c r="J192" s="10" t="str">
        <f t="shared" si="5"/>
        <v/>
      </c>
      <c r="K192" s="11"/>
    </row>
    <row r="193" spans="1:11" ht="15" customHeight="1">
      <c r="A193" s="44" t="s">
        <v>104</v>
      </c>
      <c r="B193" s="45" t="s">
        <v>80</v>
      </c>
      <c r="C193" s="47" t="s">
        <v>0</v>
      </c>
      <c r="D193" s="45">
        <v>0</v>
      </c>
      <c r="E193" s="47">
        <v>0</v>
      </c>
      <c r="F193" s="47">
        <v>0</v>
      </c>
      <c r="G193" s="47">
        <v>0</v>
      </c>
      <c r="H193" s="47">
        <v>0</v>
      </c>
      <c r="I193" s="48" t="s">
        <v>0</v>
      </c>
      <c r="J193" s="10" t="str">
        <f t="shared" si="5"/>
        <v/>
      </c>
      <c r="K193" s="11"/>
    </row>
    <row r="194" spans="1:11" ht="15" customHeight="1">
      <c r="A194" s="44" t="s">
        <v>104</v>
      </c>
      <c r="B194" s="45" t="s">
        <v>81</v>
      </c>
      <c r="C194" s="47" t="s">
        <v>0</v>
      </c>
      <c r="D194" s="45">
        <v>0</v>
      </c>
      <c r="E194" s="47">
        <v>2</v>
      </c>
      <c r="F194" s="47">
        <v>0</v>
      </c>
      <c r="G194" s="47">
        <v>0</v>
      </c>
      <c r="H194" s="47">
        <v>0</v>
      </c>
      <c r="I194" s="48" t="s">
        <v>0</v>
      </c>
      <c r="J194" s="10" t="str">
        <f t="shared" si="5"/>
        <v/>
      </c>
      <c r="K194" s="11"/>
    </row>
    <row r="195" spans="1:11" ht="15" customHeight="1">
      <c r="A195" s="44" t="s">
        <v>104</v>
      </c>
      <c r="B195" s="45" t="s">
        <v>82</v>
      </c>
      <c r="C195" s="47" t="s">
        <v>2061</v>
      </c>
      <c r="D195" s="45">
        <v>15.7</v>
      </c>
      <c r="E195" s="47">
        <v>44</v>
      </c>
      <c r="F195" s="47">
        <v>0</v>
      </c>
      <c r="G195" s="47">
        <v>0</v>
      </c>
      <c r="H195" s="47">
        <v>2</v>
      </c>
      <c r="I195" s="48" t="s">
        <v>2062</v>
      </c>
      <c r="J195" s="10">
        <f t="shared" ref="J195:J259" si="7">IFERROR(C195-I195,C195)</f>
        <v>4.3599537037037034E-2</v>
      </c>
      <c r="K195" s="11"/>
    </row>
    <row r="196" spans="1:11" ht="15" customHeight="1">
      <c r="A196" s="44" t="s">
        <v>104</v>
      </c>
      <c r="B196" s="45" t="s">
        <v>83</v>
      </c>
      <c r="C196" s="46" t="s">
        <v>0</v>
      </c>
      <c r="D196" s="45">
        <v>0</v>
      </c>
      <c r="E196" s="47">
        <v>0</v>
      </c>
      <c r="F196" s="47">
        <v>0</v>
      </c>
      <c r="G196" s="47">
        <v>0</v>
      </c>
      <c r="H196" s="47">
        <v>0</v>
      </c>
      <c r="I196" s="48" t="s">
        <v>0</v>
      </c>
      <c r="J196" s="10" t="str">
        <f t="shared" si="7"/>
        <v/>
      </c>
      <c r="K196" s="11"/>
    </row>
    <row r="197" spans="1:11" ht="15" customHeight="1">
      <c r="A197" s="44" t="s">
        <v>104</v>
      </c>
      <c r="B197" s="45" t="s">
        <v>84</v>
      </c>
      <c r="C197" s="46" t="s">
        <v>0</v>
      </c>
      <c r="D197" s="45">
        <v>0</v>
      </c>
      <c r="E197" s="47">
        <v>0</v>
      </c>
      <c r="F197" s="47">
        <v>0</v>
      </c>
      <c r="G197" s="47">
        <v>0</v>
      </c>
      <c r="H197" s="47">
        <v>0</v>
      </c>
      <c r="I197" s="48" t="s">
        <v>0</v>
      </c>
      <c r="J197" s="10" t="str">
        <f t="shared" si="7"/>
        <v/>
      </c>
      <c r="K197" s="11"/>
    </row>
    <row r="198" spans="1:11" ht="15" customHeight="1">
      <c r="A198" s="44" t="s">
        <v>104</v>
      </c>
      <c r="B198" s="45" t="s">
        <v>85</v>
      </c>
      <c r="C198" s="46" t="s">
        <v>0</v>
      </c>
      <c r="D198" s="45">
        <v>0</v>
      </c>
      <c r="E198" s="47">
        <v>0</v>
      </c>
      <c r="F198" s="47">
        <v>0</v>
      </c>
      <c r="G198" s="47">
        <v>0</v>
      </c>
      <c r="H198" s="47">
        <v>0</v>
      </c>
      <c r="I198" s="48" t="s">
        <v>0</v>
      </c>
      <c r="J198" s="10" t="str">
        <f t="shared" si="7"/>
        <v/>
      </c>
      <c r="K198" s="11"/>
    </row>
    <row r="199" spans="1:11" ht="15" customHeight="1">
      <c r="A199" s="44" t="s">
        <v>104</v>
      </c>
      <c r="B199" s="45" t="s">
        <v>86</v>
      </c>
      <c r="C199" s="46" t="s">
        <v>0</v>
      </c>
      <c r="D199" s="45">
        <v>0</v>
      </c>
      <c r="E199" s="47">
        <v>0</v>
      </c>
      <c r="F199" s="47">
        <v>0</v>
      </c>
      <c r="G199" s="47">
        <v>0</v>
      </c>
      <c r="H199" s="47">
        <v>0</v>
      </c>
      <c r="I199" s="48" t="s">
        <v>0</v>
      </c>
      <c r="J199" s="10" t="str">
        <f t="shared" si="7"/>
        <v/>
      </c>
      <c r="K199" s="11"/>
    </row>
    <row r="200" spans="1:11" ht="15" customHeight="1">
      <c r="A200" s="44" t="s">
        <v>104</v>
      </c>
      <c r="B200" s="45" t="s">
        <v>87</v>
      </c>
      <c r="C200" s="47" t="s">
        <v>0</v>
      </c>
      <c r="D200" s="45">
        <v>0</v>
      </c>
      <c r="E200" s="47">
        <v>0</v>
      </c>
      <c r="F200" s="47">
        <v>0</v>
      </c>
      <c r="G200" s="47">
        <v>0</v>
      </c>
      <c r="H200" s="47">
        <v>0</v>
      </c>
      <c r="I200" s="48" t="s">
        <v>0</v>
      </c>
      <c r="J200" s="10" t="str">
        <f t="shared" si="7"/>
        <v/>
      </c>
      <c r="K200" s="11"/>
    </row>
    <row r="201" spans="1:11" ht="15" customHeight="1">
      <c r="A201" s="44" t="s">
        <v>104</v>
      </c>
      <c r="B201" s="45" t="s">
        <v>88</v>
      </c>
      <c r="C201" s="47" t="s">
        <v>0</v>
      </c>
      <c r="D201" s="45">
        <v>0</v>
      </c>
      <c r="E201" s="47">
        <v>0</v>
      </c>
      <c r="F201" s="47">
        <v>0</v>
      </c>
      <c r="G201" s="47">
        <v>0</v>
      </c>
      <c r="H201" s="47">
        <v>0</v>
      </c>
      <c r="I201" s="48" t="s">
        <v>0</v>
      </c>
      <c r="J201" s="10" t="str">
        <f t="shared" si="7"/>
        <v/>
      </c>
      <c r="K201" s="11"/>
    </row>
    <row r="202" spans="1:11" ht="15" customHeight="1">
      <c r="A202" s="44" t="s">
        <v>104</v>
      </c>
      <c r="B202" s="45" t="s">
        <v>89</v>
      </c>
      <c r="C202" s="47" t="s">
        <v>0</v>
      </c>
      <c r="D202" s="45">
        <v>0</v>
      </c>
      <c r="E202" s="47">
        <v>0</v>
      </c>
      <c r="F202" s="47">
        <v>0</v>
      </c>
      <c r="G202" s="47">
        <v>0</v>
      </c>
      <c r="H202" s="47">
        <v>0</v>
      </c>
      <c r="I202" s="48" t="s">
        <v>0</v>
      </c>
      <c r="J202" s="10" t="str">
        <f t="shared" si="7"/>
        <v/>
      </c>
      <c r="K202" s="11"/>
    </row>
    <row r="203" spans="1:11" ht="15" customHeight="1">
      <c r="A203" s="44" t="s">
        <v>104</v>
      </c>
      <c r="B203" s="45" t="s">
        <v>90</v>
      </c>
      <c r="C203" s="47" t="s">
        <v>0</v>
      </c>
      <c r="D203" s="45">
        <v>0</v>
      </c>
      <c r="E203" s="47">
        <v>0</v>
      </c>
      <c r="F203" s="47">
        <v>0</v>
      </c>
      <c r="G203" s="47">
        <v>0</v>
      </c>
      <c r="H203" s="47">
        <v>0</v>
      </c>
      <c r="I203" s="48" t="s">
        <v>0</v>
      </c>
      <c r="J203" s="10" t="str">
        <f t="shared" si="7"/>
        <v/>
      </c>
      <c r="K203" s="11"/>
    </row>
    <row r="204" spans="1:11" ht="15" customHeight="1">
      <c r="A204" s="44" t="s">
        <v>104</v>
      </c>
      <c r="B204" s="45" t="s">
        <v>91</v>
      </c>
      <c r="C204" s="46" t="s">
        <v>0</v>
      </c>
      <c r="D204" s="45">
        <v>0</v>
      </c>
      <c r="E204" s="47">
        <v>0</v>
      </c>
      <c r="F204" s="47">
        <v>0</v>
      </c>
      <c r="G204" s="47">
        <v>0</v>
      </c>
      <c r="H204" s="47">
        <v>0</v>
      </c>
      <c r="I204" s="48" t="s">
        <v>0</v>
      </c>
      <c r="J204" s="10" t="str">
        <f t="shared" si="7"/>
        <v/>
      </c>
      <c r="K204" s="11"/>
    </row>
    <row r="205" spans="1:11" ht="15" customHeight="1">
      <c r="A205" s="44" t="s">
        <v>40</v>
      </c>
      <c r="B205" s="45" t="s">
        <v>744</v>
      </c>
      <c r="C205" s="46" t="s">
        <v>2063</v>
      </c>
      <c r="D205" s="45">
        <v>64.158411000000001</v>
      </c>
      <c r="E205" s="47">
        <v>68</v>
      </c>
      <c r="F205" s="47"/>
      <c r="G205" s="47"/>
      <c r="H205" s="47"/>
      <c r="I205" s="48"/>
      <c r="J205" s="10">
        <f t="shared" si="7"/>
        <v>0.46281250000000002</v>
      </c>
      <c r="K205" s="11"/>
    </row>
    <row r="206" spans="1:11" ht="15" customHeight="1">
      <c r="A206" s="44" t="s">
        <v>40</v>
      </c>
      <c r="B206" s="45" t="s">
        <v>746</v>
      </c>
      <c r="C206" s="46" t="s">
        <v>2064</v>
      </c>
      <c r="D206" s="45">
        <v>38.676051000000001</v>
      </c>
      <c r="E206" s="47">
        <v>60</v>
      </c>
      <c r="F206" s="47"/>
      <c r="G206" s="47"/>
      <c r="H206" s="47"/>
      <c r="I206" s="48"/>
      <c r="J206" s="10">
        <f t="shared" si="7"/>
        <v>0.46378472222222222</v>
      </c>
      <c r="K206" s="11"/>
    </row>
    <row r="207" spans="1:11" ht="15" customHeight="1">
      <c r="A207" s="44" t="s">
        <v>40</v>
      </c>
      <c r="B207" s="45" t="s">
        <v>747</v>
      </c>
      <c r="C207" s="46" t="s">
        <v>2065</v>
      </c>
      <c r="D207" s="45">
        <v>41.702696000000003</v>
      </c>
      <c r="E207" s="47">
        <v>67</v>
      </c>
      <c r="F207" s="47"/>
      <c r="G207" s="47"/>
      <c r="H207" s="47"/>
      <c r="I207" s="48"/>
      <c r="J207" s="10">
        <f t="shared" si="7"/>
        <v>0.44952546296296297</v>
      </c>
      <c r="K207" s="11"/>
    </row>
    <row r="208" spans="1:11" ht="15" customHeight="1">
      <c r="A208" s="44" t="s">
        <v>40</v>
      </c>
      <c r="B208" s="45" t="s">
        <v>77</v>
      </c>
      <c r="C208" s="46" t="s">
        <v>2066</v>
      </c>
      <c r="D208" s="45">
        <v>55.308760999999997</v>
      </c>
      <c r="E208" s="47">
        <v>56</v>
      </c>
      <c r="F208" s="47"/>
      <c r="G208" s="47"/>
      <c r="H208" s="47"/>
      <c r="I208" s="48"/>
      <c r="J208" s="10">
        <f t="shared" si="7"/>
        <v>0.34974537037037035</v>
      </c>
      <c r="K208" s="11"/>
    </row>
    <row r="209" spans="1:11" ht="15" customHeight="1">
      <c r="A209" s="44" t="s">
        <v>40</v>
      </c>
      <c r="B209" s="45" t="s">
        <v>90</v>
      </c>
      <c r="C209" s="46" t="s">
        <v>2067</v>
      </c>
      <c r="D209" s="45">
        <v>197.83368999999999</v>
      </c>
      <c r="E209" s="47">
        <v>65</v>
      </c>
      <c r="F209" s="47"/>
      <c r="G209" s="47"/>
      <c r="H209" s="47"/>
      <c r="I209" s="48"/>
      <c r="J209" s="10">
        <f t="shared" si="7"/>
        <v>0.49230324074074078</v>
      </c>
      <c r="K209" s="11"/>
    </row>
    <row r="210" spans="1:11" ht="15" customHeight="1">
      <c r="A210" s="44" t="s">
        <v>40</v>
      </c>
      <c r="B210" s="45" t="s">
        <v>91</v>
      </c>
      <c r="C210" s="47" t="s">
        <v>2068</v>
      </c>
      <c r="D210" s="45">
        <v>204.69545199999999</v>
      </c>
      <c r="E210" s="47">
        <v>67</v>
      </c>
      <c r="F210" s="47"/>
      <c r="G210" s="47"/>
      <c r="H210" s="47"/>
      <c r="I210" s="48"/>
      <c r="J210" s="10">
        <f t="shared" si="7"/>
        <v>0.46334490740740741</v>
      </c>
      <c r="K210" s="11"/>
    </row>
    <row r="211" spans="1:11" ht="15" customHeight="1">
      <c r="A211" s="44" t="s">
        <v>40</v>
      </c>
      <c r="B211" s="45" t="s">
        <v>748</v>
      </c>
      <c r="C211" s="47" t="s">
        <v>2069</v>
      </c>
      <c r="D211" s="45">
        <v>176.50144299999999</v>
      </c>
      <c r="E211" s="47">
        <v>70</v>
      </c>
      <c r="F211" s="47"/>
      <c r="G211" s="47"/>
      <c r="H211" s="47"/>
      <c r="I211" s="48"/>
      <c r="J211" s="10">
        <f t="shared" si="7"/>
        <v>0.43329861111111106</v>
      </c>
      <c r="K211" s="11"/>
    </row>
    <row r="212" spans="1:11" ht="15" customHeight="1">
      <c r="A212" s="49" t="s">
        <v>40</v>
      </c>
      <c r="B212" s="49" t="s">
        <v>750</v>
      </c>
      <c r="C212" s="49" t="s">
        <v>2070</v>
      </c>
      <c r="D212" s="49">
        <v>176.15204800000001</v>
      </c>
      <c r="E212" s="49">
        <v>72</v>
      </c>
      <c r="F212" s="47"/>
      <c r="G212" s="47"/>
      <c r="H212" s="47"/>
      <c r="I212" s="48"/>
      <c r="J212" s="10">
        <f t="shared" si="7"/>
        <v>0.39447916666666666</v>
      </c>
      <c r="K212" s="11"/>
    </row>
    <row r="213" spans="1:11" ht="15" customHeight="1">
      <c r="A213" s="49" t="s">
        <v>40</v>
      </c>
      <c r="B213" s="49" t="s">
        <v>749</v>
      </c>
      <c r="C213" s="49" t="s">
        <v>2071</v>
      </c>
      <c r="D213" s="49">
        <v>176.140579</v>
      </c>
      <c r="E213" s="49">
        <v>61</v>
      </c>
      <c r="F213" s="47"/>
      <c r="G213" s="47"/>
      <c r="H213" s="47"/>
      <c r="I213" s="48"/>
      <c r="J213" s="10">
        <f t="shared" si="7"/>
        <v>0.43392361111111111</v>
      </c>
      <c r="K213" s="11"/>
    </row>
    <row r="214" spans="1:11" ht="15" customHeight="1">
      <c r="A214" s="49" t="s">
        <v>97</v>
      </c>
      <c r="B214" s="49" t="s">
        <v>744</v>
      </c>
      <c r="C214" s="49" t="s">
        <v>2072</v>
      </c>
      <c r="D214" s="49">
        <v>61.270932000000002</v>
      </c>
      <c r="E214" s="49">
        <v>50</v>
      </c>
      <c r="F214" s="47"/>
      <c r="G214" s="47"/>
      <c r="H214" s="47"/>
      <c r="I214" s="48"/>
      <c r="J214" s="10">
        <f t="shared" si="7"/>
        <v>0.42158564814814814</v>
      </c>
      <c r="K214" s="11"/>
    </row>
    <row r="215" spans="1:11" ht="15" customHeight="1">
      <c r="A215" s="49" t="s">
        <v>97</v>
      </c>
      <c r="B215" s="49" t="s">
        <v>746</v>
      </c>
      <c r="C215" s="49" t="s">
        <v>2073</v>
      </c>
      <c r="D215" s="49">
        <v>32.452558000000003</v>
      </c>
      <c r="E215" s="49">
        <v>53</v>
      </c>
      <c r="F215" s="47"/>
      <c r="G215" s="47"/>
      <c r="H215" s="47"/>
      <c r="I215" s="48"/>
      <c r="J215" s="10">
        <f t="shared" si="7"/>
        <v>0.43668981481481484</v>
      </c>
      <c r="K215" s="11"/>
    </row>
    <row r="216" spans="1:11" ht="15" customHeight="1">
      <c r="A216" s="49" t="s">
        <v>97</v>
      </c>
      <c r="B216" s="49" t="s">
        <v>747</v>
      </c>
      <c r="C216" s="49" t="s">
        <v>2074</v>
      </c>
      <c r="D216" s="49">
        <v>41.068122000000002</v>
      </c>
      <c r="E216" s="49">
        <v>58</v>
      </c>
      <c r="F216" s="47"/>
      <c r="G216" s="47"/>
      <c r="H216" s="47"/>
      <c r="I216" s="48"/>
      <c r="J216" s="10">
        <f t="shared" si="7"/>
        <v>0.40835648148148151</v>
      </c>
      <c r="K216" s="11"/>
    </row>
    <row r="217" spans="1:11" ht="15" customHeight="1">
      <c r="A217" s="49" t="s">
        <v>97</v>
      </c>
      <c r="B217" s="49" t="s">
        <v>77</v>
      </c>
      <c r="C217" s="49" t="s">
        <v>2075</v>
      </c>
      <c r="D217" s="49">
        <v>59.300193999999998</v>
      </c>
      <c r="E217" s="49">
        <v>56</v>
      </c>
      <c r="F217" s="47"/>
      <c r="G217" s="47"/>
      <c r="H217" s="47"/>
      <c r="I217" s="48"/>
      <c r="J217" s="10">
        <f t="shared" si="7"/>
        <v>0.36901620370370369</v>
      </c>
      <c r="K217" s="11"/>
    </row>
    <row r="218" spans="1:11" ht="15" customHeight="1">
      <c r="A218" s="49" t="s">
        <v>97</v>
      </c>
      <c r="B218" s="49" t="s">
        <v>90</v>
      </c>
      <c r="C218" s="49" t="s">
        <v>2076</v>
      </c>
      <c r="D218" s="49">
        <v>206.763634</v>
      </c>
      <c r="E218" s="49">
        <v>60</v>
      </c>
      <c r="F218" s="47"/>
      <c r="G218" s="47"/>
      <c r="H218" s="47"/>
      <c r="I218" s="48"/>
      <c r="J218" s="10">
        <f t="shared" si="7"/>
        <v>0.46274305555555556</v>
      </c>
      <c r="K218" s="11"/>
    </row>
    <row r="219" spans="1:11" ht="15" customHeight="1">
      <c r="A219" s="49" t="s">
        <v>97</v>
      </c>
      <c r="B219" s="49" t="s">
        <v>91</v>
      </c>
      <c r="C219" s="49" t="s">
        <v>2077</v>
      </c>
      <c r="D219" s="49">
        <v>210.796538</v>
      </c>
      <c r="E219" s="49">
        <v>65</v>
      </c>
      <c r="F219" s="47"/>
      <c r="G219" s="47"/>
      <c r="H219" s="47"/>
      <c r="I219" s="48"/>
      <c r="J219" s="10">
        <f t="shared" si="7"/>
        <v>0.51745370370370369</v>
      </c>
      <c r="K219" s="11"/>
    </row>
    <row r="220" spans="1:11" ht="15" customHeight="1">
      <c r="A220" s="49" t="s">
        <v>97</v>
      </c>
      <c r="B220" s="49" t="s">
        <v>748</v>
      </c>
      <c r="C220" s="49" t="s">
        <v>2078</v>
      </c>
      <c r="D220" s="49">
        <v>38.187911999999997</v>
      </c>
      <c r="E220" s="49">
        <v>64</v>
      </c>
      <c r="F220" s="47"/>
      <c r="G220" s="47"/>
      <c r="H220" s="47"/>
      <c r="I220" s="48"/>
      <c r="J220" s="10">
        <f t="shared" si="7"/>
        <v>0.37263888888888891</v>
      </c>
      <c r="K220" s="11"/>
    </row>
    <row r="221" spans="1:11" ht="15" customHeight="1">
      <c r="A221" s="49" t="s">
        <v>97</v>
      </c>
      <c r="B221" s="49" t="s">
        <v>750</v>
      </c>
      <c r="C221" s="49" t="s">
        <v>2079</v>
      </c>
      <c r="D221" s="49">
        <v>67.779936000000006</v>
      </c>
      <c r="E221" s="49">
        <v>64</v>
      </c>
      <c r="F221" s="47"/>
      <c r="G221" s="47"/>
      <c r="H221" s="47"/>
      <c r="I221" s="48"/>
      <c r="J221" s="10">
        <f t="shared" si="7"/>
        <v>0.37011574074074072</v>
      </c>
      <c r="K221" s="11"/>
    </row>
    <row r="222" spans="1:11" ht="15" customHeight="1">
      <c r="A222" s="49" t="s">
        <v>97</v>
      </c>
      <c r="B222" s="49" t="s">
        <v>749</v>
      </c>
      <c r="C222" s="49" t="s">
        <v>2080</v>
      </c>
      <c r="D222" s="49">
        <v>70.757277999999999</v>
      </c>
      <c r="E222" s="49">
        <v>63</v>
      </c>
      <c r="F222" s="47"/>
      <c r="G222" s="47"/>
      <c r="H222" s="47"/>
      <c r="I222" s="48"/>
      <c r="J222" s="10">
        <f t="shared" si="7"/>
        <v>0.45109953703703703</v>
      </c>
      <c r="K222" s="11"/>
    </row>
    <row r="223" spans="1:11" ht="15" customHeight="1">
      <c r="A223" s="49" t="s">
        <v>98</v>
      </c>
      <c r="B223" s="49" t="s">
        <v>744</v>
      </c>
      <c r="C223" s="49" t="s">
        <v>2081</v>
      </c>
      <c r="D223" s="49">
        <v>67.542662000000007</v>
      </c>
      <c r="E223" s="49">
        <v>60</v>
      </c>
      <c r="F223" s="47"/>
      <c r="G223" s="47"/>
      <c r="H223" s="47"/>
      <c r="I223" s="48"/>
      <c r="J223" s="10">
        <f t="shared" si="7"/>
        <v>0.46709490740740739</v>
      </c>
      <c r="K223" s="11"/>
    </row>
    <row r="224" spans="1:11" ht="15" customHeight="1">
      <c r="A224" s="49" t="s">
        <v>98</v>
      </c>
      <c r="B224" s="49" t="s">
        <v>746</v>
      </c>
      <c r="C224" s="49" t="s">
        <v>2082</v>
      </c>
      <c r="D224" s="49">
        <v>35.436630000000001</v>
      </c>
      <c r="E224" s="49">
        <v>65</v>
      </c>
      <c r="F224" s="47"/>
      <c r="G224" s="47"/>
      <c r="H224" s="47"/>
      <c r="I224" s="48"/>
      <c r="J224" s="10">
        <f t="shared" si="7"/>
        <v>0.41658564814814819</v>
      </c>
      <c r="K224" s="11"/>
    </row>
    <row r="225" spans="1:11" ht="15" customHeight="1">
      <c r="A225" s="49" t="s">
        <v>98</v>
      </c>
      <c r="B225" s="49" t="s">
        <v>747</v>
      </c>
      <c r="C225" s="49" t="s">
        <v>2083</v>
      </c>
      <c r="D225" s="49">
        <v>26.947457</v>
      </c>
      <c r="E225" s="49">
        <v>41</v>
      </c>
      <c r="F225" s="47"/>
      <c r="G225" s="47"/>
      <c r="H225" s="47"/>
      <c r="I225" s="48"/>
      <c r="J225" s="10">
        <f t="shared" si="7"/>
        <v>0.40458333333333335</v>
      </c>
      <c r="K225" s="11"/>
    </row>
    <row r="226" spans="1:11" ht="15" customHeight="1">
      <c r="A226" s="49" t="s">
        <v>98</v>
      </c>
      <c r="B226" s="49" t="s">
        <v>77</v>
      </c>
      <c r="C226" s="49" t="s">
        <v>2084</v>
      </c>
      <c r="D226" s="49">
        <v>52.107725000000002</v>
      </c>
      <c r="E226" s="49">
        <v>55</v>
      </c>
      <c r="F226" s="47"/>
      <c r="G226" s="47"/>
      <c r="H226" s="47"/>
      <c r="I226" s="48"/>
      <c r="J226" s="10">
        <f t="shared" si="7"/>
        <v>0.32781250000000001</v>
      </c>
      <c r="K226" s="11"/>
    </row>
    <row r="227" spans="1:11" ht="15" customHeight="1">
      <c r="A227" s="49" t="s">
        <v>98</v>
      </c>
      <c r="B227" s="49" t="s">
        <v>90</v>
      </c>
      <c r="C227" s="49" t="s">
        <v>2085</v>
      </c>
      <c r="D227" s="49">
        <v>231.064123</v>
      </c>
      <c r="E227" s="49">
        <v>65</v>
      </c>
      <c r="F227" s="47"/>
      <c r="G227" s="47"/>
      <c r="H227" s="47"/>
      <c r="I227" s="48"/>
      <c r="J227" s="10">
        <f t="shared" si="7"/>
        <v>0.49104166666666665</v>
      </c>
      <c r="K227" s="11"/>
    </row>
    <row r="228" spans="1:11" ht="15" customHeight="1">
      <c r="A228" s="49" t="s">
        <v>98</v>
      </c>
      <c r="B228" s="49" t="s">
        <v>91</v>
      </c>
      <c r="C228" s="49" t="s">
        <v>2086</v>
      </c>
      <c r="D228" s="49">
        <v>179.778502</v>
      </c>
      <c r="E228" s="49">
        <v>63</v>
      </c>
      <c r="F228" s="47"/>
      <c r="G228" s="47"/>
      <c r="H228" s="47"/>
      <c r="I228" s="48"/>
      <c r="J228" s="10">
        <f t="shared" si="7"/>
        <v>0.48709490740740741</v>
      </c>
      <c r="K228" s="11"/>
    </row>
    <row r="229" spans="1:11" ht="15" customHeight="1">
      <c r="A229" s="49" t="s">
        <v>98</v>
      </c>
      <c r="B229" s="49" t="s">
        <v>748</v>
      </c>
      <c r="C229" s="49" t="s">
        <v>2087</v>
      </c>
      <c r="D229" s="49">
        <v>72.805415999999994</v>
      </c>
      <c r="E229" s="49">
        <v>46</v>
      </c>
      <c r="F229" s="47"/>
      <c r="G229" s="47"/>
      <c r="H229" s="47"/>
      <c r="I229" s="48"/>
      <c r="J229" s="10">
        <f t="shared" si="7"/>
        <v>0.43868055555555552</v>
      </c>
      <c r="K229" s="11"/>
    </row>
    <row r="230" spans="1:11" ht="15" customHeight="1">
      <c r="A230" s="49" t="s">
        <v>98</v>
      </c>
      <c r="B230" s="49" t="s">
        <v>750</v>
      </c>
      <c r="C230" s="49" t="s">
        <v>2088</v>
      </c>
      <c r="D230" s="49">
        <v>63.974030999999997</v>
      </c>
      <c r="E230" s="49">
        <v>45</v>
      </c>
      <c r="F230" s="47"/>
      <c r="G230" s="47"/>
      <c r="H230" s="47"/>
      <c r="I230" s="48"/>
      <c r="J230" s="10">
        <f t="shared" si="7"/>
        <v>0.43565972222222221</v>
      </c>
      <c r="K230" s="11"/>
    </row>
    <row r="231" spans="1:11" ht="15" customHeight="1">
      <c r="A231" s="49" t="s">
        <v>98</v>
      </c>
      <c r="B231" s="49" t="s">
        <v>749</v>
      </c>
      <c r="C231" s="49" t="s">
        <v>2089</v>
      </c>
      <c r="D231" s="49">
        <v>94.286537999999993</v>
      </c>
      <c r="E231" s="49">
        <v>57</v>
      </c>
      <c r="F231" s="47"/>
      <c r="G231" s="47"/>
      <c r="H231" s="47"/>
      <c r="I231" s="48"/>
      <c r="J231" s="10">
        <f t="shared" si="7"/>
        <v>0.40185185185185185</v>
      </c>
      <c r="K231" s="11"/>
    </row>
    <row r="232" spans="1:11" ht="15" customHeight="1">
      <c r="A232" s="49" t="s">
        <v>99</v>
      </c>
      <c r="B232" s="49" t="s">
        <v>744</v>
      </c>
      <c r="C232" s="49" t="s">
        <v>2090</v>
      </c>
      <c r="D232" s="49">
        <v>67.870148</v>
      </c>
      <c r="E232" s="49">
        <v>63</v>
      </c>
      <c r="F232" s="47"/>
      <c r="G232" s="47"/>
      <c r="H232" s="47"/>
      <c r="I232" s="48"/>
      <c r="J232" s="10">
        <f t="shared" si="7"/>
        <v>0.47045138888888888</v>
      </c>
      <c r="K232" s="11"/>
    </row>
    <row r="233" spans="1:11" ht="15" customHeight="1">
      <c r="A233" s="49" t="s">
        <v>99</v>
      </c>
      <c r="B233" s="49" t="s">
        <v>746</v>
      </c>
      <c r="C233" s="49" t="s">
        <v>2091</v>
      </c>
      <c r="D233" s="49">
        <v>43.328688</v>
      </c>
      <c r="E233" s="49">
        <v>68</v>
      </c>
      <c r="F233" s="47"/>
      <c r="G233" s="47"/>
      <c r="H233" s="47"/>
      <c r="I233" s="48"/>
      <c r="J233" s="10">
        <f t="shared" si="7"/>
        <v>0.47270833333333334</v>
      </c>
      <c r="K233" s="11"/>
    </row>
    <row r="234" spans="1:11" ht="15" customHeight="1">
      <c r="A234" s="49" t="s">
        <v>99</v>
      </c>
      <c r="B234" s="49" t="s">
        <v>747</v>
      </c>
      <c r="C234" s="49" t="s">
        <v>2092</v>
      </c>
      <c r="D234" s="49">
        <v>63.795005000000003</v>
      </c>
      <c r="E234" s="49">
        <v>53</v>
      </c>
      <c r="F234" s="47"/>
      <c r="G234" s="47"/>
      <c r="H234" s="47"/>
      <c r="I234" s="48"/>
      <c r="J234" s="10">
        <f t="shared" si="7"/>
        <v>0.47567129629629629</v>
      </c>
      <c r="K234" s="11"/>
    </row>
    <row r="235" spans="1:11" ht="15" customHeight="1">
      <c r="A235" s="49" t="s">
        <v>99</v>
      </c>
      <c r="B235" s="49" t="s">
        <v>727</v>
      </c>
      <c r="C235" s="49" t="s">
        <v>2093</v>
      </c>
      <c r="D235" s="49">
        <v>2.6</v>
      </c>
      <c r="E235" s="49">
        <v>32</v>
      </c>
      <c r="F235" s="47"/>
      <c r="G235" s="47"/>
      <c r="H235" s="47"/>
      <c r="I235" s="48"/>
      <c r="J235" s="10">
        <f t="shared" si="7"/>
        <v>9.0277777777777787E-3</v>
      </c>
      <c r="K235" s="11"/>
    </row>
    <row r="236" spans="1:11" ht="15" customHeight="1">
      <c r="A236" s="49" t="s">
        <v>99</v>
      </c>
      <c r="B236" s="49" t="s">
        <v>77</v>
      </c>
      <c r="C236" s="49" t="s">
        <v>2094</v>
      </c>
      <c r="D236" s="49">
        <v>225.21593200000001</v>
      </c>
      <c r="E236" s="49">
        <v>63</v>
      </c>
      <c r="F236" s="47"/>
      <c r="G236" s="47"/>
      <c r="H236" s="47"/>
      <c r="I236" s="48"/>
      <c r="J236" s="10">
        <f t="shared" si="7"/>
        <v>0.42177083333333337</v>
      </c>
      <c r="K236" s="11"/>
    </row>
    <row r="237" spans="1:11" ht="15" customHeight="1">
      <c r="A237" s="49" t="s">
        <v>99</v>
      </c>
      <c r="B237" s="49" t="s">
        <v>90</v>
      </c>
      <c r="C237" s="49" t="s">
        <v>2095</v>
      </c>
      <c r="D237" s="49">
        <v>213.93274500000001</v>
      </c>
      <c r="E237" s="49">
        <v>57</v>
      </c>
      <c r="F237" s="47"/>
      <c r="G237" s="47"/>
      <c r="H237" s="47"/>
      <c r="I237" s="48"/>
      <c r="J237" s="10">
        <f t="shared" si="7"/>
        <v>0.42018518518518522</v>
      </c>
      <c r="K237" s="11"/>
    </row>
    <row r="238" spans="1:11" ht="15" customHeight="1">
      <c r="A238" s="49" t="s">
        <v>99</v>
      </c>
      <c r="B238" s="49" t="s">
        <v>91</v>
      </c>
      <c r="C238" s="49" t="s">
        <v>2096</v>
      </c>
      <c r="D238" s="49">
        <v>243.393981</v>
      </c>
      <c r="E238" s="49">
        <v>69</v>
      </c>
      <c r="F238" s="47"/>
      <c r="G238" s="47"/>
      <c r="H238" s="47"/>
      <c r="I238" s="48"/>
      <c r="J238" s="10">
        <f t="shared" si="7"/>
        <v>0.45172453703703702</v>
      </c>
      <c r="K238" s="11"/>
    </row>
    <row r="239" spans="1:11" ht="15" customHeight="1">
      <c r="A239" s="49" t="s">
        <v>99</v>
      </c>
      <c r="B239" s="49" t="s">
        <v>748</v>
      </c>
      <c r="C239" s="49" t="s">
        <v>2097</v>
      </c>
      <c r="D239" s="49">
        <v>31.058215000000001</v>
      </c>
      <c r="E239" s="49">
        <v>42</v>
      </c>
      <c r="F239" s="47"/>
      <c r="G239" s="47"/>
      <c r="H239" s="47"/>
      <c r="I239" s="48"/>
      <c r="J239" s="10">
        <f t="shared" si="7"/>
        <v>0.41782407407407413</v>
      </c>
      <c r="K239" s="11"/>
    </row>
    <row r="240" spans="1:11" ht="15" customHeight="1">
      <c r="A240" s="49" t="s">
        <v>99</v>
      </c>
      <c r="B240" s="49" t="s">
        <v>750</v>
      </c>
      <c r="C240" s="49" t="s">
        <v>2098</v>
      </c>
      <c r="D240" s="49">
        <v>23.705024999999999</v>
      </c>
      <c r="E240" s="49">
        <v>30</v>
      </c>
      <c r="F240" s="47"/>
      <c r="G240" s="47"/>
      <c r="H240" s="47"/>
      <c r="I240" s="48"/>
      <c r="J240" s="10">
        <f t="shared" si="7"/>
        <v>0.41465277777777776</v>
      </c>
      <c r="K240" s="11"/>
    </row>
    <row r="241" spans="1:11" ht="15" customHeight="1">
      <c r="A241" s="49" t="s">
        <v>99</v>
      </c>
      <c r="B241" s="49" t="s">
        <v>749</v>
      </c>
      <c r="C241" s="49" t="s">
        <v>2099</v>
      </c>
      <c r="D241" s="49">
        <v>0.45243100000000003</v>
      </c>
      <c r="E241" s="49">
        <v>17</v>
      </c>
      <c r="F241" s="47"/>
      <c r="G241" s="47"/>
      <c r="H241" s="47"/>
      <c r="I241" s="48"/>
      <c r="J241" s="10">
        <f t="shared" si="7"/>
        <v>0.31627314814814816</v>
      </c>
      <c r="K241" s="11"/>
    </row>
    <row r="242" spans="1:11" ht="15" customHeight="1">
      <c r="A242" s="49" t="s">
        <v>106</v>
      </c>
      <c r="B242" s="49" t="s">
        <v>744</v>
      </c>
      <c r="C242" s="49" t="s">
        <v>2100</v>
      </c>
      <c r="D242" s="49">
        <v>143.28218100000001</v>
      </c>
      <c r="E242" s="49">
        <v>68</v>
      </c>
      <c r="F242" s="47"/>
      <c r="G242" s="47"/>
      <c r="H242" s="47"/>
      <c r="I242" s="48"/>
      <c r="J242" s="10">
        <f t="shared" si="7"/>
        <v>0.47407407407407409</v>
      </c>
      <c r="K242" s="11"/>
    </row>
    <row r="243" spans="1:11" ht="15" customHeight="1">
      <c r="A243" s="49" t="s">
        <v>106</v>
      </c>
      <c r="B243" s="49" t="s">
        <v>746</v>
      </c>
      <c r="C243" s="49" t="s">
        <v>2101</v>
      </c>
      <c r="D243" s="49">
        <v>57.657767999999997</v>
      </c>
      <c r="E243" s="49">
        <v>63</v>
      </c>
      <c r="F243" s="47"/>
      <c r="G243" s="47"/>
      <c r="H243" s="47"/>
      <c r="I243" s="48"/>
      <c r="J243" s="10">
        <f t="shared" si="7"/>
        <v>0.47486111111111112</v>
      </c>
      <c r="K243" s="11"/>
    </row>
    <row r="244" spans="1:11" ht="15" customHeight="1">
      <c r="A244" s="49" t="s">
        <v>106</v>
      </c>
      <c r="B244" s="49" t="s">
        <v>747</v>
      </c>
      <c r="C244" s="49" t="s">
        <v>2102</v>
      </c>
      <c r="D244" s="49">
        <v>52.428249000000001</v>
      </c>
      <c r="E244" s="49">
        <v>48</v>
      </c>
      <c r="F244" s="47"/>
      <c r="G244" s="47"/>
      <c r="H244" s="47"/>
      <c r="I244" s="48"/>
      <c r="J244" s="10">
        <f t="shared" si="7"/>
        <v>0.46303240740740742</v>
      </c>
      <c r="K244" s="11"/>
    </row>
    <row r="245" spans="1:11" ht="15" customHeight="1">
      <c r="A245" s="49" t="s">
        <v>106</v>
      </c>
      <c r="B245" s="49" t="s">
        <v>727</v>
      </c>
      <c r="C245" s="49" t="s">
        <v>2103</v>
      </c>
      <c r="D245" s="49">
        <v>35.200000000000003</v>
      </c>
      <c r="E245" s="49">
        <v>67</v>
      </c>
      <c r="F245" s="47"/>
      <c r="G245" s="47"/>
      <c r="H245" s="47"/>
      <c r="I245" s="48"/>
      <c r="J245" s="10">
        <f t="shared" si="7"/>
        <v>0.36251157407407408</v>
      </c>
      <c r="K245" s="11"/>
    </row>
    <row r="246" spans="1:11" ht="15" customHeight="1">
      <c r="A246" s="49" t="s">
        <v>106</v>
      </c>
      <c r="B246" s="49" t="s">
        <v>75</v>
      </c>
      <c r="C246" s="49" t="s">
        <v>2104</v>
      </c>
      <c r="D246" s="49">
        <v>239.39209399999999</v>
      </c>
      <c r="E246" s="49">
        <v>67</v>
      </c>
      <c r="F246" s="47"/>
      <c r="G246" s="47"/>
      <c r="H246" s="47"/>
      <c r="I246" s="48"/>
      <c r="J246" s="10">
        <f t="shared" si="7"/>
        <v>0.45269675925925923</v>
      </c>
      <c r="K246" s="11"/>
    </row>
    <row r="247" spans="1:11" ht="15" customHeight="1">
      <c r="A247" s="49" t="s">
        <v>106</v>
      </c>
      <c r="B247" s="49" t="s">
        <v>77</v>
      </c>
      <c r="C247" s="49" t="s">
        <v>2105</v>
      </c>
      <c r="D247" s="49">
        <v>332.690969</v>
      </c>
      <c r="E247" s="49">
        <v>64</v>
      </c>
      <c r="F247" s="47"/>
      <c r="G247" s="47"/>
      <c r="H247" s="47"/>
      <c r="I247" s="48"/>
      <c r="J247" s="10">
        <f t="shared" si="7"/>
        <v>0.51834490740740746</v>
      </c>
      <c r="K247" s="11"/>
    </row>
    <row r="248" spans="1:11" ht="15" customHeight="1">
      <c r="A248" s="49" t="s">
        <v>106</v>
      </c>
      <c r="B248" s="49" t="s">
        <v>89</v>
      </c>
      <c r="C248" s="49" t="s">
        <v>2106</v>
      </c>
      <c r="D248" s="49">
        <v>273.28983099999999</v>
      </c>
      <c r="E248" s="49">
        <v>66</v>
      </c>
      <c r="F248" s="47"/>
      <c r="G248" s="47"/>
      <c r="H248" s="47"/>
      <c r="I248" s="48"/>
      <c r="J248" s="10">
        <f t="shared" si="7"/>
        <v>0.4899189814814815</v>
      </c>
      <c r="K248" s="11"/>
    </row>
    <row r="249" spans="1:11" ht="15" customHeight="1">
      <c r="A249" s="49" t="s">
        <v>106</v>
      </c>
      <c r="B249" s="49" t="s">
        <v>90</v>
      </c>
      <c r="C249" s="49" t="s">
        <v>2107</v>
      </c>
      <c r="D249" s="49">
        <v>269.276769</v>
      </c>
      <c r="E249" s="49">
        <v>57</v>
      </c>
      <c r="F249" s="47"/>
      <c r="G249" s="47"/>
      <c r="H249" s="47"/>
      <c r="I249" s="48"/>
      <c r="J249" s="10">
        <f t="shared" si="7"/>
        <v>0.4654861111111111</v>
      </c>
      <c r="K249" s="11"/>
    </row>
    <row r="250" spans="1:11" ht="15" customHeight="1">
      <c r="A250" s="49" t="s">
        <v>106</v>
      </c>
      <c r="B250" s="49" t="s">
        <v>91</v>
      </c>
      <c r="C250" s="49" t="s">
        <v>2108</v>
      </c>
      <c r="D250" s="49">
        <v>102.58023300000001</v>
      </c>
      <c r="E250" s="49">
        <v>67</v>
      </c>
      <c r="F250" s="47"/>
      <c r="G250" s="47"/>
      <c r="H250" s="47"/>
      <c r="I250" s="48"/>
      <c r="J250" s="10">
        <f t="shared" si="7"/>
        <v>0.33789351851851851</v>
      </c>
      <c r="K250" s="11"/>
    </row>
    <row r="251" spans="1:11" ht="15" customHeight="1">
      <c r="A251" s="49" t="s">
        <v>106</v>
      </c>
      <c r="B251" s="49" t="s">
        <v>748</v>
      </c>
      <c r="C251" s="49" t="s">
        <v>2109</v>
      </c>
      <c r="D251" s="49">
        <v>34.561546</v>
      </c>
      <c r="E251" s="49">
        <v>47</v>
      </c>
      <c r="F251" s="47"/>
      <c r="G251" s="47"/>
      <c r="H251" s="47"/>
      <c r="I251" s="48"/>
      <c r="J251" s="10">
        <f t="shared" si="7"/>
        <v>0.42648148148148146</v>
      </c>
      <c r="K251" s="11"/>
    </row>
    <row r="252" spans="1:11" ht="15" customHeight="1">
      <c r="A252" s="49" t="s">
        <v>106</v>
      </c>
      <c r="B252" s="49" t="s">
        <v>750</v>
      </c>
      <c r="C252" s="49" t="s">
        <v>2110</v>
      </c>
      <c r="D252" s="49">
        <v>21.035997999999999</v>
      </c>
      <c r="E252" s="49">
        <v>34</v>
      </c>
      <c r="F252" s="47"/>
      <c r="G252" s="47"/>
      <c r="H252" s="47"/>
      <c r="I252" s="48"/>
      <c r="J252" s="10">
        <f t="shared" si="7"/>
        <v>0.41997685185185185</v>
      </c>
      <c r="K252" s="11"/>
    </row>
    <row r="253" spans="1:11" ht="15" customHeight="1">
      <c r="A253" s="49" t="s">
        <v>106</v>
      </c>
      <c r="B253" s="49" t="s">
        <v>749</v>
      </c>
      <c r="C253" s="49" t="s">
        <v>2111</v>
      </c>
      <c r="D253" s="49">
        <v>76.562676999999994</v>
      </c>
      <c r="E253" s="49">
        <v>61</v>
      </c>
      <c r="F253" s="47"/>
      <c r="G253" s="47"/>
      <c r="H253" s="47"/>
      <c r="I253" s="48"/>
      <c r="J253" s="10">
        <f t="shared" si="7"/>
        <v>0.46108796296296295</v>
      </c>
      <c r="K253" s="11"/>
    </row>
    <row r="254" spans="1:11" ht="15" customHeight="1">
      <c r="A254" s="49" t="s">
        <v>105</v>
      </c>
      <c r="B254" s="49" t="s">
        <v>744</v>
      </c>
      <c r="C254" s="49" t="s">
        <v>2112</v>
      </c>
      <c r="D254" s="49">
        <v>45.751569000000003</v>
      </c>
      <c r="E254" s="49">
        <v>60</v>
      </c>
      <c r="F254" s="47"/>
      <c r="G254" s="47"/>
      <c r="H254" s="47"/>
      <c r="I254" s="48"/>
      <c r="J254" s="10">
        <f t="shared" si="7"/>
        <v>0.20865740740740743</v>
      </c>
      <c r="K254" s="11"/>
    </row>
    <row r="255" spans="1:11" ht="15" customHeight="1">
      <c r="A255" s="49" t="s">
        <v>105</v>
      </c>
      <c r="B255" s="49" t="s">
        <v>746</v>
      </c>
      <c r="C255" s="49" t="s">
        <v>2113</v>
      </c>
      <c r="D255" s="49">
        <v>43.694217999999999</v>
      </c>
      <c r="E255" s="49">
        <v>68</v>
      </c>
      <c r="F255" s="47"/>
      <c r="G255" s="47"/>
      <c r="H255" s="47"/>
      <c r="I255" s="48"/>
      <c r="J255" s="10">
        <f t="shared" si="7"/>
        <v>0.22497685185185187</v>
      </c>
      <c r="K255" s="11"/>
    </row>
    <row r="256" spans="1:11" ht="15" customHeight="1">
      <c r="A256" s="49" t="s">
        <v>105</v>
      </c>
      <c r="B256" s="49" t="s">
        <v>747</v>
      </c>
      <c r="C256" s="49" t="s">
        <v>2114</v>
      </c>
      <c r="D256" s="49">
        <v>42.870325999999999</v>
      </c>
      <c r="E256" s="49">
        <v>49</v>
      </c>
      <c r="F256" s="47"/>
      <c r="G256" s="47"/>
      <c r="H256" s="47"/>
      <c r="I256" s="48"/>
      <c r="J256" s="10">
        <f t="shared" si="7"/>
        <v>0.23831018518518518</v>
      </c>
      <c r="K256" s="11"/>
    </row>
    <row r="257" spans="1:11" ht="15" customHeight="1">
      <c r="A257" s="49" t="s">
        <v>105</v>
      </c>
      <c r="B257" s="49" t="s">
        <v>727</v>
      </c>
      <c r="C257" s="49" t="s">
        <v>2115</v>
      </c>
      <c r="D257" s="49">
        <v>15.9</v>
      </c>
      <c r="E257" s="49">
        <v>61</v>
      </c>
      <c r="F257" s="47"/>
      <c r="G257" s="47"/>
      <c r="H257" s="47"/>
      <c r="I257" s="48"/>
      <c r="J257" s="10">
        <f t="shared" si="7"/>
        <v>8.111111111111112E-2</v>
      </c>
      <c r="K257" s="11"/>
    </row>
    <row r="258" spans="1:11" ht="15" customHeight="1">
      <c r="A258" s="49" t="s">
        <v>105</v>
      </c>
      <c r="B258" s="49" t="s">
        <v>75</v>
      </c>
      <c r="C258" s="49" t="s">
        <v>2116</v>
      </c>
      <c r="D258" s="49">
        <v>274.02333499999997</v>
      </c>
      <c r="E258" s="49">
        <v>63</v>
      </c>
      <c r="F258" s="47"/>
      <c r="G258" s="47"/>
      <c r="H258" s="47"/>
      <c r="I258" s="48"/>
      <c r="J258" s="10">
        <f t="shared" si="7"/>
        <v>0.48680555555555555</v>
      </c>
      <c r="K258" s="11"/>
    </row>
    <row r="259" spans="1:11" ht="15" customHeight="1">
      <c r="A259" s="49" t="s">
        <v>105</v>
      </c>
      <c r="B259" s="49" t="s">
        <v>77</v>
      </c>
      <c r="C259" s="49" t="s">
        <v>2117</v>
      </c>
      <c r="D259" s="49">
        <v>78.522772000000003</v>
      </c>
      <c r="E259" s="49">
        <v>58</v>
      </c>
      <c r="F259" s="47"/>
      <c r="G259" s="47"/>
      <c r="H259" s="47"/>
      <c r="I259" s="48"/>
      <c r="J259" s="10">
        <f t="shared" si="7"/>
        <v>0.28834490740740742</v>
      </c>
      <c r="K259" s="11"/>
    </row>
    <row r="260" spans="1:11">
      <c r="A260" s="49" t="s">
        <v>105</v>
      </c>
      <c r="B260" s="49" t="s">
        <v>89</v>
      </c>
      <c r="C260" s="49" t="s">
        <v>2118</v>
      </c>
      <c r="D260" s="49">
        <v>272.68073299999998</v>
      </c>
      <c r="E260" s="49">
        <v>60</v>
      </c>
      <c r="F260" s="47"/>
      <c r="G260" s="47"/>
      <c r="H260" s="47"/>
      <c r="I260" s="48"/>
      <c r="J260" s="10">
        <f t="shared" ref="J260:J265" si="8">IFERROR(C260-I260,C260)</f>
        <v>0.48156249999999995</v>
      </c>
    </row>
    <row r="261" spans="1:11">
      <c r="A261" s="49" t="s">
        <v>105</v>
      </c>
      <c r="B261" s="49" t="s">
        <v>90</v>
      </c>
      <c r="C261" s="49" t="s">
        <v>2119</v>
      </c>
      <c r="D261" s="49">
        <v>136.67039299999999</v>
      </c>
      <c r="E261" s="49">
        <v>60</v>
      </c>
      <c r="F261" s="47"/>
      <c r="G261" s="47"/>
      <c r="H261" s="47"/>
      <c r="I261" s="48"/>
      <c r="J261" s="10">
        <f t="shared" si="8"/>
        <v>0.2986921296296296</v>
      </c>
    </row>
    <row r="262" spans="1:11">
      <c r="A262" s="49" t="s">
        <v>105</v>
      </c>
      <c r="B262" s="49" t="s">
        <v>91</v>
      </c>
      <c r="C262" s="49" t="s">
        <v>2120</v>
      </c>
      <c r="D262" s="49">
        <v>209.571044</v>
      </c>
      <c r="E262" s="49">
        <v>70</v>
      </c>
      <c r="F262" s="47"/>
      <c r="G262" s="47"/>
      <c r="H262" s="47"/>
      <c r="I262" s="48"/>
      <c r="J262" s="10">
        <f t="shared" si="8"/>
        <v>0.48380787037037037</v>
      </c>
    </row>
    <row r="263" spans="1:11">
      <c r="A263" s="49" t="s">
        <v>105</v>
      </c>
      <c r="B263" s="49" t="s">
        <v>748</v>
      </c>
      <c r="C263" s="49" t="s">
        <v>2121</v>
      </c>
      <c r="D263" s="49">
        <v>15.992269</v>
      </c>
      <c r="E263" s="49">
        <v>38</v>
      </c>
      <c r="F263" s="47"/>
      <c r="G263" s="47"/>
      <c r="H263" s="47"/>
      <c r="I263" s="48"/>
      <c r="J263" s="10">
        <f t="shared" si="8"/>
        <v>0.2804861111111111</v>
      </c>
    </row>
    <row r="264" spans="1:11">
      <c r="A264" s="49" t="s">
        <v>105</v>
      </c>
      <c r="B264" s="49" t="s">
        <v>750</v>
      </c>
      <c r="C264" s="49" t="s">
        <v>2122</v>
      </c>
      <c r="D264" s="49">
        <v>15.642967000000001</v>
      </c>
      <c r="E264" s="49">
        <v>32</v>
      </c>
      <c r="F264" s="47"/>
      <c r="G264" s="47"/>
      <c r="H264" s="47"/>
      <c r="I264" s="48"/>
      <c r="J264" s="10">
        <f t="shared" si="8"/>
        <v>0.27855324074074073</v>
      </c>
    </row>
    <row r="265" spans="1:11">
      <c r="A265" s="49" t="s">
        <v>105</v>
      </c>
      <c r="B265" s="49" t="s">
        <v>749</v>
      </c>
      <c r="C265" s="49" t="s">
        <v>2123</v>
      </c>
      <c r="D265" s="49">
        <v>40.591053000000002</v>
      </c>
      <c r="E265" s="49">
        <v>54</v>
      </c>
      <c r="F265" s="47"/>
      <c r="G265" s="47"/>
      <c r="H265" s="47"/>
      <c r="I265" s="48"/>
      <c r="J265" s="10">
        <f t="shared" si="8"/>
        <v>0.27685185185185185</v>
      </c>
    </row>
  </sheetData>
  <autoFilter ref="A1:L259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89"/>
  <sheetViews>
    <sheetView showGridLines="0" workbookViewId="0">
      <selection activeCell="I2" sqref="I2:O3"/>
    </sheetView>
  </sheetViews>
  <sheetFormatPr baseColWidth="10" defaultRowHeight="14.4"/>
  <cols>
    <col min="1" max="1" width="21" customWidth="1"/>
    <col min="2" max="2" width="23.33203125" customWidth="1"/>
    <col min="3" max="3" width="5.5546875" style="35" customWidth="1"/>
    <col min="4" max="4" width="21" customWidth="1"/>
    <col min="5" max="5" width="26.44140625" customWidth="1"/>
    <col min="6" max="6" width="7.6640625" customWidth="1"/>
    <col min="7" max="7" width="21" customWidth="1"/>
    <col min="8" max="8" width="10.109375" customWidth="1"/>
    <col min="9" max="9" width="5.44140625" customWidth="1"/>
    <col min="10" max="10" width="21" bestFit="1" customWidth="1"/>
    <col min="11" max="11" width="15.5546875" customWidth="1"/>
    <col min="12" max="12" width="6.44140625" customWidth="1"/>
    <col min="13" max="13" width="23.6640625" customWidth="1"/>
    <col min="14" max="14" width="15.5546875" customWidth="1"/>
    <col min="15" max="15" width="8.109375" customWidth="1"/>
    <col min="16" max="16" width="23.6640625" customWidth="1"/>
    <col min="17" max="17" width="16.44140625" style="13" customWidth="1"/>
    <col min="18" max="18" width="8.109375" customWidth="1"/>
    <col min="19" max="19" width="46.44140625" customWidth="1"/>
    <col min="20" max="20" width="20" customWidth="1"/>
    <col min="21" max="21" width="8.109375" customWidth="1"/>
    <col min="22" max="22" width="23.33203125" customWidth="1"/>
    <col min="23" max="23" width="10.33203125" customWidth="1"/>
    <col min="24" max="24" width="15.5546875" customWidth="1"/>
    <col min="25" max="25" width="16.6640625" customWidth="1"/>
    <col min="26" max="26" width="8.109375" customWidth="1"/>
    <col min="27" max="28" width="11.33203125" customWidth="1"/>
    <col min="29" max="29" width="46.44140625" customWidth="1"/>
    <col min="30" max="30" width="20.33203125" customWidth="1"/>
    <col min="31" max="31" width="15.33203125" customWidth="1"/>
    <col min="32" max="62" width="8.109375" customWidth="1"/>
    <col min="63" max="63" width="12.5546875" bestFit="1" customWidth="1"/>
  </cols>
  <sheetData>
    <row r="1" spans="1:31">
      <c r="J1" s="4" t="s">
        <v>36</v>
      </c>
      <c r="K1" t="s">
        <v>95</v>
      </c>
      <c r="M1" s="4" t="s">
        <v>63</v>
      </c>
      <c r="N1" s="43" t="s">
        <v>2124</v>
      </c>
      <c r="Q1"/>
      <c r="S1" s="4" t="s">
        <v>63</v>
      </c>
      <c r="T1" s="43" t="s">
        <v>2124</v>
      </c>
      <c r="AC1" s="4" t="s">
        <v>63</v>
      </c>
      <c r="AD1" s="43" t="s">
        <v>2124</v>
      </c>
    </row>
    <row r="2" spans="1:31">
      <c r="J2" s="5" t="s">
        <v>77</v>
      </c>
      <c r="K2" s="6">
        <v>5</v>
      </c>
      <c r="Q2"/>
    </row>
    <row r="3" spans="1:31">
      <c r="A3" s="4" t="s">
        <v>36</v>
      </c>
      <c r="B3" t="s">
        <v>38</v>
      </c>
      <c r="D3" s="4" t="s">
        <v>36</v>
      </c>
      <c r="E3" t="s">
        <v>67</v>
      </c>
      <c r="G3" s="4" t="s">
        <v>36</v>
      </c>
      <c r="H3" t="s">
        <v>66</v>
      </c>
      <c r="J3" s="5" t="s">
        <v>90</v>
      </c>
      <c r="K3" s="6">
        <v>15</v>
      </c>
      <c r="M3" s="4" t="s">
        <v>36</v>
      </c>
      <c r="N3" t="s">
        <v>95</v>
      </c>
      <c r="P3" s="4" t="s">
        <v>36</v>
      </c>
      <c r="Q3" s="13" t="s">
        <v>96</v>
      </c>
      <c r="S3" s="4" t="s">
        <v>36</v>
      </c>
      <c r="T3" t="s">
        <v>102</v>
      </c>
      <c r="V3" s="4" t="s">
        <v>36</v>
      </c>
      <c r="W3" s="43" t="s">
        <v>167</v>
      </c>
      <c r="X3" s="43" t="s">
        <v>168</v>
      </c>
      <c r="Y3" s="43" t="s">
        <v>169</v>
      </c>
      <c r="AC3" s="4" t="s">
        <v>36</v>
      </c>
      <c r="AD3" s="43" t="s">
        <v>202</v>
      </c>
      <c r="AE3" s="43" t="s">
        <v>203</v>
      </c>
    </row>
    <row r="4" spans="1:31">
      <c r="A4" s="5" t="s">
        <v>750</v>
      </c>
      <c r="B4" s="3">
        <v>15.642967000000001</v>
      </c>
      <c r="C4" s="3"/>
      <c r="D4" s="5" t="s">
        <v>750</v>
      </c>
      <c r="E4" s="13"/>
      <c r="G4" s="5" t="s">
        <v>750</v>
      </c>
      <c r="H4" s="6"/>
      <c r="J4" s="5" t="s">
        <v>91</v>
      </c>
      <c r="K4" s="6">
        <v>11</v>
      </c>
      <c r="M4" s="5" t="s">
        <v>745</v>
      </c>
      <c r="N4" s="6">
        <v>7</v>
      </c>
      <c r="P4" s="5" t="s">
        <v>745</v>
      </c>
      <c r="Q4" s="26">
        <v>4.5280902777777783</v>
      </c>
      <c r="S4" s="5" t="s">
        <v>0</v>
      </c>
      <c r="T4" s="26">
        <v>0</v>
      </c>
      <c r="V4" s="5" t="s">
        <v>53</v>
      </c>
      <c r="W4" s="26">
        <v>2.2730671296296299</v>
      </c>
      <c r="X4" s="26">
        <v>0.42464120370370373</v>
      </c>
      <c r="Y4" s="26">
        <v>0</v>
      </c>
      <c r="AC4" s="5" t="s">
        <v>0</v>
      </c>
      <c r="AD4" s="26">
        <v>0</v>
      </c>
      <c r="AE4" s="26">
        <v>0</v>
      </c>
    </row>
    <row r="5" spans="1:31">
      <c r="A5" s="15" t="s">
        <v>105</v>
      </c>
      <c r="B5" s="3">
        <v>15.642967000000001</v>
      </c>
      <c r="C5" s="3"/>
      <c r="D5" s="15" t="s">
        <v>105</v>
      </c>
      <c r="E5" s="13">
        <v>0.27855324074074073</v>
      </c>
      <c r="G5" s="15" t="s">
        <v>105</v>
      </c>
      <c r="H5" s="6"/>
      <c r="J5" s="5" t="s">
        <v>744</v>
      </c>
      <c r="K5" s="6">
        <v>3</v>
      </c>
      <c r="M5" s="15" t="s">
        <v>744</v>
      </c>
      <c r="N5" s="6">
        <v>7</v>
      </c>
      <c r="P5" s="15" t="s">
        <v>744</v>
      </c>
      <c r="Q5" s="26">
        <v>4.5280902777777783</v>
      </c>
      <c r="S5" s="15" t="s">
        <v>744</v>
      </c>
      <c r="T5" s="26">
        <v>0</v>
      </c>
      <c r="V5" s="15" t="s">
        <v>82</v>
      </c>
      <c r="W5" s="26">
        <v>0.57793981481481482</v>
      </c>
      <c r="X5" s="26">
        <v>0.42464120370370373</v>
      </c>
      <c r="Y5" s="26">
        <v>0</v>
      </c>
      <c r="AC5" s="15" t="s">
        <v>744</v>
      </c>
      <c r="AD5" s="26">
        <v>0</v>
      </c>
      <c r="AE5" s="26">
        <v>0</v>
      </c>
    </row>
    <row r="6" spans="1:31">
      <c r="A6" s="5" t="s">
        <v>37</v>
      </c>
      <c r="B6" s="3">
        <v>15.642967000000001</v>
      </c>
      <c r="C6" s="3"/>
      <c r="D6" s="5" t="s">
        <v>37</v>
      </c>
      <c r="E6" s="13">
        <v>0.27855324074074073</v>
      </c>
      <c r="G6" s="5" t="s">
        <v>37</v>
      </c>
      <c r="H6" s="6"/>
      <c r="J6" s="5" t="s">
        <v>746</v>
      </c>
      <c r="K6" s="6">
        <v>3</v>
      </c>
      <c r="M6" s="5" t="s">
        <v>37</v>
      </c>
      <c r="N6" s="6">
        <v>7</v>
      </c>
      <c r="P6" s="5" t="s">
        <v>37</v>
      </c>
      <c r="Q6" s="26">
        <v>4.5280902777777783</v>
      </c>
      <c r="S6" s="5" t="s">
        <v>2125</v>
      </c>
      <c r="T6" s="26">
        <v>0.45901620370370372</v>
      </c>
      <c r="V6" s="15" t="s">
        <v>86</v>
      </c>
      <c r="W6" s="26">
        <v>1.6951273148148147</v>
      </c>
      <c r="X6" s="26">
        <v>8.0590277777777775E-2</v>
      </c>
      <c r="Y6" s="26">
        <v>0</v>
      </c>
      <c r="AC6" s="41"/>
      <c r="AD6" s="26">
        <v>0</v>
      </c>
      <c r="AE6" s="26">
        <v>0</v>
      </c>
    </row>
    <row r="7" spans="1:31">
      <c r="C7" s="3"/>
      <c r="J7" s="5" t="s">
        <v>747</v>
      </c>
      <c r="K7" s="6">
        <v>4</v>
      </c>
      <c r="Q7"/>
      <c r="S7" s="15" t="s">
        <v>744</v>
      </c>
      <c r="T7" s="26">
        <v>0.45901620370370372</v>
      </c>
      <c r="V7" s="5" t="s">
        <v>37</v>
      </c>
      <c r="W7" s="26">
        <v>2.2730671296296299</v>
      </c>
      <c r="X7" s="26">
        <v>0.42464120370370373</v>
      </c>
      <c r="Y7" s="26">
        <v>0</v>
      </c>
      <c r="AC7" s="5" t="s">
        <v>2125</v>
      </c>
      <c r="AD7" s="26">
        <v>0.25437500000000002</v>
      </c>
      <c r="AE7" s="26">
        <v>0.45901620370370372</v>
      </c>
    </row>
    <row r="8" spans="1:31">
      <c r="C8" s="3"/>
      <c r="J8" s="5" t="s">
        <v>727</v>
      </c>
      <c r="K8" s="6">
        <v>7</v>
      </c>
      <c r="Q8"/>
      <c r="S8" s="5" t="s">
        <v>37</v>
      </c>
      <c r="T8" s="26">
        <v>0.45901620370370372</v>
      </c>
      <c r="AC8" s="15" t="s">
        <v>744</v>
      </c>
      <c r="AD8" s="26">
        <v>0.25437500000000002</v>
      </c>
      <c r="AE8" s="26">
        <v>0.45901620370370372</v>
      </c>
    </row>
    <row r="9" spans="1:31">
      <c r="C9" s="3"/>
      <c r="J9" s="5" t="s">
        <v>748</v>
      </c>
      <c r="K9" s="6">
        <v>6</v>
      </c>
      <c r="Q9"/>
      <c r="AC9" s="41" t="s">
        <v>2126</v>
      </c>
      <c r="AD9" s="26">
        <v>0.25437500000000002</v>
      </c>
      <c r="AE9" s="26">
        <v>0.45901620370370372</v>
      </c>
    </row>
    <row r="10" spans="1:31">
      <c r="C10" s="3"/>
      <c r="J10" s="5" t="s">
        <v>750</v>
      </c>
      <c r="K10" s="6">
        <v>4</v>
      </c>
      <c r="Q10"/>
      <c r="AC10" s="5" t="s">
        <v>37</v>
      </c>
      <c r="AD10" s="26">
        <v>0.25437500000000002</v>
      </c>
      <c r="AE10" s="26">
        <v>0.45901620370370372</v>
      </c>
    </row>
    <row r="11" spans="1:31">
      <c r="C11" s="3"/>
      <c r="J11" s="5" t="s">
        <v>749</v>
      </c>
      <c r="K11" s="6">
        <v>3</v>
      </c>
      <c r="Q11"/>
    </row>
    <row r="12" spans="1:31">
      <c r="C12" s="3"/>
      <c r="J12" s="5" t="s">
        <v>37</v>
      </c>
      <c r="K12" s="6">
        <v>61</v>
      </c>
      <c r="Q12"/>
    </row>
    <row r="13" spans="1:31">
      <c r="C13" s="3"/>
      <c r="Q13"/>
    </row>
    <row r="14" spans="1:31">
      <c r="C14" s="3"/>
      <c r="Q14"/>
    </row>
    <row r="15" spans="1:31">
      <c r="C15" s="3"/>
      <c r="Q15"/>
    </row>
    <row r="16" spans="1:31">
      <c r="C16" s="3"/>
      <c r="Q16"/>
    </row>
    <row r="17" spans="3:17">
      <c r="C17" s="3"/>
      <c r="Q17"/>
    </row>
    <row r="18" spans="3:17">
      <c r="C18" s="3"/>
      <c r="Q18"/>
    </row>
    <row r="19" spans="3:17">
      <c r="C19" s="3"/>
      <c r="F19" s="1"/>
      <c r="Q19"/>
    </row>
    <row r="20" spans="3:17">
      <c r="C20" s="3"/>
      <c r="F20" s="1"/>
      <c r="Q20"/>
    </row>
    <row r="21" spans="3:17">
      <c r="C21" s="3"/>
      <c r="F21" s="1"/>
      <c r="Q21"/>
    </row>
    <row r="22" spans="3:17">
      <c r="C22" s="3"/>
      <c r="F22" s="13"/>
      <c r="Q22"/>
    </row>
    <row r="23" spans="3:17">
      <c r="C23" s="3"/>
      <c r="Q23"/>
    </row>
    <row r="24" spans="3:17">
      <c r="C24" s="3"/>
      <c r="Q24"/>
    </row>
    <row r="25" spans="3:17">
      <c r="C25" s="3"/>
      <c r="Q25"/>
    </row>
    <row r="26" spans="3:17">
      <c r="C26" s="3"/>
      <c r="Q26"/>
    </row>
    <row r="27" spans="3:17">
      <c r="C27" s="3"/>
      <c r="Q27"/>
    </row>
    <row r="28" spans="3:17">
      <c r="C28" s="3"/>
      <c r="Q28"/>
    </row>
    <row r="29" spans="3:17">
      <c r="C29" s="3"/>
      <c r="Q29"/>
    </row>
    <row r="30" spans="3:17">
      <c r="C30" s="3"/>
      <c r="Q30"/>
    </row>
    <row r="31" spans="3:17">
      <c r="Q31"/>
    </row>
    <row r="32" spans="3:17">
      <c r="Q32"/>
    </row>
    <row r="33" spans="17:17">
      <c r="Q33"/>
    </row>
    <row r="34" spans="17:17">
      <c r="Q34"/>
    </row>
    <row r="35" spans="17:17">
      <c r="Q35"/>
    </row>
    <row r="36" spans="17:17">
      <c r="Q36"/>
    </row>
    <row r="37" spans="17:17">
      <c r="Q37"/>
    </row>
    <row r="38" spans="17:17">
      <c r="Q38"/>
    </row>
    <row r="39" spans="17:17">
      <c r="Q39"/>
    </row>
    <row r="40" spans="17:17">
      <c r="Q40"/>
    </row>
    <row r="41" spans="17:17">
      <c r="Q41"/>
    </row>
    <row r="42" spans="17:17">
      <c r="Q42"/>
    </row>
    <row r="43" spans="17:17">
      <c r="Q43"/>
    </row>
    <row r="44" spans="17:17">
      <c r="Q44"/>
    </row>
    <row r="45" spans="17:17">
      <c r="Q45"/>
    </row>
    <row r="46" spans="17:17">
      <c r="Q46"/>
    </row>
    <row r="47" spans="17:17">
      <c r="Q47"/>
    </row>
    <row r="48" spans="17:17">
      <c r="Q48"/>
    </row>
    <row r="49" spans="17:17">
      <c r="Q49"/>
    </row>
    <row r="50" spans="17:17">
      <c r="Q50"/>
    </row>
    <row r="51" spans="17:17">
      <c r="Q51"/>
    </row>
    <row r="52" spans="17:17">
      <c r="Q52"/>
    </row>
    <row r="53" spans="17:17">
      <c r="Q53"/>
    </row>
    <row r="54" spans="17:17">
      <c r="Q54"/>
    </row>
    <row r="55" spans="17:17">
      <c r="Q55"/>
    </row>
    <row r="56" spans="17:17">
      <c r="Q56"/>
    </row>
    <row r="57" spans="17:17">
      <c r="Q57"/>
    </row>
    <row r="58" spans="17:17">
      <c r="Q58"/>
    </row>
    <row r="59" spans="17:17">
      <c r="Q59"/>
    </row>
    <row r="60" spans="17:17">
      <c r="Q60"/>
    </row>
    <row r="61" spans="17:17">
      <c r="Q61"/>
    </row>
    <row r="62" spans="17:17">
      <c r="Q62"/>
    </row>
    <row r="63" spans="17:17">
      <c r="Q63"/>
    </row>
    <row r="64" spans="17:17">
      <c r="Q64"/>
    </row>
    <row r="65" spans="17:17">
      <c r="Q65"/>
    </row>
    <row r="66" spans="17:17">
      <c r="Q66"/>
    </row>
    <row r="67" spans="17:17">
      <c r="Q67"/>
    </row>
    <row r="68" spans="17:17">
      <c r="Q68"/>
    </row>
    <row r="69" spans="17:17">
      <c r="Q69"/>
    </row>
    <row r="70" spans="17:17">
      <c r="Q70"/>
    </row>
    <row r="71" spans="17:17">
      <c r="Q71"/>
    </row>
    <row r="72" spans="17:17">
      <c r="Q72"/>
    </row>
    <row r="73" spans="17:17">
      <c r="Q73"/>
    </row>
    <row r="74" spans="17:17">
      <c r="Q74"/>
    </row>
    <row r="75" spans="17:17">
      <c r="Q75"/>
    </row>
    <row r="76" spans="17:17">
      <c r="Q76"/>
    </row>
    <row r="77" spans="17:17">
      <c r="Q77"/>
    </row>
    <row r="78" spans="17:17">
      <c r="Q78"/>
    </row>
    <row r="79" spans="17:17">
      <c r="Q79"/>
    </row>
    <row r="80" spans="17:17">
      <c r="Q80"/>
    </row>
    <row r="81" spans="17:17">
      <c r="Q81"/>
    </row>
    <row r="82" spans="17:17">
      <c r="Q82"/>
    </row>
    <row r="83" spans="17:17">
      <c r="Q83"/>
    </row>
    <row r="84" spans="17:17">
      <c r="Q84"/>
    </row>
    <row r="85" spans="17:17">
      <c r="Q85"/>
    </row>
    <row r="86" spans="17:17">
      <c r="Q86"/>
    </row>
    <row r="87" spans="17:17">
      <c r="Q87"/>
    </row>
    <row r="88" spans="17:17">
      <c r="Q88"/>
    </row>
    <row r="89" spans="17:17">
      <c r="Q89"/>
    </row>
  </sheetData>
  <pageMargins left="0.7" right="0.7" top="0.75" bottom="0.75" header="0.3" footer="0.3"/>
  <pageSetup paperSize="9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94"/>
  <sheetViews>
    <sheetView topLeftCell="A37" workbookViewId="0">
      <selection activeCell="I53" sqref="I53"/>
    </sheetView>
  </sheetViews>
  <sheetFormatPr baseColWidth="10" defaultRowHeight="14.4"/>
  <cols>
    <col min="2" max="2" width="19.109375" customWidth="1"/>
    <col min="3" max="3" width="17.5546875" customWidth="1"/>
  </cols>
  <sheetData>
    <row r="1" spans="2:9">
      <c r="B1" t="s">
        <v>164</v>
      </c>
      <c r="C1" s="42">
        <v>42394.236851851849</v>
      </c>
      <c r="D1" t="s">
        <v>197</v>
      </c>
      <c r="E1" t="s">
        <v>40</v>
      </c>
      <c r="F1" s="42">
        <v>42394.279456018521</v>
      </c>
      <c r="G1" t="s">
        <v>42</v>
      </c>
      <c r="H1">
        <v>22.341000000000001</v>
      </c>
      <c r="I1" t="s">
        <v>252</v>
      </c>
    </row>
    <row r="2" spans="2:9">
      <c r="B2" t="s">
        <v>164</v>
      </c>
      <c r="C2" s="42">
        <v>42394.290949074071</v>
      </c>
      <c r="D2" t="s">
        <v>42</v>
      </c>
      <c r="E2" t="s">
        <v>40</v>
      </c>
      <c r="F2" s="42">
        <v>42394.297488425924</v>
      </c>
      <c r="G2" t="s">
        <v>42</v>
      </c>
      <c r="H2">
        <v>0.191</v>
      </c>
      <c r="I2" t="s">
        <v>253</v>
      </c>
    </row>
    <row r="3" spans="2:9">
      <c r="B3" t="s">
        <v>164</v>
      </c>
      <c r="C3" s="42">
        <v>42394.307719907411</v>
      </c>
      <c r="D3" t="s">
        <v>42</v>
      </c>
      <c r="E3" t="s">
        <v>40</v>
      </c>
      <c r="F3" s="42">
        <v>42394.308171296296</v>
      </c>
      <c r="G3" t="s">
        <v>42</v>
      </c>
      <c r="H3">
        <v>0</v>
      </c>
      <c r="I3" t="s">
        <v>254</v>
      </c>
    </row>
    <row r="4" spans="2:9">
      <c r="B4" t="s">
        <v>164</v>
      </c>
      <c r="C4" s="42">
        <v>42394.53020833333</v>
      </c>
      <c r="D4" t="s">
        <v>42</v>
      </c>
      <c r="E4" t="s">
        <v>40</v>
      </c>
      <c r="F4" s="42">
        <v>42394.612835648149</v>
      </c>
      <c r="G4" t="s">
        <v>42</v>
      </c>
      <c r="H4">
        <v>45.789000000000001</v>
      </c>
      <c r="I4" t="s">
        <v>255</v>
      </c>
    </row>
    <row r="5" spans="2:9">
      <c r="B5" t="s">
        <v>164</v>
      </c>
      <c r="C5" s="42">
        <v>42394.627118055556</v>
      </c>
      <c r="D5" t="s">
        <v>42</v>
      </c>
      <c r="E5" t="s">
        <v>40</v>
      </c>
      <c r="F5" s="42">
        <v>42394.735023148147</v>
      </c>
      <c r="G5" t="s">
        <v>42</v>
      </c>
      <c r="H5">
        <v>46.156999999999996</v>
      </c>
      <c r="I5" t="s">
        <v>256</v>
      </c>
    </row>
    <row r="6" spans="2:9">
      <c r="B6" t="s">
        <v>164</v>
      </c>
      <c r="C6" s="42">
        <v>42395.28528935185</v>
      </c>
      <c r="D6" t="s">
        <v>42</v>
      </c>
      <c r="E6" t="s">
        <v>97</v>
      </c>
      <c r="F6" s="42">
        <v>42395.29047453704</v>
      </c>
      <c r="G6" t="s">
        <v>42</v>
      </c>
      <c r="H6">
        <v>0</v>
      </c>
      <c r="I6" t="s">
        <v>257</v>
      </c>
    </row>
    <row r="7" spans="2:9">
      <c r="B7" t="s">
        <v>164</v>
      </c>
      <c r="C7" s="42">
        <v>42395.31417824074</v>
      </c>
      <c r="D7" t="s">
        <v>42</v>
      </c>
      <c r="E7" t="s">
        <v>97</v>
      </c>
      <c r="F7" s="42">
        <v>42395.316782407404</v>
      </c>
      <c r="G7" t="s">
        <v>42</v>
      </c>
      <c r="H7">
        <v>0.35399999999999998</v>
      </c>
      <c r="I7" t="s">
        <v>180</v>
      </c>
    </row>
    <row r="8" spans="2:9">
      <c r="B8" t="s">
        <v>164</v>
      </c>
      <c r="C8" s="42">
        <v>42395.323645833334</v>
      </c>
      <c r="D8" t="s">
        <v>42</v>
      </c>
      <c r="E8" t="s">
        <v>97</v>
      </c>
      <c r="F8" s="42">
        <v>42395.325972222221</v>
      </c>
      <c r="G8" t="s">
        <v>42</v>
      </c>
      <c r="H8">
        <v>2.5000000000000001E-2</v>
      </c>
      <c r="I8" t="s">
        <v>232</v>
      </c>
    </row>
    <row r="9" spans="2:9">
      <c r="B9" t="s">
        <v>164</v>
      </c>
      <c r="C9" s="42">
        <v>42395.381307870368</v>
      </c>
      <c r="D9" t="s">
        <v>42</v>
      </c>
      <c r="E9" t="s">
        <v>97</v>
      </c>
      <c r="F9" s="42">
        <v>42395.384560185186</v>
      </c>
      <c r="G9" t="s">
        <v>42</v>
      </c>
      <c r="H9">
        <v>0.01</v>
      </c>
      <c r="I9" t="s">
        <v>191</v>
      </c>
    </row>
    <row r="10" spans="2:9">
      <c r="B10" t="s">
        <v>164</v>
      </c>
      <c r="C10" s="42">
        <v>42395.385289351849</v>
      </c>
      <c r="D10" t="s">
        <v>42</v>
      </c>
      <c r="E10" t="s">
        <v>97</v>
      </c>
      <c r="F10" s="42">
        <v>42395.397673611114</v>
      </c>
      <c r="G10" t="s">
        <v>42</v>
      </c>
      <c r="H10">
        <v>0.42899999999999999</v>
      </c>
      <c r="I10" t="s">
        <v>258</v>
      </c>
    </row>
    <row r="11" spans="2:9">
      <c r="B11" t="s">
        <v>164</v>
      </c>
      <c r="C11" s="42">
        <v>42395.400983796295</v>
      </c>
      <c r="D11" t="s">
        <v>42</v>
      </c>
      <c r="E11" t="s">
        <v>97</v>
      </c>
      <c r="F11" s="42">
        <v>42395.522361111114</v>
      </c>
      <c r="G11" t="s">
        <v>260</v>
      </c>
      <c r="H11">
        <v>30.347000000000001</v>
      </c>
      <c r="I11" t="s">
        <v>259</v>
      </c>
    </row>
    <row r="12" spans="2:9">
      <c r="B12" t="s">
        <v>164</v>
      </c>
      <c r="C12" s="42">
        <v>42395.524027777778</v>
      </c>
      <c r="D12" t="s">
        <v>260</v>
      </c>
      <c r="E12" t="s">
        <v>97</v>
      </c>
      <c r="F12" s="42">
        <v>42395.686574074076</v>
      </c>
      <c r="G12" t="s">
        <v>42</v>
      </c>
      <c r="H12">
        <v>38.497</v>
      </c>
      <c r="I12" t="s">
        <v>261</v>
      </c>
    </row>
    <row r="13" spans="2:9">
      <c r="B13" t="s">
        <v>164</v>
      </c>
      <c r="C13" s="42">
        <v>42396.286192129628</v>
      </c>
      <c r="D13" t="s">
        <v>42</v>
      </c>
      <c r="E13" t="s">
        <v>98</v>
      </c>
      <c r="F13" s="42">
        <v>42396.292187500003</v>
      </c>
      <c r="G13" t="s">
        <v>42</v>
      </c>
      <c r="H13">
        <v>7.0999999999999994E-2</v>
      </c>
      <c r="I13" t="s">
        <v>262</v>
      </c>
    </row>
    <row r="14" spans="2:9">
      <c r="B14" t="s">
        <v>164</v>
      </c>
      <c r="C14" s="42">
        <v>42396.298888888887</v>
      </c>
      <c r="D14" t="s">
        <v>42</v>
      </c>
      <c r="E14" t="s">
        <v>98</v>
      </c>
      <c r="F14" s="42">
        <v>42396.51421296296</v>
      </c>
      <c r="G14" t="s">
        <v>61</v>
      </c>
      <c r="H14">
        <v>75.006</v>
      </c>
      <c r="I14" t="s">
        <v>263</v>
      </c>
    </row>
    <row r="15" spans="2:9">
      <c r="B15" t="s">
        <v>164</v>
      </c>
      <c r="C15" s="42">
        <v>42396.546770833331</v>
      </c>
      <c r="D15" t="s">
        <v>61</v>
      </c>
      <c r="E15" t="s">
        <v>98</v>
      </c>
      <c r="F15" s="42">
        <v>42396.586342592593</v>
      </c>
      <c r="G15" t="s">
        <v>61</v>
      </c>
      <c r="H15">
        <v>1E-3</v>
      </c>
      <c r="I15" t="s">
        <v>264</v>
      </c>
    </row>
    <row r="16" spans="2:9">
      <c r="B16" t="s">
        <v>164</v>
      </c>
      <c r="C16" s="42">
        <v>42396.613067129627</v>
      </c>
      <c r="D16" t="s">
        <v>61</v>
      </c>
      <c r="E16" t="s">
        <v>98</v>
      </c>
      <c r="F16" s="42">
        <v>42396.621805555558</v>
      </c>
      <c r="G16" t="s">
        <v>61</v>
      </c>
      <c r="H16">
        <v>0.108</v>
      </c>
      <c r="I16" t="s">
        <v>265</v>
      </c>
    </row>
    <row r="17" spans="2:9">
      <c r="B17" t="s">
        <v>164</v>
      </c>
      <c r="C17" s="42">
        <v>42396.629699074074</v>
      </c>
      <c r="D17" t="s">
        <v>61</v>
      </c>
      <c r="E17" t="s">
        <v>98</v>
      </c>
      <c r="F17" s="42">
        <v>42396.709050925929</v>
      </c>
      <c r="G17" t="s">
        <v>42</v>
      </c>
      <c r="H17">
        <v>28.186</v>
      </c>
      <c r="I17" t="s">
        <v>266</v>
      </c>
    </row>
    <row r="18" spans="2:9">
      <c r="B18" t="s">
        <v>164</v>
      </c>
      <c r="C18" s="42">
        <v>42397.284375000003</v>
      </c>
      <c r="D18" t="s">
        <v>42</v>
      </c>
      <c r="E18" t="s">
        <v>99</v>
      </c>
      <c r="F18" s="42">
        <v>42397.295694444445</v>
      </c>
      <c r="G18" t="s">
        <v>42</v>
      </c>
      <c r="H18">
        <v>0.113</v>
      </c>
      <c r="I18" t="s">
        <v>219</v>
      </c>
    </row>
    <row r="19" spans="2:9">
      <c r="B19" t="s">
        <v>164</v>
      </c>
      <c r="C19" s="42">
        <v>42397.30064814815</v>
      </c>
      <c r="D19" t="s">
        <v>42</v>
      </c>
      <c r="E19" t="s">
        <v>99</v>
      </c>
      <c r="F19" s="42">
        <v>42397.533900462964</v>
      </c>
      <c r="G19" t="s">
        <v>42</v>
      </c>
      <c r="H19">
        <v>99.837999999999994</v>
      </c>
      <c r="I19" t="s">
        <v>267</v>
      </c>
    </row>
    <row r="20" spans="2:9">
      <c r="B20" t="s">
        <v>164</v>
      </c>
      <c r="C20" s="42">
        <v>42397.564618055556</v>
      </c>
      <c r="D20" t="s">
        <v>42</v>
      </c>
      <c r="E20" t="s">
        <v>99</v>
      </c>
      <c r="F20" s="42">
        <v>42397.742708333331</v>
      </c>
      <c r="G20" t="s">
        <v>197</v>
      </c>
      <c r="H20">
        <v>69.602000000000004</v>
      </c>
      <c r="I20" t="s">
        <v>268</v>
      </c>
    </row>
    <row r="21" spans="2:9">
      <c r="B21" t="s">
        <v>164</v>
      </c>
      <c r="C21" s="42">
        <v>42398.238761574074</v>
      </c>
      <c r="D21" t="s">
        <v>197</v>
      </c>
      <c r="E21" t="s">
        <v>106</v>
      </c>
      <c r="F21" s="42">
        <v>42398.28765046296</v>
      </c>
      <c r="G21" t="s">
        <v>42</v>
      </c>
      <c r="H21">
        <v>22.481000000000002</v>
      </c>
      <c r="I21" t="s">
        <v>269</v>
      </c>
    </row>
    <row r="22" spans="2:9">
      <c r="B22" t="s">
        <v>164</v>
      </c>
      <c r="C22" s="42">
        <v>42398.299490740741</v>
      </c>
      <c r="D22" t="s">
        <v>42</v>
      </c>
      <c r="E22" t="s">
        <v>106</v>
      </c>
      <c r="F22" s="42">
        <v>42398.300752314812</v>
      </c>
      <c r="G22" t="s">
        <v>42</v>
      </c>
      <c r="H22">
        <v>0.09</v>
      </c>
      <c r="I22" t="s">
        <v>270</v>
      </c>
    </row>
    <row r="23" spans="2:9">
      <c r="B23" t="s">
        <v>164</v>
      </c>
      <c r="C23" s="42">
        <v>42398.306562500002</v>
      </c>
      <c r="D23" t="s">
        <v>42</v>
      </c>
      <c r="E23" t="s">
        <v>106</v>
      </c>
      <c r="F23" s="42">
        <v>42398.701643518521</v>
      </c>
      <c r="G23" t="s">
        <v>42</v>
      </c>
      <c r="H23">
        <v>137.352</v>
      </c>
      <c r="I23" t="s">
        <v>271</v>
      </c>
    </row>
    <row r="24" spans="2:9">
      <c r="B24" t="s">
        <v>162</v>
      </c>
      <c r="C24" s="42">
        <v>42394.24082175926</v>
      </c>
      <c r="E24" t="s">
        <v>40</v>
      </c>
      <c r="F24" s="42">
        <v>42394.254108796296</v>
      </c>
      <c r="G24" t="s">
        <v>48</v>
      </c>
      <c r="H24">
        <v>9.7569999999999997</v>
      </c>
      <c r="I24" t="s">
        <v>272</v>
      </c>
    </row>
    <row r="25" spans="2:9">
      <c r="B25" t="s">
        <v>162</v>
      </c>
      <c r="C25" s="42">
        <v>42394.26122685185</v>
      </c>
      <c r="D25" t="s">
        <v>48</v>
      </c>
      <c r="E25" t="s">
        <v>40</v>
      </c>
      <c r="F25" s="42">
        <v>42394.272511574076</v>
      </c>
      <c r="G25" t="s">
        <v>273</v>
      </c>
      <c r="H25">
        <v>11.608000000000001</v>
      </c>
      <c r="I25" t="s">
        <v>131</v>
      </c>
    </row>
    <row r="26" spans="2:9">
      <c r="B26" t="s">
        <v>162</v>
      </c>
      <c r="C26" s="42">
        <v>42394.275277777779</v>
      </c>
      <c r="D26" t="s">
        <v>273</v>
      </c>
      <c r="E26" t="s">
        <v>40</v>
      </c>
      <c r="F26" s="42">
        <v>42394.277025462965</v>
      </c>
      <c r="G26" t="s">
        <v>42</v>
      </c>
      <c r="H26">
        <v>0.99299999999999999</v>
      </c>
      <c r="I26" t="s">
        <v>274</v>
      </c>
    </row>
    <row r="27" spans="2:9">
      <c r="B27" t="s">
        <v>162</v>
      </c>
      <c r="C27" s="42">
        <v>42394.292592592596</v>
      </c>
      <c r="D27" t="s">
        <v>42</v>
      </c>
      <c r="E27" t="s">
        <v>40</v>
      </c>
      <c r="F27" s="42">
        <v>42394.391053240739</v>
      </c>
      <c r="G27" t="s">
        <v>42</v>
      </c>
      <c r="H27">
        <v>46.124000000000002</v>
      </c>
      <c r="I27" t="s">
        <v>275</v>
      </c>
    </row>
    <row r="28" spans="2:9">
      <c r="B28" t="s">
        <v>162</v>
      </c>
      <c r="C28" s="42">
        <v>42394.394108796296</v>
      </c>
      <c r="D28" t="s">
        <v>42</v>
      </c>
      <c r="E28" t="s">
        <v>40</v>
      </c>
      <c r="F28" s="42">
        <v>42394.484652777777</v>
      </c>
      <c r="G28" t="s">
        <v>42</v>
      </c>
      <c r="H28">
        <v>46.274999999999999</v>
      </c>
      <c r="I28" t="s">
        <v>276</v>
      </c>
    </row>
    <row r="29" spans="2:9">
      <c r="B29" t="s">
        <v>162</v>
      </c>
      <c r="C29" s="42">
        <v>42394.487534722219</v>
      </c>
      <c r="D29" t="s">
        <v>42</v>
      </c>
      <c r="E29" t="s">
        <v>40</v>
      </c>
      <c r="F29" s="42">
        <v>42394.500532407408</v>
      </c>
      <c r="G29" t="s">
        <v>42</v>
      </c>
      <c r="H29">
        <v>1.071</v>
      </c>
      <c r="I29" t="s">
        <v>277</v>
      </c>
    </row>
    <row r="30" spans="2:9">
      <c r="B30" t="s">
        <v>162</v>
      </c>
      <c r="C30" s="42">
        <v>42394.513506944444</v>
      </c>
      <c r="D30" t="s">
        <v>42</v>
      </c>
      <c r="E30" t="s">
        <v>40</v>
      </c>
      <c r="F30" s="42">
        <v>42394.626666666663</v>
      </c>
      <c r="G30" t="s">
        <v>42</v>
      </c>
      <c r="H30">
        <v>53.131</v>
      </c>
      <c r="I30" t="s">
        <v>278</v>
      </c>
    </row>
    <row r="31" spans="2:9">
      <c r="B31" t="s">
        <v>162</v>
      </c>
      <c r="C31" s="42">
        <v>42394.631030092591</v>
      </c>
      <c r="D31" t="s">
        <v>42</v>
      </c>
      <c r="E31" t="s">
        <v>40</v>
      </c>
      <c r="F31" s="42">
        <v>42394.641608796293</v>
      </c>
      <c r="G31" t="s">
        <v>42</v>
      </c>
      <c r="H31">
        <v>0.79100000000000004</v>
      </c>
      <c r="I31" t="s">
        <v>279</v>
      </c>
    </row>
    <row r="32" spans="2:9">
      <c r="B32" t="s">
        <v>162</v>
      </c>
      <c r="C32" s="42">
        <v>42394.644872685189</v>
      </c>
      <c r="D32" t="s">
        <v>42</v>
      </c>
      <c r="E32" t="s">
        <v>40</v>
      </c>
      <c r="F32" s="42">
        <v>42394.650173611109</v>
      </c>
      <c r="G32" t="s">
        <v>42</v>
      </c>
      <c r="H32">
        <v>0.55900000000000005</v>
      </c>
      <c r="I32" t="s">
        <v>132</v>
      </c>
    </row>
    <row r="33" spans="2:9">
      <c r="B33" t="s">
        <v>162</v>
      </c>
      <c r="C33" s="42">
        <v>42394.65457175926</v>
      </c>
      <c r="D33" t="s">
        <v>42</v>
      </c>
      <c r="E33" t="s">
        <v>40</v>
      </c>
      <c r="F33" s="42">
        <v>42394.738287037035</v>
      </c>
      <c r="G33" t="s">
        <v>42</v>
      </c>
      <c r="H33">
        <v>44.594000000000001</v>
      </c>
      <c r="I33" t="s">
        <v>280</v>
      </c>
    </row>
    <row r="34" spans="2:9">
      <c r="B34" t="s">
        <v>162</v>
      </c>
      <c r="C34" s="42">
        <v>42395.286539351851</v>
      </c>
      <c r="E34" t="s">
        <v>97</v>
      </c>
      <c r="F34" s="42">
        <v>42395.292048611111</v>
      </c>
      <c r="G34" t="s">
        <v>42</v>
      </c>
      <c r="H34">
        <v>0</v>
      </c>
      <c r="I34" t="s">
        <v>209</v>
      </c>
    </row>
    <row r="35" spans="2:9">
      <c r="B35" t="s">
        <v>162</v>
      </c>
      <c r="C35" s="42">
        <v>42395.318622685183</v>
      </c>
      <c r="D35" t="s">
        <v>42</v>
      </c>
      <c r="E35" t="s">
        <v>97</v>
      </c>
      <c r="F35" s="42">
        <v>42395.390775462962</v>
      </c>
      <c r="G35" t="s">
        <v>42</v>
      </c>
      <c r="H35">
        <v>42.838000000000001</v>
      </c>
      <c r="I35" t="s">
        <v>150</v>
      </c>
    </row>
    <row r="36" spans="2:9">
      <c r="B36" t="s">
        <v>162</v>
      </c>
      <c r="C36" s="42">
        <v>42395.397962962961</v>
      </c>
      <c r="D36" t="s">
        <v>42</v>
      </c>
      <c r="E36" t="s">
        <v>97</v>
      </c>
      <c r="F36" s="42">
        <v>42395.489236111112</v>
      </c>
      <c r="G36" t="s">
        <v>42</v>
      </c>
      <c r="H36">
        <v>45.497999999999998</v>
      </c>
      <c r="I36" t="s">
        <v>281</v>
      </c>
    </row>
    <row r="37" spans="2:9">
      <c r="B37" t="s">
        <v>162</v>
      </c>
      <c r="C37" s="42">
        <v>42395.501851851855</v>
      </c>
      <c r="D37" t="s">
        <v>42</v>
      </c>
      <c r="E37" t="s">
        <v>97</v>
      </c>
      <c r="F37" s="42">
        <v>42395.518553240741</v>
      </c>
      <c r="G37" t="s">
        <v>42</v>
      </c>
      <c r="H37">
        <v>1.01</v>
      </c>
      <c r="I37" t="s">
        <v>282</v>
      </c>
    </row>
    <row r="38" spans="2:9">
      <c r="B38" t="s">
        <v>162</v>
      </c>
      <c r="C38" s="42">
        <v>42395.544618055559</v>
      </c>
      <c r="D38" t="s">
        <v>42</v>
      </c>
      <c r="E38" t="s">
        <v>97</v>
      </c>
      <c r="F38" s="42">
        <v>42395.580208333333</v>
      </c>
      <c r="G38" t="s">
        <v>284</v>
      </c>
      <c r="H38">
        <v>22.510999999999999</v>
      </c>
      <c r="I38" t="s">
        <v>283</v>
      </c>
    </row>
    <row r="39" spans="2:9">
      <c r="B39" t="s">
        <v>162</v>
      </c>
      <c r="C39" s="42">
        <v>42395.581238425926</v>
      </c>
      <c r="D39" t="s">
        <v>284</v>
      </c>
      <c r="E39" t="s">
        <v>97</v>
      </c>
      <c r="F39" s="42">
        <v>42395.609849537039</v>
      </c>
      <c r="G39" t="s">
        <v>42</v>
      </c>
      <c r="H39">
        <v>22.472999999999999</v>
      </c>
      <c r="I39" t="s">
        <v>285</v>
      </c>
    </row>
    <row r="40" spans="2:9">
      <c r="B40" t="s">
        <v>162</v>
      </c>
      <c r="C40" s="42">
        <v>42395.613958333335</v>
      </c>
      <c r="D40" t="s">
        <v>42</v>
      </c>
      <c r="E40" t="s">
        <v>97</v>
      </c>
      <c r="F40" s="42">
        <v>42395.62358796296</v>
      </c>
      <c r="G40" t="s">
        <v>42</v>
      </c>
      <c r="H40">
        <v>0.79700000000000004</v>
      </c>
      <c r="I40" t="s">
        <v>286</v>
      </c>
    </row>
    <row r="41" spans="2:9">
      <c r="B41" t="s">
        <v>162</v>
      </c>
      <c r="C41" s="42">
        <v>42395.627476851849</v>
      </c>
      <c r="D41" t="s">
        <v>42</v>
      </c>
      <c r="E41" t="s">
        <v>97</v>
      </c>
      <c r="F41" s="42">
        <v>42395.730914351851</v>
      </c>
      <c r="G41" t="s">
        <v>42</v>
      </c>
      <c r="H41">
        <v>47.451999999999998</v>
      </c>
      <c r="I41" t="s">
        <v>287</v>
      </c>
    </row>
    <row r="42" spans="2:9">
      <c r="B42" t="s">
        <v>162</v>
      </c>
      <c r="C42" s="42">
        <v>42396.286574074074</v>
      </c>
      <c r="D42" t="s">
        <v>42</v>
      </c>
      <c r="E42" t="s">
        <v>98</v>
      </c>
      <c r="F42" s="42">
        <v>42396.497245370374</v>
      </c>
      <c r="G42" t="s">
        <v>197</v>
      </c>
      <c r="H42">
        <v>99.42</v>
      </c>
      <c r="I42" t="s">
        <v>288</v>
      </c>
    </row>
    <row r="43" spans="2:9">
      <c r="B43" t="s">
        <v>162</v>
      </c>
      <c r="C43" s="42">
        <v>42396.504918981482</v>
      </c>
      <c r="D43" t="s">
        <v>197</v>
      </c>
      <c r="E43" t="s">
        <v>98</v>
      </c>
      <c r="F43" s="42">
        <v>42396.566481481481</v>
      </c>
      <c r="G43" t="s">
        <v>42</v>
      </c>
      <c r="H43">
        <v>31.488</v>
      </c>
      <c r="I43" t="s">
        <v>289</v>
      </c>
    </row>
    <row r="44" spans="2:9">
      <c r="B44" t="s">
        <v>162</v>
      </c>
      <c r="C44" s="42">
        <v>42396.600763888891</v>
      </c>
      <c r="D44" t="s">
        <v>42</v>
      </c>
      <c r="E44" t="s">
        <v>98</v>
      </c>
      <c r="F44" s="42">
        <v>42396.744351851848</v>
      </c>
      <c r="G44" t="s">
        <v>197</v>
      </c>
      <c r="H44">
        <v>53.881</v>
      </c>
      <c r="I44" t="s">
        <v>290</v>
      </c>
    </row>
    <row r="45" spans="2:9">
      <c r="B45" t="s">
        <v>162</v>
      </c>
      <c r="C45" s="42">
        <v>42397.268287037034</v>
      </c>
      <c r="E45" t="s">
        <v>99</v>
      </c>
      <c r="F45" s="42">
        <v>42397.306446759256</v>
      </c>
      <c r="G45" t="s">
        <v>42</v>
      </c>
      <c r="H45">
        <v>22.59</v>
      </c>
      <c r="I45" t="s">
        <v>291</v>
      </c>
    </row>
    <row r="46" spans="2:9">
      <c r="B46" t="s">
        <v>162</v>
      </c>
      <c r="C46" s="42">
        <v>42397.310717592591</v>
      </c>
      <c r="D46" t="s">
        <v>42</v>
      </c>
      <c r="E46" t="s">
        <v>99</v>
      </c>
      <c r="F46" s="42">
        <v>42397.512928240743</v>
      </c>
      <c r="G46" t="s">
        <v>42</v>
      </c>
      <c r="H46">
        <v>90.492999999999995</v>
      </c>
      <c r="I46" t="s">
        <v>292</v>
      </c>
    </row>
    <row r="47" spans="2:9">
      <c r="B47" t="s">
        <v>162</v>
      </c>
      <c r="C47" s="42">
        <v>42397.519930555558</v>
      </c>
      <c r="D47" t="s">
        <v>42</v>
      </c>
      <c r="E47" t="s">
        <v>99</v>
      </c>
      <c r="F47" s="42">
        <v>42397.668020833335</v>
      </c>
      <c r="G47" t="s">
        <v>42</v>
      </c>
      <c r="H47">
        <v>61.744999999999997</v>
      </c>
      <c r="I47" t="s">
        <v>293</v>
      </c>
    </row>
    <row r="48" spans="2:9">
      <c r="B48" t="s">
        <v>162</v>
      </c>
      <c r="C48" s="42">
        <v>42397.670115740744</v>
      </c>
      <c r="D48" t="s">
        <v>42</v>
      </c>
      <c r="E48" t="s">
        <v>99</v>
      </c>
      <c r="F48" s="42">
        <v>42397.730752314812</v>
      </c>
      <c r="G48" t="s">
        <v>42</v>
      </c>
      <c r="H48">
        <v>30.693000000000001</v>
      </c>
      <c r="I48" t="s">
        <v>294</v>
      </c>
    </row>
    <row r="49" spans="2:9">
      <c r="B49" t="s">
        <v>162</v>
      </c>
      <c r="C49" s="42">
        <v>42397.73574074074</v>
      </c>
      <c r="D49" t="s">
        <v>42</v>
      </c>
      <c r="E49" t="s">
        <v>99</v>
      </c>
      <c r="F49" s="42">
        <v>42397.740208333336</v>
      </c>
      <c r="G49" t="s">
        <v>42</v>
      </c>
      <c r="H49">
        <v>0.53200000000000003</v>
      </c>
      <c r="I49" t="s">
        <v>159</v>
      </c>
    </row>
    <row r="50" spans="2:9">
      <c r="B50" t="s">
        <v>162</v>
      </c>
      <c r="C50" s="42">
        <v>42398.277881944443</v>
      </c>
      <c r="E50" t="s">
        <v>106</v>
      </c>
      <c r="F50" s="42">
        <v>42398.357523148145</v>
      </c>
      <c r="G50" t="s">
        <v>42</v>
      </c>
      <c r="H50">
        <v>30.17</v>
      </c>
      <c r="I50" t="s">
        <v>295</v>
      </c>
    </row>
    <row r="51" spans="2:9">
      <c r="B51" t="s">
        <v>162</v>
      </c>
      <c r="C51" s="42">
        <v>42398.36</v>
      </c>
      <c r="D51" t="s">
        <v>42</v>
      </c>
      <c r="E51" t="s">
        <v>106</v>
      </c>
      <c r="F51" s="42">
        <v>42398.434791666667</v>
      </c>
      <c r="G51" t="s">
        <v>42</v>
      </c>
      <c r="H51">
        <v>45.648000000000003</v>
      </c>
      <c r="I51" t="s">
        <v>296</v>
      </c>
    </row>
    <row r="52" spans="2:9">
      <c r="B52" t="s">
        <v>162</v>
      </c>
      <c r="C52" s="42">
        <v>42398.45685185185</v>
      </c>
      <c r="D52" t="s">
        <v>42</v>
      </c>
      <c r="E52" t="s">
        <v>106</v>
      </c>
      <c r="F52" s="42">
        <v>42398.545312499999</v>
      </c>
      <c r="G52" t="s">
        <v>42</v>
      </c>
      <c r="H52">
        <v>44.805999999999997</v>
      </c>
      <c r="I52" t="s">
        <v>297</v>
      </c>
    </row>
    <row r="53" spans="2:9">
      <c r="B53" t="s">
        <v>162</v>
      </c>
      <c r="C53" s="42">
        <v>42398.564710648148</v>
      </c>
      <c r="D53" t="s">
        <v>42</v>
      </c>
      <c r="E53" t="s">
        <v>106</v>
      </c>
      <c r="F53" s="42">
        <v>42398.676203703704</v>
      </c>
      <c r="G53" t="s">
        <v>42</v>
      </c>
      <c r="H53">
        <v>45.094999999999999</v>
      </c>
      <c r="I53" t="s">
        <v>298</v>
      </c>
    </row>
    <row r="54" spans="2:9">
      <c r="B54" t="s">
        <v>162</v>
      </c>
      <c r="C54" s="42">
        <v>42398.681747685187</v>
      </c>
      <c r="D54" t="s">
        <v>42</v>
      </c>
      <c r="E54" t="s">
        <v>106</v>
      </c>
      <c r="F54" s="42">
        <v>42398.68959490741</v>
      </c>
      <c r="G54" t="s">
        <v>42</v>
      </c>
      <c r="H54">
        <v>0.79100000000000004</v>
      </c>
      <c r="I54" t="s">
        <v>299</v>
      </c>
    </row>
    <row r="55" spans="2:9">
      <c r="B55" t="s">
        <v>249</v>
      </c>
      <c r="C55" s="42">
        <v>42398.423032407409</v>
      </c>
      <c r="E55" t="s">
        <v>106</v>
      </c>
      <c r="F55" s="42">
        <v>42398.423252314817</v>
      </c>
      <c r="G55" t="s">
        <v>55</v>
      </c>
      <c r="H55">
        <v>1E-3</v>
      </c>
      <c r="I55" t="s">
        <v>41</v>
      </c>
    </row>
    <row r="56" spans="2:9">
      <c r="B56" t="s">
        <v>249</v>
      </c>
      <c r="C56" s="42">
        <v>42398.429502314815</v>
      </c>
      <c r="D56" t="s">
        <v>55</v>
      </c>
      <c r="E56" t="s">
        <v>106</v>
      </c>
      <c r="F56" s="42">
        <v>42398.431886574072</v>
      </c>
      <c r="G56" t="s">
        <v>55</v>
      </c>
      <c r="H56">
        <v>1E-3</v>
      </c>
      <c r="I56" t="s">
        <v>136</v>
      </c>
    </row>
    <row r="57" spans="2:9">
      <c r="B57" t="s">
        <v>248</v>
      </c>
      <c r="C57" s="42">
        <v>42398.557905092595</v>
      </c>
      <c r="D57" t="s">
        <v>55</v>
      </c>
      <c r="E57" t="s">
        <v>106</v>
      </c>
      <c r="F57" s="42">
        <v>42398.558576388888</v>
      </c>
      <c r="G57" t="s">
        <v>55</v>
      </c>
      <c r="H57">
        <v>2E-3</v>
      </c>
      <c r="I57" t="s">
        <v>300</v>
      </c>
    </row>
    <row r="58" spans="2:9">
      <c r="B58" t="s">
        <v>248</v>
      </c>
      <c r="C58" s="42">
        <v>42398.578125</v>
      </c>
      <c r="D58" t="s">
        <v>55</v>
      </c>
      <c r="E58" t="s">
        <v>106</v>
      </c>
      <c r="F58" s="42">
        <v>42398.65320601852</v>
      </c>
      <c r="G58" t="s">
        <v>56</v>
      </c>
      <c r="H58">
        <v>36.085000000000001</v>
      </c>
      <c r="I58" t="s">
        <v>301</v>
      </c>
    </row>
    <row r="59" spans="2:9">
      <c r="B59" t="s">
        <v>248</v>
      </c>
      <c r="C59" s="42">
        <v>42398.653715277775</v>
      </c>
      <c r="D59" t="s">
        <v>56</v>
      </c>
      <c r="E59" t="s">
        <v>106</v>
      </c>
      <c r="F59" s="42">
        <v>42398.734259259261</v>
      </c>
      <c r="G59" t="s">
        <v>56</v>
      </c>
      <c r="H59">
        <v>11.295999999999999</v>
      </c>
      <c r="I59" t="s">
        <v>302</v>
      </c>
    </row>
    <row r="60" spans="2:9">
      <c r="B60" t="s">
        <v>248</v>
      </c>
      <c r="C60" s="42">
        <v>42399.220231481479</v>
      </c>
      <c r="D60" t="s">
        <v>56</v>
      </c>
      <c r="E60" t="s">
        <v>105</v>
      </c>
      <c r="F60" s="42">
        <v>42399.24</v>
      </c>
      <c r="G60" t="s">
        <v>304</v>
      </c>
      <c r="H60">
        <v>19.632000000000001</v>
      </c>
      <c r="I60" t="s">
        <v>303</v>
      </c>
    </row>
    <row r="61" spans="2:9">
      <c r="B61" t="s">
        <v>248</v>
      </c>
      <c r="C61" s="42">
        <v>42399.244340277779</v>
      </c>
      <c r="D61" t="s">
        <v>304</v>
      </c>
      <c r="E61" t="s">
        <v>105</v>
      </c>
      <c r="F61" s="42">
        <v>42399.264525462961</v>
      </c>
      <c r="G61" t="s">
        <v>55</v>
      </c>
      <c r="H61">
        <v>14.510999999999999</v>
      </c>
      <c r="I61" t="s">
        <v>305</v>
      </c>
    </row>
    <row r="62" spans="2:9">
      <c r="B62" t="s">
        <v>248</v>
      </c>
      <c r="C62" s="42">
        <v>42399.27065972222</v>
      </c>
      <c r="D62" t="s">
        <v>55</v>
      </c>
      <c r="E62" t="s">
        <v>105</v>
      </c>
      <c r="F62" s="42">
        <v>42399.445729166669</v>
      </c>
      <c r="G62" t="s">
        <v>56</v>
      </c>
      <c r="H62">
        <v>104.407</v>
      </c>
      <c r="I62" t="s">
        <v>306</v>
      </c>
    </row>
    <row r="63" spans="2:9">
      <c r="B63" t="s">
        <v>8</v>
      </c>
      <c r="C63" s="42">
        <v>42394.292824074073</v>
      </c>
      <c r="D63" t="s">
        <v>52</v>
      </c>
      <c r="E63" t="s">
        <v>40</v>
      </c>
      <c r="F63" s="42">
        <v>42394.294166666667</v>
      </c>
      <c r="G63" t="s">
        <v>52</v>
      </c>
      <c r="H63">
        <v>1E-3</v>
      </c>
      <c r="I63" t="s">
        <v>307</v>
      </c>
    </row>
    <row r="64" spans="2:9">
      <c r="B64" t="s">
        <v>8</v>
      </c>
      <c r="C64" s="42">
        <v>42394.606562499997</v>
      </c>
      <c r="D64" t="s">
        <v>309</v>
      </c>
      <c r="E64" t="s">
        <v>40</v>
      </c>
      <c r="F64" s="42">
        <v>42394.660405092596</v>
      </c>
      <c r="G64" t="s">
        <v>52</v>
      </c>
      <c r="H64">
        <v>18.760999999999999</v>
      </c>
      <c r="I64" t="s">
        <v>308</v>
      </c>
    </row>
    <row r="65" spans="2:9">
      <c r="B65" t="s">
        <v>8</v>
      </c>
      <c r="C65" s="42">
        <v>42396.291516203702</v>
      </c>
      <c r="D65" t="s">
        <v>52</v>
      </c>
      <c r="E65" t="s">
        <v>98</v>
      </c>
      <c r="F65" s="42">
        <v>42396.292673611111</v>
      </c>
      <c r="G65" t="s">
        <v>52</v>
      </c>
      <c r="H65">
        <v>2E-3</v>
      </c>
      <c r="I65" t="s">
        <v>121</v>
      </c>
    </row>
    <row r="66" spans="2:9">
      <c r="B66" t="s">
        <v>8</v>
      </c>
      <c r="C66" s="42">
        <v>42396.332696759258</v>
      </c>
      <c r="D66" t="s">
        <v>52</v>
      </c>
      <c r="E66" t="s">
        <v>98</v>
      </c>
      <c r="F66" s="42">
        <v>42396.335844907408</v>
      </c>
      <c r="G66" t="s">
        <v>52</v>
      </c>
      <c r="H66">
        <v>6.0000000000000001E-3</v>
      </c>
      <c r="I66" t="s">
        <v>310</v>
      </c>
    </row>
    <row r="67" spans="2:9">
      <c r="B67" t="s">
        <v>8</v>
      </c>
      <c r="C67" s="42">
        <v>42397.677453703705</v>
      </c>
      <c r="D67" t="s">
        <v>52</v>
      </c>
      <c r="E67" t="s">
        <v>99</v>
      </c>
      <c r="F67" s="42">
        <v>42397.681261574071</v>
      </c>
      <c r="G67" t="s">
        <v>52</v>
      </c>
      <c r="H67">
        <v>5.5E-2</v>
      </c>
      <c r="I67" t="s">
        <v>120</v>
      </c>
    </row>
    <row r="68" spans="2:9">
      <c r="B68" t="s">
        <v>8</v>
      </c>
      <c r="C68" s="42">
        <v>42397.685856481483</v>
      </c>
      <c r="D68" t="s">
        <v>52</v>
      </c>
      <c r="E68" t="s">
        <v>99</v>
      </c>
      <c r="F68" s="42">
        <v>42397.687013888892</v>
      </c>
      <c r="G68" t="s">
        <v>52</v>
      </c>
      <c r="H68">
        <v>0</v>
      </c>
      <c r="I68" t="s">
        <v>121</v>
      </c>
    </row>
    <row r="69" spans="2:9">
      <c r="B69" t="s">
        <v>8</v>
      </c>
      <c r="C69" s="42">
        <v>42398.294571759259</v>
      </c>
      <c r="D69" t="s">
        <v>52</v>
      </c>
      <c r="E69" t="s">
        <v>106</v>
      </c>
      <c r="F69" s="42">
        <v>42398.295624999999</v>
      </c>
      <c r="G69" t="s">
        <v>52</v>
      </c>
      <c r="H69">
        <v>4.0000000000000001E-3</v>
      </c>
      <c r="I69" t="s">
        <v>51</v>
      </c>
    </row>
    <row r="70" spans="2:9">
      <c r="B70" t="s">
        <v>8</v>
      </c>
      <c r="C70" s="42">
        <v>42398.360925925925</v>
      </c>
      <c r="D70" t="s">
        <v>52</v>
      </c>
      <c r="E70" t="s">
        <v>106</v>
      </c>
      <c r="F70" s="42">
        <v>42398.362349537034</v>
      </c>
      <c r="G70" t="s">
        <v>52</v>
      </c>
      <c r="H70">
        <v>3.0000000000000001E-3</v>
      </c>
      <c r="I70" t="s">
        <v>311</v>
      </c>
    </row>
    <row r="71" spans="2:9">
      <c r="B71" t="s">
        <v>8</v>
      </c>
      <c r="C71" s="42">
        <v>42398.457060185188</v>
      </c>
      <c r="D71" t="s">
        <v>52</v>
      </c>
      <c r="E71" t="s">
        <v>106</v>
      </c>
      <c r="F71" s="42">
        <v>42398.458553240744</v>
      </c>
      <c r="G71" t="s">
        <v>52</v>
      </c>
      <c r="H71">
        <v>0</v>
      </c>
      <c r="I71" t="s">
        <v>148</v>
      </c>
    </row>
    <row r="72" spans="2:9">
      <c r="B72" t="s">
        <v>9</v>
      </c>
      <c r="C72" s="42">
        <v>42394.197546296295</v>
      </c>
      <c r="D72" t="s">
        <v>53</v>
      </c>
      <c r="E72" t="s">
        <v>40</v>
      </c>
      <c r="F72" s="42">
        <v>42394.229189814818</v>
      </c>
      <c r="G72" t="s">
        <v>234</v>
      </c>
      <c r="H72">
        <v>24.968</v>
      </c>
      <c r="I72" t="s">
        <v>227</v>
      </c>
    </row>
    <row r="73" spans="2:9">
      <c r="B73" t="s">
        <v>9</v>
      </c>
      <c r="C73" s="42">
        <v>42394.234629629631</v>
      </c>
      <c r="D73" t="s">
        <v>234</v>
      </c>
      <c r="E73" t="s">
        <v>40</v>
      </c>
      <c r="F73" s="42">
        <v>42394.259328703702</v>
      </c>
      <c r="G73" t="s">
        <v>55</v>
      </c>
      <c r="H73">
        <v>22.887</v>
      </c>
      <c r="I73" t="s">
        <v>312</v>
      </c>
    </row>
    <row r="74" spans="2:9">
      <c r="B74" t="s">
        <v>9</v>
      </c>
      <c r="C74" s="42">
        <v>42394.273414351854</v>
      </c>
      <c r="D74" t="s">
        <v>55</v>
      </c>
      <c r="E74" t="s">
        <v>40</v>
      </c>
      <c r="F74" s="42">
        <v>42394.281909722224</v>
      </c>
      <c r="G74" t="s">
        <v>55</v>
      </c>
      <c r="H74">
        <v>1.34</v>
      </c>
      <c r="I74" t="s">
        <v>313</v>
      </c>
    </row>
    <row r="75" spans="2:9">
      <c r="B75" t="s">
        <v>9</v>
      </c>
      <c r="C75" s="42">
        <v>42394.429664351854</v>
      </c>
      <c r="D75" t="s">
        <v>55</v>
      </c>
      <c r="E75" t="s">
        <v>40</v>
      </c>
      <c r="F75" s="42">
        <v>42394.432129629633</v>
      </c>
      <c r="G75" t="s">
        <v>55</v>
      </c>
      <c r="H75">
        <v>6.5000000000000002E-2</v>
      </c>
      <c r="I75" t="s">
        <v>314</v>
      </c>
    </row>
    <row r="76" spans="2:9">
      <c r="B76" t="s">
        <v>9</v>
      </c>
      <c r="C76" s="42">
        <v>42394.561643518522</v>
      </c>
      <c r="D76" t="s">
        <v>55</v>
      </c>
      <c r="E76" t="s">
        <v>40</v>
      </c>
      <c r="F76" s="42">
        <v>42394.562638888892</v>
      </c>
      <c r="G76" t="s">
        <v>55</v>
      </c>
      <c r="H76">
        <v>5.0000000000000001E-3</v>
      </c>
      <c r="I76" t="s">
        <v>46</v>
      </c>
    </row>
    <row r="77" spans="2:9">
      <c r="B77" t="s">
        <v>9</v>
      </c>
      <c r="C77" s="42">
        <v>42395.35496527778</v>
      </c>
      <c r="D77" t="s">
        <v>55</v>
      </c>
      <c r="E77" t="s">
        <v>97</v>
      </c>
      <c r="F77" s="42">
        <v>42395.520069444443</v>
      </c>
      <c r="G77" t="s">
        <v>53</v>
      </c>
      <c r="H77">
        <v>51.421999999999997</v>
      </c>
      <c r="I77" t="s">
        <v>315</v>
      </c>
    </row>
    <row r="78" spans="2:9">
      <c r="B78" t="s">
        <v>9</v>
      </c>
      <c r="C78" s="42">
        <v>42395.611643518518</v>
      </c>
      <c r="D78" t="s">
        <v>53</v>
      </c>
      <c r="E78" t="s">
        <v>97</v>
      </c>
      <c r="F78" s="42">
        <v>42395.655694444446</v>
      </c>
      <c r="G78" t="s">
        <v>53</v>
      </c>
      <c r="H78">
        <v>1.5920000000000001</v>
      </c>
      <c r="I78" t="s">
        <v>217</v>
      </c>
    </row>
    <row r="79" spans="2:9">
      <c r="B79" t="s">
        <v>9</v>
      </c>
      <c r="C79" s="42">
        <v>42395.660624999997</v>
      </c>
      <c r="D79" t="s">
        <v>53</v>
      </c>
      <c r="E79" t="s">
        <v>97</v>
      </c>
      <c r="F79" s="42">
        <v>42395.679918981485</v>
      </c>
      <c r="G79" t="s">
        <v>53</v>
      </c>
      <c r="H79">
        <v>0.33900000000000002</v>
      </c>
      <c r="I79" t="s">
        <v>316</v>
      </c>
    </row>
    <row r="80" spans="2:9">
      <c r="B80" t="s">
        <v>9</v>
      </c>
      <c r="C80" s="42">
        <v>42396.311562499999</v>
      </c>
      <c r="D80" t="s">
        <v>53</v>
      </c>
      <c r="E80" t="s">
        <v>98</v>
      </c>
      <c r="F80" s="42">
        <v>42396.314699074072</v>
      </c>
      <c r="G80" t="s">
        <v>53</v>
      </c>
      <c r="H80">
        <v>0.16200000000000001</v>
      </c>
      <c r="I80" t="s">
        <v>173</v>
      </c>
    </row>
    <row r="81" spans="2:9">
      <c r="B81" t="s">
        <v>9</v>
      </c>
      <c r="C81" s="42">
        <v>42396.328182870369</v>
      </c>
      <c r="D81" t="s">
        <v>53</v>
      </c>
      <c r="E81" t="s">
        <v>98</v>
      </c>
      <c r="F81" s="42">
        <v>42396.333368055559</v>
      </c>
      <c r="G81" t="s">
        <v>53</v>
      </c>
      <c r="H81">
        <v>2.3E-2</v>
      </c>
      <c r="I81" t="s">
        <v>257</v>
      </c>
    </row>
    <row r="82" spans="2:9">
      <c r="B82" t="s">
        <v>9</v>
      </c>
      <c r="C82" s="42">
        <v>42396.373032407406</v>
      </c>
      <c r="D82" t="s">
        <v>53</v>
      </c>
      <c r="E82" t="s">
        <v>98</v>
      </c>
      <c r="F82" s="42">
        <v>42396.405798611115</v>
      </c>
      <c r="G82" t="s">
        <v>53</v>
      </c>
      <c r="H82">
        <v>0.53200000000000003</v>
      </c>
      <c r="I82" t="s">
        <v>317</v>
      </c>
    </row>
    <row r="83" spans="2:9">
      <c r="B83" t="s">
        <v>9</v>
      </c>
      <c r="C83" s="42">
        <v>42396.624386574076</v>
      </c>
      <c r="D83" t="s">
        <v>53</v>
      </c>
      <c r="E83" t="s">
        <v>98</v>
      </c>
      <c r="F83" s="42">
        <v>42396.634050925924</v>
      </c>
      <c r="G83" t="s">
        <v>53</v>
      </c>
      <c r="H83">
        <v>2.1000000000000001E-2</v>
      </c>
      <c r="I83" t="s">
        <v>181</v>
      </c>
    </row>
    <row r="84" spans="2:9">
      <c r="B84" t="s">
        <v>9</v>
      </c>
      <c r="C84" s="42">
        <v>42396.645092592589</v>
      </c>
      <c r="D84" t="s">
        <v>53</v>
      </c>
      <c r="E84" t="s">
        <v>98</v>
      </c>
      <c r="F84" s="42">
        <v>42396.648993055554</v>
      </c>
      <c r="G84" t="s">
        <v>53</v>
      </c>
      <c r="H84">
        <v>8.0000000000000002E-3</v>
      </c>
      <c r="I84" t="s">
        <v>318</v>
      </c>
    </row>
    <row r="85" spans="2:9">
      <c r="B85" t="s">
        <v>9</v>
      </c>
      <c r="C85" s="42">
        <v>42396.653935185182</v>
      </c>
      <c r="D85" t="s">
        <v>53</v>
      </c>
      <c r="E85" t="s">
        <v>98</v>
      </c>
      <c r="F85" s="42">
        <v>42396.664618055554</v>
      </c>
      <c r="G85" t="s">
        <v>53</v>
      </c>
      <c r="H85">
        <v>0.106</v>
      </c>
      <c r="I85" t="s">
        <v>319</v>
      </c>
    </row>
    <row r="86" spans="2:9">
      <c r="B86" t="s">
        <v>9</v>
      </c>
      <c r="C86" s="42">
        <v>42397.30641203704</v>
      </c>
      <c r="D86" t="s">
        <v>53</v>
      </c>
      <c r="E86" t="s">
        <v>99</v>
      </c>
      <c r="F86" s="42">
        <v>42397.345949074072</v>
      </c>
      <c r="G86" t="s">
        <v>58</v>
      </c>
      <c r="H86">
        <v>10.611000000000001</v>
      </c>
      <c r="I86" t="s">
        <v>320</v>
      </c>
    </row>
    <row r="87" spans="2:9">
      <c r="B87" t="s">
        <v>9</v>
      </c>
      <c r="C87" s="42">
        <v>42397.347743055558</v>
      </c>
      <c r="D87" t="s">
        <v>58</v>
      </c>
      <c r="E87" t="s">
        <v>99</v>
      </c>
      <c r="F87" s="42">
        <v>42397.350486111114</v>
      </c>
      <c r="G87" t="s">
        <v>58</v>
      </c>
      <c r="H87">
        <v>0.05</v>
      </c>
      <c r="I87" t="s">
        <v>321</v>
      </c>
    </row>
    <row r="88" spans="2:9">
      <c r="B88" t="s">
        <v>10</v>
      </c>
      <c r="C88" s="42">
        <v>42394.330868055556</v>
      </c>
      <c r="D88" t="s">
        <v>163</v>
      </c>
      <c r="E88" t="s">
        <v>40</v>
      </c>
      <c r="F88" s="42">
        <v>42394.340439814812</v>
      </c>
      <c r="G88" t="s">
        <v>163</v>
      </c>
      <c r="H88">
        <v>0</v>
      </c>
      <c r="I88" t="s">
        <v>322</v>
      </c>
    </row>
    <row r="89" spans="2:9">
      <c r="B89" t="s">
        <v>10</v>
      </c>
      <c r="C89" s="42">
        <v>42395.308159722219</v>
      </c>
      <c r="D89" t="s">
        <v>163</v>
      </c>
      <c r="E89" t="s">
        <v>97</v>
      </c>
      <c r="F89" s="42">
        <v>42395.374560185184</v>
      </c>
      <c r="G89" t="s">
        <v>163</v>
      </c>
      <c r="H89">
        <v>0.13900000000000001</v>
      </c>
      <c r="I89" t="s">
        <v>323</v>
      </c>
    </row>
    <row r="90" spans="2:9">
      <c r="B90" t="s">
        <v>10</v>
      </c>
      <c r="C90" s="42">
        <v>42395.377453703702</v>
      </c>
      <c r="D90" t="s">
        <v>163</v>
      </c>
      <c r="E90" t="s">
        <v>97</v>
      </c>
      <c r="F90" s="42">
        <v>42395.387962962966</v>
      </c>
      <c r="G90" t="s">
        <v>325</v>
      </c>
      <c r="H90">
        <v>2.8</v>
      </c>
      <c r="I90" t="s">
        <v>324</v>
      </c>
    </row>
    <row r="91" spans="2:9">
      <c r="B91" t="s">
        <v>10</v>
      </c>
      <c r="C91" s="42">
        <v>42395.396840277775</v>
      </c>
      <c r="D91" t="s">
        <v>325</v>
      </c>
      <c r="E91" t="s">
        <v>97</v>
      </c>
      <c r="F91" s="42">
        <v>42395.611828703702</v>
      </c>
      <c r="G91" t="s">
        <v>58</v>
      </c>
      <c r="H91">
        <v>182.208</v>
      </c>
      <c r="I91" t="s">
        <v>326</v>
      </c>
    </row>
    <row r="92" spans="2:9">
      <c r="B92" t="s">
        <v>10</v>
      </c>
      <c r="C92" s="42">
        <v>42396.434293981481</v>
      </c>
      <c r="D92" t="s">
        <v>58</v>
      </c>
      <c r="E92" t="s">
        <v>98</v>
      </c>
      <c r="F92" s="42">
        <v>42396.452407407407</v>
      </c>
      <c r="G92" t="s">
        <v>58</v>
      </c>
      <c r="H92">
        <v>0.185</v>
      </c>
      <c r="I92" t="s">
        <v>327</v>
      </c>
    </row>
    <row r="93" spans="2:9">
      <c r="B93" t="s">
        <v>10</v>
      </c>
      <c r="C93" s="42">
        <v>42396.577372685184</v>
      </c>
      <c r="D93" t="s">
        <v>58</v>
      </c>
      <c r="E93" t="s">
        <v>98</v>
      </c>
      <c r="F93" s="42">
        <v>42396.591354166667</v>
      </c>
      <c r="G93" t="s">
        <v>58</v>
      </c>
      <c r="H93">
        <v>0.14399999999999999</v>
      </c>
      <c r="I93" t="s">
        <v>328</v>
      </c>
    </row>
    <row r="94" spans="2:9">
      <c r="B94" t="s">
        <v>10</v>
      </c>
      <c r="C94" s="42">
        <v>42396.686249999999</v>
      </c>
      <c r="D94" t="s">
        <v>58</v>
      </c>
      <c r="E94" t="s">
        <v>98</v>
      </c>
      <c r="F94" s="42">
        <v>42396.69085648148</v>
      </c>
      <c r="G94" t="s">
        <v>58</v>
      </c>
      <c r="H94">
        <v>0</v>
      </c>
      <c r="I94" t="s">
        <v>329</v>
      </c>
    </row>
    <row r="95" spans="2:9">
      <c r="B95" t="s">
        <v>10</v>
      </c>
      <c r="C95" s="42">
        <v>42396.692928240744</v>
      </c>
      <c r="D95" t="s">
        <v>58</v>
      </c>
      <c r="E95" t="s">
        <v>98</v>
      </c>
      <c r="F95" s="42">
        <v>42396.706342592595</v>
      </c>
      <c r="G95" t="s">
        <v>58</v>
      </c>
      <c r="H95">
        <v>3.9E-2</v>
      </c>
      <c r="I95" t="s">
        <v>330</v>
      </c>
    </row>
    <row r="96" spans="2:9">
      <c r="B96" t="s">
        <v>10</v>
      </c>
      <c r="C96" s="42">
        <v>42397.30269675926</v>
      </c>
      <c r="D96" t="s">
        <v>58</v>
      </c>
      <c r="E96" t="s">
        <v>99</v>
      </c>
      <c r="F96" s="42">
        <v>42397.327361111114</v>
      </c>
      <c r="G96" t="s">
        <v>58</v>
      </c>
      <c r="H96">
        <v>5.0999999999999997E-2</v>
      </c>
      <c r="I96" t="s">
        <v>331</v>
      </c>
    </row>
    <row r="97" spans="2:9">
      <c r="B97" t="s">
        <v>10</v>
      </c>
      <c r="C97" s="42">
        <v>42397.328842592593</v>
      </c>
      <c r="D97" t="s">
        <v>58</v>
      </c>
      <c r="E97" t="s">
        <v>99</v>
      </c>
      <c r="F97" s="42">
        <v>42397.460335648146</v>
      </c>
      <c r="G97" t="s">
        <v>58</v>
      </c>
      <c r="H97">
        <v>0</v>
      </c>
      <c r="I97" t="s">
        <v>332</v>
      </c>
    </row>
    <row r="98" spans="2:9">
      <c r="B98" t="s">
        <v>10</v>
      </c>
      <c r="C98" s="42">
        <v>42397.471967592595</v>
      </c>
      <c r="D98" t="s">
        <v>58</v>
      </c>
      <c r="E98" t="s">
        <v>99</v>
      </c>
      <c r="F98" s="42">
        <v>42397.48300925926</v>
      </c>
      <c r="G98" t="s">
        <v>58</v>
      </c>
      <c r="H98">
        <v>0.40500000000000003</v>
      </c>
      <c r="I98" t="s">
        <v>333</v>
      </c>
    </row>
    <row r="99" spans="2:9">
      <c r="B99" t="s">
        <v>10</v>
      </c>
      <c r="C99" s="42">
        <v>42397.48746527778</v>
      </c>
      <c r="D99" t="s">
        <v>58</v>
      </c>
      <c r="E99" t="s">
        <v>99</v>
      </c>
      <c r="F99" s="42">
        <v>42397.490671296298</v>
      </c>
      <c r="G99" t="s">
        <v>58</v>
      </c>
      <c r="H99">
        <v>0</v>
      </c>
      <c r="I99" t="s">
        <v>334</v>
      </c>
    </row>
    <row r="100" spans="2:9">
      <c r="B100" t="s">
        <v>10</v>
      </c>
      <c r="C100" s="42">
        <v>42397.494803240741</v>
      </c>
      <c r="D100" t="s">
        <v>58</v>
      </c>
      <c r="E100" t="s">
        <v>99</v>
      </c>
      <c r="F100" s="42">
        <v>42397.497164351851</v>
      </c>
      <c r="G100" t="s">
        <v>58</v>
      </c>
      <c r="H100">
        <v>0</v>
      </c>
      <c r="I100" t="s">
        <v>176</v>
      </c>
    </row>
    <row r="101" spans="2:9">
      <c r="B101" t="s">
        <v>10</v>
      </c>
      <c r="C101" s="42">
        <v>42397.557118055556</v>
      </c>
      <c r="D101" t="s">
        <v>58</v>
      </c>
      <c r="E101" t="s">
        <v>99</v>
      </c>
      <c r="F101" s="42">
        <v>42397.558541666665</v>
      </c>
      <c r="G101" t="s">
        <v>58</v>
      </c>
      <c r="H101">
        <v>0</v>
      </c>
      <c r="I101" t="s">
        <v>311</v>
      </c>
    </row>
    <row r="102" spans="2:9">
      <c r="B102" t="s">
        <v>10</v>
      </c>
      <c r="C102" s="42">
        <v>42397.594780092593</v>
      </c>
      <c r="D102" t="s">
        <v>58</v>
      </c>
      <c r="E102" t="s">
        <v>99</v>
      </c>
      <c r="F102" s="42">
        <v>42397.598263888889</v>
      </c>
      <c r="G102" t="s">
        <v>58</v>
      </c>
      <c r="H102">
        <v>0.23400000000000001</v>
      </c>
      <c r="I102" t="s">
        <v>125</v>
      </c>
    </row>
    <row r="103" spans="2:9">
      <c r="B103" t="s">
        <v>10</v>
      </c>
      <c r="C103" s="42">
        <v>42397.665023148147</v>
      </c>
      <c r="D103" t="s">
        <v>58</v>
      </c>
      <c r="E103" t="s">
        <v>99</v>
      </c>
      <c r="F103" s="42">
        <v>42397.675057870372</v>
      </c>
      <c r="G103" t="s">
        <v>58</v>
      </c>
      <c r="H103">
        <v>0.21299999999999999</v>
      </c>
      <c r="I103" t="s">
        <v>335</v>
      </c>
    </row>
    <row r="104" spans="2:9">
      <c r="B104" t="s">
        <v>10</v>
      </c>
      <c r="C104" s="42">
        <v>42397.681250000001</v>
      </c>
      <c r="D104" t="s">
        <v>58</v>
      </c>
      <c r="E104" t="s">
        <v>99</v>
      </c>
      <c r="F104" s="42">
        <v>42397.766886574071</v>
      </c>
      <c r="G104" t="s">
        <v>53</v>
      </c>
      <c r="H104">
        <v>11.151</v>
      </c>
      <c r="I104" t="s">
        <v>336</v>
      </c>
    </row>
    <row r="105" spans="2:9">
      <c r="B105" t="s">
        <v>10</v>
      </c>
      <c r="C105" s="42">
        <v>42398.299189814818</v>
      </c>
      <c r="D105" t="s">
        <v>53</v>
      </c>
      <c r="E105" t="s">
        <v>106</v>
      </c>
      <c r="F105" s="42">
        <v>42398.319351851853</v>
      </c>
      <c r="G105" t="s">
        <v>53</v>
      </c>
      <c r="H105">
        <v>5.0000000000000001E-3</v>
      </c>
      <c r="I105" t="s">
        <v>337</v>
      </c>
    </row>
    <row r="106" spans="2:9">
      <c r="B106" t="s">
        <v>10</v>
      </c>
      <c r="C106" s="42">
        <v>42398.323263888888</v>
      </c>
      <c r="D106" t="s">
        <v>53</v>
      </c>
      <c r="E106" t="s">
        <v>106</v>
      </c>
      <c r="F106" s="42">
        <v>42398.325023148151</v>
      </c>
      <c r="G106" t="s">
        <v>53</v>
      </c>
      <c r="H106">
        <v>0</v>
      </c>
      <c r="I106" t="s">
        <v>60</v>
      </c>
    </row>
    <row r="107" spans="2:9">
      <c r="B107" t="s">
        <v>10</v>
      </c>
      <c r="C107" s="42">
        <v>42398.3283912037</v>
      </c>
      <c r="D107" t="s">
        <v>53</v>
      </c>
      <c r="E107" t="s">
        <v>106</v>
      </c>
      <c r="F107" s="42">
        <v>42398.414027777777</v>
      </c>
      <c r="G107" t="s">
        <v>55</v>
      </c>
      <c r="H107">
        <v>48.640999999999998</v>
      </c>
      <c r="I107" t="s">
        <v>336</v>
      </c>
    </row>
    <row r="108" spans="2:9">
      <c r="B108" t="s">
        <v>10</v>
      </c>
      <c r="C108" s="42">
        <v>42398.473657407405</v>
      </c>
      <c r="D108" t="s">
        <v>55</v>
      </c>
      <c r="E108" t="s">
        <v>106</v>
      </c>
      <c r="F108" s="42">
        <v>42398.494675925926</v>
      </c>
      <c r="G108" t="s">
        <v>55</v>
      </c>
      <c r="H108">
        <v>7.9000000000000001E-2</v>
      </c>
      <c r="I108" t="s">
        <v>338</v>
      </c>
    </row>
    <row r="109" spans="2:9">
      <c r="B109" t="s">
        <v>10</v>
      </c>
      <c r="C109" s="42">
        <v>42398.497465277775</v>
      </c>
      <c r="D109" t="s">
        <v>55</v>
      </c>
      <c r="E109" t="s">
        <v>106</v>
      </c>
      <c r="F109" s="42">
        <v>42398.499050925922</v>
      </c>
      <c r="G109" t="s">
        <v>55</v>
      </c>
      <c r="H109">
        <v>0</v>
      </c>
      <c r="I109" t="s">
        <v>339</v>
      </c>
    </row>
    <row r="110" spans="2:9">
      <c r="B110" t="s">
        <v>10</v>
      </c>
      <c r="C110" s="42">
        <v>42398.501956018517</v>
      </c>
      <c r="D110" t="s">
        <v>55</v>
      </c>
      <c r="E110" t="s">
        <v>106</v>
      </c>
      <c r="F110" s="42">
        <v>42398.505856481483</v>
      </c>
      <c r="G110" t="s">
        <v>55</v>
      </c>
      <c r="H110">
        <v>0.31</v>
      </c>
      <c r="I110" t="s">
        <v>318</v>
      </c>
    </row>
    <row r="111" spans="2:9">
      <c r="B111" t="s">
        <v>10</v>
      </c>
      <c r="C111" s="42">
        <v>42398.521782407406</v>
      </c>
      <c r="D111" t="s">
        <v>55</v>
      </c>
      <c r="E111" t="s">
        <v>106</v>
      </c>
      <c r="F111" s="42">
        <v>42398.531319444446</v>
      </c>
      <c r="G111" t="s">
        <v>55</v>
      </c>
      <c r="H111">
        <v>1.972</v>
      </c>
      <c r="I111" t="s">
        <v>340</v>
      </c>
    </row>
    <row r="112" spans="2:9">
      <c r="B112" t="s">
        <v>10</v>
      </c>
      <c r="C112" s="42">
        <v>42398.541134259256</v>
      </c>
      <c r="D112" t="s">
        <v>55</v>
      </c>
      <c r="E112" t="s">
        <v>106</v>
      </c>
      <c r="F112" s="42">
        <v>42398.600914351853</v>
      </c>
      <c r="G112" t="s">
        <v>53</v>
      </c>
      <c r="H112">
        <v>45.965000000000003</v>
      </c>
      <c r="I112" t="s">
        <v>341</v>
      </c>
    </row>
    <row r="113" spans="2:9">
      <c r="B113" t="s">
        <v>11</v>
      </c>
      <c r="C113" s="42">
        <v>42394.278344907405</v>
      </c>
      <c r="D113" t="s">
        <v>42</v>
      </c>
      <c r="E113" t="s">
        <v>40</v>
      </c>
      <c r="F113" s="42">
        <v>42394.390231481484</v>
      </c>
      <c r="G113" t="s">
        <v>62</v>
      </c>
      <c r="H113">
        <v>41.128</v>
      </c>
      <c r="I113" t="s">
        <v>342</v>
      </c>
    </row>
    <row r="114" spans="2:9">
      <c r="B114" t="s">
        <v>11</v>
      </c>
      <c r="C114" s="42">
        <v>42394.395451388889</v>
      </c>
      <c r="D114" t="s">
        <v>62</v>
      </c>
      <c r="E114" t="s">
        <v>40</v>
      </c>
      <c r="F114" s="42">
        <v>42394.427777777775</v>
      </c>
      <c r="G114" t="s">
        <v>42</v>
      </c>
      <c r="H114">
        <v>5.694</v>
      </c>
      <c r="I114" t="s">
        <v>343</v>
      </c>
    </row>
    <row r="115" spans="2:9">
      <c r="B115" t="s">
        <v>11</v>
      </c>
      <c r="C115" s="42">
        <v>42394.437858796293</v>
      </c>
      <c r="D115" t="s">
        <v>42</v>
      </c>
      <c r="E115" t="s">
        <v>40</v>
      </c>
      <c r="F115" s="42">
        <v>42394.730428240742</v>
      </c>
      <c r="G115" t="s">
        <v>42</v>
      </c>
      <c r="H115">
        <v>137.65100000000001</v>
      </c>
      <c r="I115" t="s">
        <v>344</v>
      </c>
    </row>
    <row r="116" spans="2:9">
      <c r="B116" t="s">
        <v>11</v>
      </c>
      <c r="C116" s="42">
        <v>42395.28497685185</v>
      </c>
      <c r="D116" t="s">
        <v>42</v>
      </c>
      <c r="E116" t="s">
        <v>97</v>
      </c>
      <c r="F116" s="42">
        <v>42395.294745370367</v>
      </c>
      <c r="G116" t="s">
        <v>42</v>
      </c>
      <c r="H116">
        <v>1E-3</v>
      </c>
      <c r="I116" t="s">
        <v>345</v>
      </c>
    </row>
    <row r="117" spans="2:9">
      <c r="B117" t="s">
        <v>11</v>
      </c>
      <c r="C117" s="42">
        <v>42395.314097222225</v>
      </c>
      <c r="D117" t="s">
        <v>42</v>
      </c>
      <c r="E117" t="s">
        <v>97</v>
      </c>
      <c r="F117" s="42">
        <v>42395.382453703707</v>
      </c>
      <c r="G117" t="s">
        <v>197</v>
      </c>
      <c r="H117">
        <v>24.399000000000001</v>
      </c>
      <c r="I117" t="s">
        <v>346</v>
      </c>
    </row>
    <row r="118" spans="2:9">
      <c r="B118" t="s">
        <v>11</v>
      </c>
      <c r="C118" s="42">
        <v>42395.421400462961</v>
      </c>
      <c r="D118" t="s">
        <v>42</v>
      </c>
      <c r="E118" t="s">
        <v>97</v>
      </c>
      <c r="F118" s="42">
        <v>42395.669756944444</v>
      </c>
      <c r="G118" t="s">
        <v>42</v>
      </c>
      <c r="H118">
        <v>92.742000000000004</v>
      </c>
      <c r="I118" t="s">
        <v>347</v>
      </c>
    </row>
    <row r="119" spans="2:9">
      <c r="B119" t="s">
        <v>11</v>
      </c>
      <c r="C119" s="42">
        <v>42395.673217592594</v>
      </c>
      <c r="D119" t="s">
        <v>42</v>
      </c>
      <c r="E119" t="s">
        <v>97</v>
      </c>
      <c r="F119" s="42">
        <v>42395.700023148151</v>
      </c>
      <c r="G119" t="s">
        <v>42</v>
      </c>
      <c r="H119">
        <v>0.93700000000000006</v>
      </c>
      <c r="I119" t="s">
        <v>348</v>
      </c>
    </row>
    <row r="120" spans="2:9">
      <c r="B120" t="s">
        <v>11</v>
      </c>
      <c r="C120" s="42">
        <v>42396.286319444444</v>
      </c>
      <c r="D120" t="s">
        <v>42</v>
      </c>
      <c r="E120" t="s">
        <v>98</v>
      </c>
      <c r="F120" s="42">
        <v>42396.511006944442</v>
      </c>
      <c r="G120" t="s">
        <v>42</v>
      </c>
      <c r="H120">
        <v>90.686999999999998</v>
      </c>
      <c r="I120" t="s">
        <v>349</v>
      </c>
    </row>
    <row r="121" spans="2:9">
      <c r="B121" t="s">
        <v>11</v>
      </c>
      <c r="C121" s="42">
        <v>42396.513495370367</v>
      </c>
      <c r="D121" t="s">
        <v>42</v>
      </c>
      <c r="E121" t="s">
        <v>98</v>
      </c>
      <c r="F121" s="42">
        <v>42396.672951388886</v>
      </c>
      <c r="G121" t="s">
        <v>42</v>
      </c>
      <c r="H121">
        <v>48.134</v>
      </c>
      <c r="I121" t="s">
        <v>350</v>
      </c>
    </row>
    <row r="122" spans="2:9">
      <c r="B122" t="s">
        <v>11</v>
      </c>
      <c r="C122" s="42">
        <v>42396.677685185183</v>
      </c>
      <c r="D122" t="s">
        <v>42</v>
      </c>
      <c r="E122" t="s">
        <v>98</v>
      </c>
      <c r="F122" s="42">
        <v>42396.698425925926</v>
      </c>
      <c r="G122" t="s">
        <v>42</v>
      </c>
      <c r="H122">
        <v>0.47899999999999998</v>
      </c>
      <c r="I122" t="s">
        <v>351</v>
      </c>
    </row>
    <row r="123" spans="2:9">
      <c r="B123" t="s">
        <v>11</v>
      </c>
      <c r="C123" s="42">
        <v>42397.28979166667</v>
      </c>
      <c r="D123" t="s">
        <v>42</v>
      </c>
      <c r="E123" t="s">
        <v>99</v>
      </c>
      <c r="F123" s="42">
        <v>42397.340798611112</v>
      </c>
      <c r="H123">
        <v>22.716000000000001</v>
      </c>
      <c r="I123" t="s">
        <v>352</v>
      </c>
    </row>
    <row r="124" spans="2:9">
      <c r="B124" t="s">
        <v>11</v>
      </c>
      <c r="C124" s="42">
        <v>42397.37159722222</v>
      </c>
      <c r="D124" t="s">
        <v>42</v>
      </c>
      <c r="E124" t="s">
        <v>99</v>
      </c>
      <c r="F124" s="42">
        <v>42397.471076388887</v>
      </c>
      <c r="G124" t="s">
        <v>42</v>
      </c>
      <c r="H124">
        <v>47.819000000000003</v>
      </c>
      <c r="I124" t="s">
        <v>353</v>
      </c>
    </row>
    <row r="125" spans="2:9">
      <c r="B125" t="s">
        <v>11</v>
      </c>
      <c r="C125" s="42">
        <v>42397.471770833334</v>
      </c>
      <c r="D125" t="s">
        <v>42</v>
      </c>
      <c r="E125" t="s">
        <v>99</v>
      </c>
      <c r="F125" s="42">
        <v>42397.474143518521</v>
      </c>
      <c r="G125" t="s">
        <v>42</v>
      </c>
      <c r="H125">
        <v>0.23100000000000001</v>
      </c>
      <c r="I125" t="s">
        <v>354</v>
      </c>
    </row>
    <row r="126" spans="2:9">
      <c r="B126" t="s">
        <v>11</v>
      </c>
      <c r="C126" s="42">
        <v>42397.566018518519</v>
      </c>
      <c r="D126" t="s">
        <v>42</v>
      </c>
      <c r="E126" t="s">
        <v>99</v>
      </c>
      <c r="F126" s="42">
        <v>42397.569050925929</v>
      </c>
      <c r="G126" t="s">
        <v>42</v>
      </c>
      <c r="H126">
        <v>2.1000000000000001E-2</v>
      </c>
      <c r="I126" t="s">
        <v>355</v>
      </c>
    </row>
    <row r="127" spans="2:9">
      <c r="B127" t="s">
        <v>11</v>
      </c>
      <c r="C127" s="42">
        <v>42397.662893518522</v>
      </c>
      <c r="D127" t="s">
        <v>42</v>
      </c>
      <c r="E127" t="s">
        <v>99</v>
      </c>
      <c r="F127" s="42">
        <v>42397.681192129632</v>
      </c>
      <c r="G127" t="s">
        <v>42</v>
      </c>
      <c r="H127">
        <v>0.28399999999999997</v>
      </c>
      <c r="I127" t="s">
        <v>356</v>
      </c>
    </row>
    <row r="128" spans="2:9">
      <c r="B128" t="s">
        <v>11</v>
      </c>
      <c r="C128" s="42">
        <v>42397.709618055553</v>
      </c>
      <c r="D128" t="s">
        <v>42</v>
      </c>
      <c r="E128" t="s">
        <v>99</v>
      </c>
      <c r="F128" s="42">
        <v>42397.711736111109</v>
      </c>
      <c r="G128" t="s">
        <v>42</v>
      </c>
      <c r="H128">
        <v>2.5999999999999999E-2</v>
      </c>
      <c r="I128" t="s">
        <v>357</v>
      </c>
    </row>
    <row r="129" spans="2:9">
      <c r="B129" t="s">
        <v>11</v>
      </c>
      <c r="C129" s="42">
        <v>42398.495567129627</v>
      </c>
      <c r="D129" t="s">
        <v>42</v>
      </c>
      <c r="E129" t="s">
        <v>106</v>
      </c>
      <c r="F129" s="42">
        <v>42398.499502314815</v>
      </c>
      <c r="G129" t="s">
        <v>42</v>
      </c>
      <c r="H129">
        <v>2.1999999999999999E-2</v>
      </c>
      <c r="I129" t="s">
        <v>221</v>
      </c>
    </row>
    <row r="130" spans="2:9">
      <c r="B130" t="s">
        <v>12</v>
      </c>
      <c r="C130" s="42">
        <v>42394.283993055556</v>
      </c>
      <c r="D130" t="s">
        <v>42</v>
      </c>
      <c r="E130" t="s">
        <v>40</v>
      </c>
      <c r="F130" s="42">
        <v>42394.293252314812</v>
      </c>
      <c r="G130" t="s">
        <v>42</v>
      </c>
      <c r="H130">
        <v>0.14099999999999999</v>
      </c>
      <c r="I130" t="s">
        <v>358</v>
      </c>
    </row>
    <row r="131" spans="2:9">
      <c r="B131" t="s">
        <v>12</v>
      </c>
      <c r="C131" s="42">
        <v>42394.300694444442</v>
      </c>
      <c r="D131" t="s">
        <v>42</v>
      </c>
      <c r="E131" t="s">
        <v>40</v>
      </c>
      <c r="F131" s="42">
        <v>42394.36824074074</v>
      </c>
      <c r="G131" t="s">
        <v>62</v>
      </c>
      <c r="H131">
        <v>39.938000000000002</v>
      </c>
      <c r="I131" t="s">
        <v>359</v>
      </c>
    </row>
    <row r="132" spans="2:9">
      <c r="B132" t="s">
        <v>12</v>
      </c>
      <c r="C132" s="42">
        <v>42394.369108796294</v>
      </c>
      <c r="D132" t="s">
        <v>62</v>
      </c>
      <c r="E132" t="s">
        <v>40</v>
      </c>
      <c r="F132" s="42">
        <v>42394.369328703702</v>
      </c>
      <c r="G132" t="s">
        <v>62</v>
      </c>
      <c r="H132">
        <v>3.0000000000000001E-3</v>
      </c>
      <c r="I132" t="s">
        <v>41</v>
      </c>
    </row>
    <row r="133" spans="2:9">
      <c r="B133" t="s">
        <v>12</v>
      </c>
      <c r="C133" s="42">
        <v>42394.375856481478</v>
      </c>
      <c r="D133" t="s">
        <v>62</v>
      </c>
      <c r="E133" t="s">
        <v>40</v>
      </c>
      <c r="F133" s="42">
        <v>42394.470231481479</v>
      </c>
      <c r="G133" t="s">
        <v>218</v>
      </c>
      <c r="H133">
        <v>30.273</v>
      </c>
      <c r="I133" t="s">
        <v>360</v>
      </c>
    </row>
    <row r="134" spans="2:9">
      <c r="B134" t="s">
        <v>12</v>
      </c>
      <c r="C134" s="42">
        <v>42394.47625</v>
      </c>
      <c r="D134" t="s">
        <v>218</v>
      </c>
      <c r="E134" t="s">
        <v>40</v>
      </c>
      <c r="F134" s="42">
        <v>42394.507002314815</v>
      </c>
      <c r="G134" t="s">
        <v>42</v>
      </c>
      <c r="H134">
        <v>19.773</v>
      </c>
      <c r="I134" t="s">
        <v>361</v>
      </c>
    </row>
    <row r="135" spans="2:9">
      <c r="B135" t="s">
        <v>12</v>
      </c>
      <c r="C135" s="42">
        <v>42394.538206018522</v>
      </c>
      <c r="D135" t="s">
        <v>42</v>
      </c>
      <c r="E135" t="s">
        <v>40</v>
      </c>
      <c r="F135" s="42">
        <v>42394.549583333333</v>
      </c>
      <c r="G135" t="s">
        <v>42</v>
      </c>
      <c r="H135">
        <v>0.73099999999999998</v>
      </c>
      <c r="I135" t="s">
        <v>362</v>
      </c>
    </row>
    <row r="136" spans="2:9">
      <c r="B136" t="s">
        <v>12</v>
      </c>
      <c r="C136" s="42">
        <v>42394.576550925929</v>
      </c>
      <c r="D136" t="s">
        <v>42</v>
      </c>
      <c r="E136" t="s">
        <v>40</v>
      </c>
      <c r="F136" s="42">
        <v>42394.688287037039</v>
      </c>
      <c r="G136" t="s">
        <v>42</v>
      </c>
      <c r="H136">
        <v>46.81</v>
      </c>
      <c r="I136" t="s">
        <v>363</v>
      </c>
    </row>
    <row r="137" spans="2:9">
      <c r="B137" t="s">
        <v>12</v>
      </c>
      <c r="C137" s="42">
        <v>42394.693715277775</v>
      </c>
      <c r="D137" t="s">
        <v>42</v>
      </c>
      <c r="E137" t="s">
        <v>40</v>
      </c>
      <c r="F137" s="42">
        <v>42394.694467592592</v>
      </c>
      <c r="G137" t="s">
        <v>42</v>
      </c>
      <c r="H137">
        <v>0.127</v>
      </c>
      <c r="I137" t="s">
        <v>364</v>
      </c>
    </row>
    <row r="138" spans="2:9">
      <c r="B138" t="s">
        <v>12</v>
      </c>
      <c r="C138" s="42">
        <v>42395.30978009259</v>
      </c>
      <c r="D138" t="s">
        <v>42</v>
      </c>
      <c r="E138" t="s">
        <v>97</v>
      </c>
      <c r="F138" s="42">
        <v>42395.531666666669</v>
      </c>
      <c r="G138" t="s">
        <v>48</v>
      </c>
      <c r="H138">
        <v>104.524</v>
      </c>
      <c r="I138" t="s">
        <v>365</v>
      </c>
    </row>
    <row r="139" spans="2:9">
      <c r="B139" t="s">
        <v>12</v>
      </c>
      <c r="C139" s="42">
        <v>42395.54928240741</v>
      </c>
      <c r="D139" t="s">
        <v>48</v>
      </c>
      <c r="E139" t="s">
        <v>97</v>
      </c>
      <c r="F139" s="42">
        <v>42395.741296296299</v>
      </c>
      <c r="G139" t="s">
        <v>42</v>
      </c>
      <c r="H139">
        <v>79.876999999999995</v>
      </c>
      <c r="I139" t="s">
        <v>366</v>
      </c>
    </row>
    <row r="140" spans="2:9">
      <c r="B140" t="s">
        <v>12</v>
      </c>
      <c r="C140" s="42">
        <v>42396.287094907406</v>
      </c>
      <c r="D140" t="s">
        <v>42</v>
      </c>
      <c r="E140" t="s">
        <v>98</v>
      </c>
      <c r="F140" s="42">
        <v>42396.340312499997</v>
      </c>
      <c r="G140" t="s">
        <v>42</v>
      </c>
      <c r="H140">
        <v>2.44</v>
      </c>
      <c r="I140" t="s">
        <v>367</v>
      </c>
    </row>
    <row r="141" spans="2:9">
      <c r="B141" t="s">
        <v>12</v>
      </c>
      <c r="C141" s="42">
        <v>42396.341793981483</v>
      </c>
      <c r="D141" t="s">
        <v>42</v>
      </c>
      <c r="E141" t="s">
        <v>98</v>
      </c>
      <c r="F141" s="42">
        <v>42396.343541666669</v>
      </c>
      <c r="G141" t="s">
        <v>42</v>
      </c>
      <c r="H141">
        <v>0</v>
      </c>
      <c r="I141" t="s">
        <v>274</v>
      </c>
    </row>
    <row r="142" spans="2:9">
      <c r="B142" t="s">
        <v>12</v>
      </c>
      <c r="C142" s="42">
        <v>42396.366620370369</v>
      </c>
      <c r="D142" t="s">
        <v>42</v>
      </c>
      <c r="E142" t="s">
        <v>98</v>
      </c>
      <c r="F142" s="42">
        <v>42396.368414351855</v>
      </c>
      <c r="G142" t="s">
        <v>42</v>
      </c>
      <c r="H142">
        <v>0</v>
      </c>
      <c r="I142" t="s">
        <v>368</v>
      </c>
    </row>
    <row r="143" spans="2:9">
      <c r="B143" t="s">
        <v>12</v>
      </c>
      <c r="C143" s="42">
        <v>42396.369525462964</v>
      </c>
      <c r="D143" t="s">
        <v>42</v>
      </c>
      <c r="E143" t="s">
        <v>98</v>
      </c>
      <c r="F143" s="42">
        <v>42396.373240740744</v>
      </c>
      <c r="G143" t="s">
        <v>42</v>
      </c>
      <c r="H143">
        <v>0</v>
      </c>
      <c r="I143" t="s">
        <v>369</v>
      </c>
    </row>
    <row r="144" spans="2:9">
      <c r="B144" t="s">
        <v>12</v>
      </c>
      <c r="C144" s="42">
        <v>42396.373657407406</v>
      </c>
      <c r="D144" t="s">
        <v>42</v>
      </c>
      <c r="E144" t="s">
        <v>98</v>
      </c>
      <c r="F144" s="42">
        <v>42396.380648148152</v>
      </c>
      <c r="G144" t="s">
        <v>42</v>
      </c>
      <c r="H144">
        <v>0</v>
      </c>
      <c r="I144" t="s">
        <v>370</v>
      </c>
    </row>
    <row r="145" spans="2:9">
      <c r="B145" t="s">
        <v>12</v>
      </c>
      <c r="C145" s="42">
        <v>42396.433159722219</v>
      </c>
      <c r="D145" t="s">
        <v>42</v>
      </c>
      <c r="E145" t="s">
        <v>98</v>
      </c>
      <c r="F145" s="42">
        <v>42396.43482638889</v>
      </c>
      <c r="G145" t="s">
        <v>42</v>
      </c>
      <c r="H145">
        <v>0</v>
      </c>
      <c r="I145" t="s">
        <v>371</v>
      </c>
    </row>
    <row r="146" spans="2:9">
      <c r="B146" t="s">
        <v>12</v>
      </c>
      <c r="C146" s="42">
        <v>42396.43582175926</v>
      </c>
      <c r="D146" t="s">
        <v>42</v>
      </c>
      <c r="E146" t="s">
        <v>98</v>
      </c>
      <c r="F146" s="42">
        <v>42396.509930555556</v>
      </c>
      <c r="G146" t="s">
        <v>42</v>
      </c>
      <c r="H146">
        <v>45.555</v>
      </c>
      <c r="I146" t="s">
        <v>372</v>
      </c>
    </row>
    <row r="147" spans="2:9">
      <c r="B147" t="s">
        <v>12</v>
      </c>
      <c r="C147" s="42">
        <v>42396.526898148149</v>
      </c>
      <c r="D147" t="s">
        <v>42</v>
      </c>
      <c r="E147" t="s">
        <v>98</v>
      </c>
      <c r="F147" s="42">
        <v>42396.531805555554</v>
      </c>
      <c r="G147" t="s">
        <v>42</v>
      </c>
      <c r="H147">
        <v>0.4</v>
      </c>
      <c r="I147" t="s">
        <v>373</v>
      </c>
    </row>
    <row r="148" spans="2:9">
      <c r="B148" t="s">
        <v>12</v>
      </c>
      <c r="C148" s="42">
        <v>42396.550138888888</v>
      </c>
      <c r="D148" t="s">
        <v>42</v>
      </c>
      <c r="E148" t="s">
        <v>98</v>
      </c>
      <c r="F148" s="42">
        <v>42396.55840277778</v>
      </c>
      <c r="G148" t="s">
        <v>42</v>
      </c>
      <c r="H148">
        <v>0.621</v>
      </c>
      <c r="I148" t="s">
        <v>142</v>
      </c>
    </row>
    <row r="149" spans="2:9">
      <c r="B149" t="s">
        <v>12</v>
      </c>
      <c r="C149" s="42">
        <v>42396.558749999997</v>
      </c>
      <c r="D149" t="s">
        <v>42</v>
      </c>
      <c r="E149" t="s">
        <v>98</v>
      </c>
      <c r="F149" s="42">
        <v>42396.628807870373</v>
      </c>
      <c r="G149" t="s">
        <v>62</v>
      </c>
      <c r="H149">
        <v>40.331000000000003</v>
      </c>
      <c r="I149" t="s">
        <v>374</v>
      </c>
    </row>
    <row r="150" spans="2:9">
      <c r="B150" t="s">
        <v>12</v>
      </c>
      <c r="C150" s="42">
        <v>42396.635081018518</v>
      </c>
      <c r="D150" t="s">
        <v>62</v>
      </c>
      <c r="E150" t="s">
        <v>98</v>
      </c>
      <c r="F150" s="42">
        <v>42396.67150462963</v>
      </c>
      <c r="G150" t="s">
        <v>42</v>
      </c>
      <c r="H150">
        <v>5.9359999999999999</v>
      </c>
      <c r="I150" t="s">
        <v>375</v>
      </c>
    </row>
    <row r="151" spans="2:9">
      <c r="B151" t="s">
        <v>12</v>
      </c>
      <c r="C151" s="42">
        <v>42397.288101851853</v>
      </c>
      <c r="D151" t="s">
        <v>42</v>
      </c>
      <c r="E151" t="s">
        <v>99</v>
      </c>
      <c r="F151" s="42">
        <v>42397.460798611108</v>
      </c>
      <c r="G151" t="s">
        <v>377</v>
      </c>
      <c r="H151">
        <v>76.096000000000004</v>
      </c>
      <c r="I151" t="s">
        <v>376</v>
      </c>
    </row>
    <row r="152" spans="2:9">
      <c r="B152" t="s">
        <v>12</v>
      </c>
      <c r="C152" s="42">
        <v>42397.463171296295</v>
      </c>
      <c r="D152" t="s">
        <v>377</v>
      </c>
      <c r="E152" t="s">
        <v>99</v>
      </c>
      <c r="F152" s="42">
        <v>42397.493854166663</v>
      </c>
      <c r="G152" t="s">
        <v>42</v>
      </c>
      <c r="H152">
        <v>16.411999999999999</v>
      </c>
      <c r="I152" t="s">
        <v>378</v>
      </c>
    </row>
    <row r="153" spans="2:9">
      <c r="B153" t="s">
        <v>12</v>
      </c>
      <c r="C153" s="42">
        <v>42397.49428240741</v>
      </c>
      <c r="D153" t="s">
        <v>42</v>
      </c>
      <c r="E153" t="s">
        <v>99</v>
      </c>
      <c r="F153" s="42">
        <v>42397.495266203703</v>
      </c>
      <c r="G153" t="s">
        <v>42</v>
      </c>
      <c r="H153">
        <v>2E-3</v>
      </c>
      <c r="I153" t="s">
        <v>379</v>
      </c>
    </row>
    <row r="154" spans="2:9">
      <c r="B154" t="s">
        <v>12</v>
      </c>
      <c r="C154" s="42">
        <v>42397.500937500001</v>
      </c>
      <c r="D154" t="s">
        <v>42</v>
      </c>
      <c r="E154" t="s">
        <v>99</v>
      </c>
      <c r="F154" s="42">
        <v>42397.511724537035</v>
      </c>
      <c r="G154" t="s">
        <v>42</v>
      </c>
      <c r="H154">
        <v>0.84199999999999997</v>
      </c>
      <c r="I154" t="s">
        <v>380</v>
      </c>
    </row>
    <row r="155" spans="2:9">
      <c r="B155" t="s">
        <v>12</v>
      </c>
      <c r="C155" s="42">
        <v>42397.535775462966</v>
      </c>
      <c r="D155" t="s">
        <v>42</v>
      </c>
      <c r="E155" t="s">
        <v>99</v>
      </c>
      <c r="F155" s="42">
        <v>42397.590081018519</v>
      </c>
      <c r="G155" t="s">
        <v>62</v>
      </c>
      <c r="H155">
        <v>40.752000000000002</v>
      </c>
      <c r="I155" t="s">
        <v>381</v>
      </c>
    </row>
    <row r="156" spans="2:9">
      <c r="B156" t="s">
        <v>12</v>
      </c>
      <c r="C156" s="42">
        <v>42397.593819444446</v>
      </c>
      <c r="D156" t="s">
        <v>62</v>
      </c>
      <c r="E156" t="s">
        <v>99</v>
      </c>
      <c r="F156" s="42">
        <v>42397.603506944448</v>
      </c>
      <c r="G156" t="s">
        <v>42</v>
      </c>
      <c r="H156">
        <v>5.7469999999999999</v>
      </c>
      <c r="I156" t="s">
        <v>179</v>
      </c>
    </row>
    <row r="157" spans="2:9">
      <c r="B157" t="s">
        <v>13</v>
      </c>
      <c r="C157" s="42">
        <v>42395.389155092591</v>
      </c>
      <c r="D157" t="s">
        <v>55</v>
      </c>
      <c r="E157" t="s">
        <v>97</v>
      </c>
      <c r="F157" s="42">
        <v>42395.396898148145</v>
      </c>
      <c r="G157" t="s">
        <v>55</v>
      </c>
      <c r="H157">
        <v>2.1999999999999999E-2</v>
      </c>
      <c r="I157" t="s">
        <v>382</v>
      </c>
    </row>
    <row r="158" spans="2:9">
      <c r="B158" t="s">
        <v>13</v>
      </c>
      <c r="C158" s="42">
        <v>42395.397083333337</v>
      </c>
      <c r="D158" t="s">
        <v>55</v>
      </c>
      <c r="E158" t="s">
        <v>97</v>
      </c>
      <c r="F158" s="42">
        <v>42395.404351851852</v>
      </c>
      <c r="G158" t="s">
        <v>55</v>
      </c>
      <c r="H158">
        <v>1.4E-2</v>
      </c>
      <c r="I158" t="s">
        <v>383</v>
      </c>
    </row>
    <row r="159" spans="2:9">
      <c r="B159" t="s">
        <v>13</v>
      </c>
      <c r="C159" s="42">
        <v>42396.2575</v>
      </c>
      <c r="D159" t="s">
        <v>55</v>
      </c>
      <c r="E159" t="s">
        <v>98</v>
      </c>
      <c r="F159" s="42">
        <v>42396.309108796297</v>
      </c>
      <c r="G159" t="s">
        <v>55</v>
      </c>
      <c r="H159">
        <v>0.14799999999999999</v>
      </c>
      <c r="I159" t="s">
        <v>384</v>
      </c>
    </row>
    <row r="160" spans="2:9">
      <c r="B160" t="s">
        <v>13</v>
      </c>
      <c r="C160" s="42">
        <v>42396.476145833331</v>
      </c>
      <c r="D160" t="s">
        <v>55</v>
      </c>
      <c r="E160" t="s">
        <v>98</v>
      </c>
      <c r="F160" s="42">
        <v>42396.481006944443</v>
      </c>
      <c r="G160" t="s">
        <v>55</v>
      </c>
      <c r="H160">
        <v>0.14499999999999999</v>
      </c>
      <c r="I160" t="s">
        <v>385</v>
      </c>
    </row>
    <row r="161" spans="2:9">
      <c r="B161" t="s">
        <v>13</v>
      </c>
      <c r="C161" s="42">
        <v>42396.535902777781</v>
      </c>
      <c r="D161" t="s">
        <v>55</v>
      </c>
      <c r="E161" t="s">
        <v>98</v>
      </c>
      <c r="F161" s="42">
        <v>42396.539467592593</v>
      </c>
      <c r="G161" t="s">
        <v>55</v>
      </c>
      <c r="H161">
        <v>5.8999999999999997E-2</v>
      </c>
      <c r="I161" t="s">
        <v>177</v>
      </c>
    </row>
    <row r="162" spans="2:9">
      <c r="B162" t="s">
        <v>13</v>
      </c>
      <c r="C162" s="42">
        <v>42397.397893518515</v>
      </c>
      <c r="D162" t="s">
        <v>55</v>
      </c>
      <c r="E162" t="s">
        <v>99</v>
      </c>
      <c r="F162" s="42">
        <v>42397.401226851849</v>
      </c>
      <c r="G162" t="s">
        <v>55</v>
      </c>
      <c r="H162">
        <v>1.9E-2</v>
      </c>
      <c r="I162" t="s">
        <v>242</v>
      </c>
    </row>
    <row r="163" spans="2:9">
      <c r="B163" t="s">
        <v>14</v>
      </c>
      <c r="C163" s="42">
        <v>42394.325532407405</v>
      </c>
      <c r="D163" t="s">
        <v>58</v>
      </c>
      <c r="E163" t="s">
        <v>40</v>
      </c>
      <c r="F163" s="42">
        <v>42394.337685185186</v>
      </c>
      <c r="G163" t="s">
        <v>58</v>
      </c>
      <c r="H163">
        <v>0.60099999999999998</v>
      </c>
      <c r="I163" t="s">
        <v>386</v>
      </c>
    </row>
    <row r="164" spans="2:9">
      <c r="B164" t="s">
        <v>14</v>
      </c>
      <c r="C164" s="42">
        <v>42394.373159722221</v>
      </c>
      <c r="D164" t="s">
        <v>58</v>
      </c>
      <c r="E164" t="s">
        <v>40</v>
      </c>
      <c r="F164" s="42">
        <v>42394.373993055553</v>
      </c>
      <c r="G164" t="s">
        <v>58</v>
      </c>
      <c r="H164">
        <v>0</v>
      </c>
      <c r="I164" t="s">
        <v>111</v>
      </c>
    </row>
    <row r="165" spans="2:9">
      <c r="B165" t="s">
        <v>14</v>
      </c>
      <c r="C165" s="42">
        <v>42394.384050925924</v>
      </c>
      <c r="D165" t="s">
        <v>58</v>
      </c>
      <c r="E165" t="s">
        <v>40</v>
      </c>
      <c r="F165" s="42">
        <v>42394.391053240739</v>
      </c>
      <c r="G165" t="s">
        <v>58</v>
      </c>
      <c r="H165">
        <v>0</v>
      </c>
      <c r="I165" t="s">
        <v>387</v>
      </c>
    </row>
    <row r="166" spans="2:9">
      <c r="B166" t="s">
        <v>14</v>
      </c>
      <c r="C166" s="42">
        <v>42394.642743055556</v>
      </c>
      <c r="D166" t="s">
        <v>58</v>
      </c>
      <c r="E166" t="s">
        <v>40</v>
      </c>
      <c r="F166" s="42">
        <v>42394.644733796296</v>
      </c>
      <c r="G166" t="s">
        <v>58</v>
      </c>
      <c r="H166">
        <v>0</v>
      </c>
      <c r="I166" t="s">
        <v>388</v>
      </c>
    </row>
    <row r="167" spans="2:9">
      <c r="B167" t="s">
        <v>14</v>
      </c>
      <c r="C167" s="42">
        <v>42394.645937499998</v>
      </c>
      <c r="D167" t="s">
        <v>58</v>
      </c>
      <c r="E167" t="s">
        <v>40</v>
      </c>
      <c r="F167" s="42">
        <v>42394.6487037037</v>
      </c>
      <c r="G167" t="s">
        <v>58</v>
      </c>
      <c r="H167">
        <v>0.32</v>
      </c>
      <c r="I167" t="s">
        <v>134</v>
      </c>
    </row>
    <row r="168" spans="2:9">
      <c r="B168" t="s">
        <v>14</v>
      </c>
      <c r="C168" s="42">
        <v>42394.648912037039</v>
      </c>
      <c r="D168" t="s">
        <v>58</v>
      </c>
      <c r="E168" t="s">
        <v>40</v>
      </c>
      <c r="F168" s="42">
        <v>42394.651053240741</v>
      </c>
      <c r="G168" t="s">
        <v>58</v>
      </c>
      <c r="H168">
        <v>0</v>
      </c>
      <c r="I168" t="s">
        <v>239</v>
      </c>
    </row>
    <row r="169" spans="2:9">
      <c r="B169" t="s">
        <v>14</v>
      </c>
      <c r="C169" s="42">
        <v>42394.653194444443</v>
      </c>
      <c r="D169" t="s">
        <v>58</v>
      </c>
      <c r="E169" t="s">
        <v>40</v>
      </c>
      <c r="F169" s="42">
        <v>42394.655729166669</v>
      </c>
      <c r="G169" t="s">
        <v>58</v>
      </c>
      <c r="H169">
        <v>0</v>
      </c>
      <c r="I169" t="s">
        <v>389</v>
      </c>
    </row>
    <row r="170" spans="2:9">
      <c r="B170" t="s">
        <v>14</v>
      </c>
      <c r="C170" s="42">
        <v>42394.656990740739</v>
      </c>
      <c r="D170" t="s">
        <v>58</v>
      </c>
      <c r="E170" t="s">
        <v>40</v>
      </c>
      <c r="F170" s="42">
        <v>42394.664930555555</v>
      </c>
      <c r="G170" t="s">
        <v>58</v>
      </c>
      <c r="H170">
        <v>0</v>
      </c>
      <c r="I170" t="s">
        <v>390</v>
      </c>
    </row>
    <row r="171" spans="2:9">
      <c r="B171" t="s">
        <v>14</v>
      </c>
      <c r="C171" s="42">
        <v>42394.676793981482</v>
      </c>
      <c r="D171" t="s">
        <v>58</v>
      </c>
      <c r="E171" t="s">
        <v>40</v>
      </c>
      <c r="F171" s="42">
        <v>42394.678680555553</v>
      </c>
      <c r="G171" t="s">
        <v>58</v>
      </c>
      <c r="H171">
        <v>0.28799999999999998</v>
      </c>
      <c r="I171" t="s">
        <v>45</v>
      </c>
    </row>
    <row r="172" spans="2:9">
      <c r="B172" t="s">
        <v>14</v>
      </c>
      <c r="C172" s="42">
        <v>42394.682951388888</v>
      </c>
      <c r="D172" t="s">
        <v>58</v>
      </c>
      <c r="E172" t="s">
        <v>40</v>
      </c>
      <c r="F172" s="42">
        <v>42394.701157407406</v>
      </c>
      <c r="G172" t="s">
        <v>58</v>
      </c>
      <c r="H172">
        <v>0.28100000000000003</v>
      </c>
      <c r="I172" t="s">
        <v>391</v>
      </c>
    </row>
    <row r="173" spans="2:9">
      <c r="B173" t="s">
        <v>14</v>
      </c>
      <c r="C173" s="42">
        <v>42395.357094907406</v>
      </c>
      <c r="D173" t="s">
        <v>58</v>
      </c>
      <c r="E173" t="s">
        <v>97</v>
      </c>
      <c r="F173" s="42">
        <v>42395.363842592589</v>
      </c>
      <c r="G173" t="s">
        <v>58</v>
      </c>
      <c r="H173">
        <v>0.33200000000000002</v>
      </c>
      <c r="I173" t="s">
        <v>392</v>
      </c>
    </row>
    <row r="174" spans="2:9">
      <c r="B174" t="s">
        <v>14</v>
      </c>
      <c r="C174" s="42">
        <v>42395.38077546296</v>
      </c>
      <c r="D174" t="s">
        <v>58</v>
      </c>
      <c r="E174" t="s">
        <v>97</v>
      </c>
      <c r="F174" s="42">
        <v>42395.398333333331</v>
      </c>
      <c r="G174" t="s">
        <v>58</v>
      </c>
      <c r="H174">
        <v>2.5000000000000001E-2</v>
      </c>
      <c r="I174" t="s">
        <v>393</v>
      </c>
    </row>
    <row r="175" spans="2:9">
      <c r="B175" t="s">
        <v>14</v>
      </c>
      <c r="C175" s="42">
        <v>42395.610300925924</v>
      </c>
      <c r="D175" t="s">
        <v>58</v>
      </c>
      <c r="E175" t="s">
        <v>97</v>
      </c>
      <c r="F175" s="42">
        <v>42395.617569444446</v>
      </c>
      <c r="G175" t="s">
        <v>58</v>
      </c>
      <c r="H175">
        <v>1.7999999999999999E-2</v>
      </c>
      <c r="I175" t="s">
        <v>383</v>
      </c>
    </row>
    <row r="176" spans="2:9">
      <c r="B176" t="s">
        <v>14</v>
      </c>
      <c r="C176" s="42">
        <v>42395.620405092595</v>
      </c>
      <c r="D176" t="s">
        <v>58</v>
      </c>
      <c r="E176" t="s">
        <v>97</v>
      </c>
      <c r="F176" s="42">
        <v>42395.718402777777</v>
      </c>
      <c r="G176" t="s">
        <v>55</v>
      </c>
      <c r="H176">
        <v>55.543999999999997</v>
      </c>
      <c r="I176" t="s">
        <v>394</v>
      </c>
    </row>
    <row r="177" spans="2:9">
      <c r="B177" t="s">
        <v>14</v>
      </c>
      <c r="C177" s="42">
        <v>42396.28396990741</v>
      </c>
      <c r="D177" t="s">
        <v>55</v>
      </c>
      <c r="E177" t="s">
        <v>98</v>
      </c>
      <c r="F177" s="42">
        <v>42396.416967592595</v>
      </c>
      <c r="G177" t="s">
        <v>396</v>
      </c>
      <c r="H177">
        <v>93.569000000000003</v>
      </c>
      <c r="I177" t="s">
        <v>395</v>
      </c>
    </row>
    <row r="178" spans="2:9">
      <c r="B178" t="s">
        <v>14</v>
      </c>
      <c r="C178" s="42">
        <v>42396.425787037035</v>
      </c>
      <c r="D178" t="s">
        <v>396</v>
      </c>
      <c r="E178" t="s">
        <v>98</v>
      </c>
      <c r="F178" s="42">
        <v>42396.606423611112</v>
      </c>
      <c r="G178" t="s">
        <v>184</v>
      </c>
      <c r="H178">
        <v>104.35299999999999</v>
      </c>
      <c r="I178" t="s">
        <v>397</v>
      </c>
    </row>
    <row r="179" spans="2:9">
      <c r="B179" t="s">
        <v>14</v>
      </c>
      <c r="C179" s="42">
        <v>42396.606631944444</v>
      </c>
      <c r="D179" t="s">
        <v>184</v>
      </c>
      <c r="E179" t="s">
        <v>98</v>
      </c>
      <c r="F179" s="42">
        <v>42396.611956018518</v>
      </c>
      <c r="G179" t="s">
        <v>230</v>
      </c>
      <c r="H179">
        <v>0.29799999999999999</v>
      </c>
      <c r="I179" t="s">
        <v>398</v>
      </c>
    </row>
    <row r="180" spans="2:9">
      <c r="B180" t="s">
        <v>14</v>
      </c>
      <c r="C180" s="42">
        <v>42396.644988425927</v>
      </c>
      <c r="D180" t="s">
        <v>230</v>
      </c>
      <c r="E180" t="s">
        <v>98</v>
      </c>
      <c r="F180" s="42">
        <v>42396.648402777777</v>
      </c>
      <c r="G180" t="s">
        <v>230</v>
      </c>
      <c r="H180">
        <v>0</v>
      </c>
      <c r="I180" t="s">
        <v>399</v>
      </c>
    </row>
    <row r="181" spans="2:9">
      <c r="B181" t="s">
        <v>14</v>
      </c>
      <c r="C181" s="42">
        <v>42396.673854166664</v>
      </c>
      <c r="D181" t="s">
        <v>230</v>
      </c>
      <c r="E181" t="s">
        <v>98</v>
      </c>
      <c r="F181" s="42">
        <v>42396.674814814818</v>
      </c>
      <c r="G181" t="s">
        <v>230</v>
      </c>
      <c r="H181">
        <v>0</v>
      </c>
      <c r="I181" t="s">
        <v>400</v>
      </c>
    </row>
    <row r="182" spans="2:9">
      <c r="B182" t="s">
        <v>14</v>
      </c>
      <c r="C182" s="42">
        <v>42396.746180555558</v>
      </c>
      <c r="D182" t="s">
        <v>230</v>
      </c>
      <c r="E182" t="s">
        <v>98</v>
      </c>
      <c r="F182" s="42">
        <v>42396.755844907406</v>
      </c>
      <c r="G182" t="s">
        <v>230</v>
      </c>
      <c r="H182">
        <v>0</v>
      </c>
      <c r="I182" t="s">
        <v>181</v>
      </c>
    </row>
    <row r="183" spans="2:9">
      <c r="B183" t="s">
        <v>14</v>
      </c>
      <c r="C183" s="42">
        <v>42397.316979166666</v>
      </c>
      <c r="D183" t="s">
        <v>230</v>
      </c>
      <c r="E183" t="s">
        <v>99</v>
      </c>
      <c r="F183" s="42">
        <v>42397.378449074073</v>
      </c>
      <c r="G183" t="s">
        <v>52</v>
      </c>
      <c r="H183">
        <v>20.271000000000001</v>
      </c>
      <c r="I183" t="s">
        <v>401</v>
      </c>
    </row>
    <row r="184" spans="2:9">
      <c r="B184" t="s">
        <v>14</v>
      </c>
      <c r="C184" s="42">
        <v>42397.399398148147</v>
      </c>
      <c r="D184" t="s">
        <v>52</v>
      </c>
      <c r="E184" t="s">
        <v>99</v>
      </c>
      <c r="F184" s="42">
        <v>42397.408310185187</v>
      </c>
      <c r="G184" t="s">
        <v>52</v>
      </c>
      <c r="H184">
        <v>0.41199999999999998</v>
      </c>
      <c r="I184" t="s">
        <v>402</v>
      </c>
    </row>
    <row r="185" spans="2:9">
      <c r="B185" t="s">
        <v>14</v>
      </c>
      <c r="C185" s="42">
        <v>42397.409270833334</v>
      </c>
      <c r="D185" t="s">
        <v>52</v>
      </c>
      <c r="E185" t="s">
        <v>99</v>
      </c>
      <c r="F185" s="42">
        <v>42397.442858796298</v>
      </c>
      <c r="G185" t="s">
        <v>42</v>
      </c>
      <c r="H185">
        <v>14.475</v>
      </c>
      <c r="I185" t="s">
        <v>403</v>
      </c>
    </row>
    <row r="186" spans="2:9">
      <c r="B186" t="s">
        <v>14</v>
      </c>
      <c r="C186" s="42">
        <v>42397.477847222224</v>
      </c>
      <c r="D186" t="s">
        <v>42</v>
      </c>
      <c r="E186" t="s">
        <v>99</v>
      </c>
      <c r="F186" s="42">
        <v>42397.484803240739</v>
      </c>
      <c r="G186" t="s">
        <v>42</v>
      </c>
      <c r="H186">
        <v>0.48599999999999999</v>
      </c>
      <c r="I186" t="s">
        <v>404</v>
      </c>
    </row>
    <row r="187" spans="2:9">
      <c r="B187" t="s">
        <v>14</v>
      </c>
      <c r="C187" s="42">
        <v>42397.496701388889</v>
      </c>
      <c r="D187" t="s">
        <v>42</v>
      </c>
      <c r="E187" t="s">
        <v>99</v>
      </c>
      <c r="F187" s="42">
        <v>42397.537905092591</v>
      </c>
      <c r="G187" t="s">
        <v>406</v>
      </c>
      <c r="H187">
        <v>21.815000000000001</v>
      </c>
      <c r="I187" t="s">
        <v>405</v>
      </c>
    </row>
    <row r="188" spans="2:9">
      <c r="B188" t="s">
        <v>14</v>
      </c>
      <c r="C188" s="42">
        <v>42397.575046296297</v>
      </c>
      <c r="D188" t="s">
        <v>406</v>
      </c>
      <c r="E188" t="s">
        <v>99</v>
      </c>
      <c r="F188" s="42">
        <v>42397.576724537037</v>
      </c>
      <c r="G188" t="s">
        <v>406</v>
      </c>
      <c r="H188">
        <v>0</v>
      </c>
      <c r="I188" t="s">
        <v>407</v>
      </c>
    </row>
    <row r="189" spans="2:9">
      <c r="B189" t="s">
        <v>14</v>
      </c>
      <c r="C189" s="42">
        <v>42397.613159722219</v>
      </c>
      <c r="D189" t="s">
        <v>406</v>
      </c>
      <c r="E189" t="s">
        <v>99</v>
      </c>
      <c r="F189" s="42">
        <v>42397.638715277775</v>
      </c>
      <c r="G189" t="s">
        <v>184</v>
      </c>
      <c r="H189">
        <v>8.0980000000000008</v>
      </c>
      <c r="I189" t="s">
        <v>408</v>
      </c>
    </row>
    <row r="190" spans="2:9">
      <c r="B190" t="s">
        <v>14</v>
      </c>
      <c r="C190" s="42">
        <v>42398.38590277778</v>
      </c>
      <c r="D190" t="s">
        <v>223</v>
      </c>
      <c r="E190" t="s">
        <v>106</v>
      </c>
      <c r="F190" s="42">
        <v>42398.390613425923</v>
      </c>
      <c r="G190" t="s">
        <v>223</v>
      </c>
      <c r="H190">
        <v>0</v>
      </c>
      <c r="I190" t="s">
        <v>409</v>
      </c>
    </row>
    <row r="191" spans="2:9">
      <c r="B191" t="s">
        <v>14</v>
      </c>
      <c r="C191" s="42">
        <v>42398.427083333336</v>
      </c>
      <c r="D191" t="s">
        <v>223</v>
      </c>
      <c r="E191" t="s">
        <v>106</v>
      </c>
      <c r="F191" s="42">
        <v>42398.429212962961</v>
      </c>
      <c r="G191" t="s">
        <v>223</v>
      </c>
      <c r="H191">
        <v>0</v>
      </c>
      <c r="I191" t="s">
        <v>139</v>
      </c>
    </row>
    <row r="192" spans="2:9">
      <c r="B192" t="s">
        <v>15</v>
      </c>
      <c r="C192" s="42">
        <v>42394.278749999998</v>
      </c>
      <c r="D192" t="s">
        <v>55</v>
      </c>
      <c r="E192" t="s">
        <v>40</v>
      </c>
      <c r="F192" s="42">
        <v>42394.306226851855</v>
      </c>
      <c r="G192" t="s">
        <v>55</v>
      </c>
      <c r="H192">
        <v>0.34100000000000003</v>
      </c>
      <c r="I192" t="s">
        <v>236</v>
      </c>
    </row>
    <row r="193" spans="2:9">
      <c r="B193" t="s">
        <v>15</v>
      </c>
      <c r="C193" s="42">
        <v>42394.313379629632</v>
      </c>
      <c r="D193" t="s">
        <v>55</v>
      </c>
      <c r="E193" t="s">
        <v>40</v>
      </c>
      <c r="F193" s="42">
        <v>42394.713807870372</v>
      </c>
      <c r="G193" t="s">
        <v>54</v>
      </c>
      <c r="H193">
        <v>243.36600000000001</v>
      </c>
      <c r="I193" t="s">
        <v>410</v>
      </c>
    </row>
    <row r="194" spans="2:9">
      <c r="B194" t="s">
        <v>15</v>
      </c>
      <c r="C194" s="42">
        <v>42394.718124999999</v>
      </c>
      <c r="D194" t="s">
        <v>54</v>
      </c>
      <c r="E194" t="s">
        <v>40</v>
      </c>
      <c r="F194" s="42">
        <v>42394.746736111112</v>
      </c>
      <c r="G194" t="s">
        <v>55</v>
      </c>
      <c r="H194">
        <v>28.111000000000001</v>
      </c>
      <c r="I194" t="s">
        <v>285</v>
      </c>
    </row>
    <row r="195" spans="2:9">
      <c r="B195" t="s">
        <v>15</v>
      </c>
      <c r="C195" s="42">
        <v>42395.24417824074</v>
      </c>
      <c r="D195" t="s">
        <v>55</v>
      </c>
      <c r="E195" t="s">
        <v>97</v>
      </c>
      <c r="F195" s="42">
        <v>42395.260960648149</v>
      </c>
      <c r="G195" t="s">
        <v>55</v>
      </c>
      <c r="H195">
        <v>0.35399999999999998</v>
      </c>
      <c r="I195" t="s">
        <v>411</v>
      </c>
    </row>
    <row r="196" spans="2:9">
      <c r="B196" t="s">
        <v>15</v>
      </c>
      <c r="C196" s="42">
        <v>42395.261840277781</v>
      </c>
      <c r="D196" t="s">
        <v>55</v>
      </c>
      <c r="E196" t="s">
        <v>97</v>
      </c>
      <c r="F196" s="42">
        <v>42395.264351851853</v>
      </c>
      <c r="G196" t="s">
        <v>55</v>
      </c>
      <c r="H196">
        <v>7.0000000000000001E-3</v>
      </c>
      <c r="I196" t="s">
        <v>412</v>
      </c>
    </row>
    <row r="197" spans="2:9">
      <c r="B197" t="s">
        <v>15</v>
      </c>
      <c r="C197" s="42">
        <v>42395.270266203705</v>
      </c>
      <c r="D197" t="s">
        <v>55</v>
      </c>
      <c r="E197" t="s">
        <v>97</v>
      </c>
      <c r="F197" s="42">
        <v>42395.47047453704</v>
      </c>
      <c r="G197" t="s">
        <v>54</v>
      </c>
      <c r="H197">
        <v>112.82599999999999</v>
      </c>
      <c r="I197" t="s">
        <v>413</v>
      </c>
    </row>
    <row r="198" spans="2:9">
      <c r="B198" t="s">
        <v>15</v>
      </c>
      <c r="C198" s="42">
        <v>42395.474374999998</v>
      </c>
      <c r="D198" t="s">
        <v>54</v>
      </c>
      <c r="E198" t="s">
        <v>97</v>
      </c>
      <c r="F198" s="42">
        <v>42395.541296296295</v>
      </c>
      <c r="G198" t="s">
        <v>55</v>
      </c>
      <c r="H198">
        <v>29.46</v>
      </c>
      <c r="I198" t="s">
        <v>414</v>
      </c>
    </row>
    <row r="199" spans="2:9">
      <c r="B199" t="s">
        <v>15</v>
      </c>
      <c r="C199" s="42">
        <v>42395.551793981482</v>
      </c>
      <c r="D199" t="s">
        <v>55</v>
      </c>
      <c r="E199" t="s">
        <v>97</v>
      </c>
      <c r="F199" s="42">
        <v>42395.745300925926</v>
      </c>
      <c r="G199" t="s">
        <v>55</v>
      </c>
      <c r="H199">
        <v>103.875</v>
      </c>
      <c r="I199" t="s">
        <v>415</v>
      </c>
    </row>
    <row r="200" spans="2:9">
      <c r="B200" t="s">
        <v>15</v>
      </c>
      <c r="C200" s="42">
        <v>42396.245324074072</v>
      </c>
      <c r="D200" t="s">
        <v>55</v>
      </c>
      <c r="E200" t="s">
        <v>98</v>
      </c>
      <c r="F200" s="42">
        <v>42396.260150462964</v>
      </c>
      <c r="G200" t="s">
        <v>55</v>
      </c>
      <c r="H200">
        <v>0.313</v>
      </c>
      <c r="I200" t="s">
        <v>416</v>
      </c>
    </row>
    <row r="201" spans="2:9">
      <c r="B201" t="s">
        <v>15</v>
      </c>
      <c r="C201" s="42">
        <v>42396.260833333334</v>
      </c>
      <c r="D201" t="s">
        <v>55</v>
      </c>
      <c r="E201" t="s">
        <v>98</v>
      </c>
      <c r="F201" s="42">
        <v>42396.287349537037</v>
      </c>
      <c r="G201" t="s">
        <v>55</v>
      </c>
      <c r="H201">
        <v>0.83899999999999997</v>
      </c>
      <c r="I201" t="s">
        <v>417</v>
      </c>
    </row>
    <row r="202" spans="2:9">
      <c r="B202" t="s">
        <v>15</v>
      </c>
      <c r="C202" s="42">
        <v>42396.366238425922</v>
      </c>
      <c r="D202" t="s">
        <v>55</v>
      </c>
      <c r="E202" t="s">
        <v>98</v>
      </c>
      <c r="F202" s="42">
        <v>42396.377685185187</v>
      </c>
      <c r="G202" t="s">
        <v>55</v>
      </c>
      <c r="H202">
        <v>0.45900000000000002</v>
      </c>
      <c r="I202" t="s">
        <v>418</v>
      </c>
    </row>
    <row r="203" spans="2:9">
      <c r="B203" t="s">
        <v>15</v>
      </c>
      <c r="C203" s="42">
        <v>42396.37809027778</v>
      </c>
      <c r="D203" t="s">
        <v>55</v>
      </c>
      <c r="E203" t="s">
        <v>98</v>
      </c>
      <c r="F203" s="42">
        <v>42396.378472222219</v>
      </c>
      <c r="G203" t="s">
        <v>55</v>
      </c>
      <c r="H203">
        <v>0</v>
      </c>
      <c r="I203" t="s">
        <v>115</v>
      </c>
    </row>
    <row r="204" spans="2:9">
      <c r="B204" t="s">
        <v>15</v>
      </c>
      <c r="C204" s="42">
        <v>42396.473055555558</v>
      </c>
      <c r="D204" t="s">
        <v>55</v>
      </c>
      <c r="E204" t="s">
        <v>98</v>
      </c>
      <c r="F204" s="42">
        <v>42396.474085648151</v>
      </c>
      <c r="G204" t="s">
        <v>55</v>
      </c>
      <c r="H204">
        <v>0</v>
      </c>
      <c r="I204" t="s">
        <v>419</v>
      </c>
    </row>
    <row r="205" spans="2:9">
      <c r="B205" t="s">
        <v>15</v>
      </c>
      <c r="C205" s="42">
        <v>42396.4765625</v>
      </c>
      <c r="D205" t="s">
        <v>55</v>
      </c>
      <c r="E205" t="s">
        <v>98</v>
      </c>
      <c r="F205" s="42">
        <v>42396.479525462964</v>
      </c>
      <c r="G205" t="s">
        <v>55</v>
      </c>
      <c r="H205">
        <v>0</v>
      </c>
      <c r="I205" t="s">
        <v>420</v>
      </c>
    </row>
    <row r="206" spans="2:9">
      <c r="B206" t="s">
        <v>15</v>
      </c>
      <c r="C206" s="42">
        <v>42396.570798611108</v>
      </c>
      <c r="D206" t="s">
        <v>55</v>
      </c>
      <c r="E206" t="s">
        <v>98</v>
      </c>
      <c r="F206" s="42">
        <v>42396.591909722221</v>
      </c>
      <c r="G206" t="s">
        <v>55</v>
      </c>
      <c r="H206">
        <v>0</v>
      </c>
      <c r="I206" t="s">
        <v>226</v>
      </c>
    </row>
    <row r="207" spans="2:9">
      <c r="B207" t="s">
        <v>15</v>
      </c>
      <c r="C207" s="42">
        <v>42396.641400462962</v>
      </c>
      <c r="D207" t="s">
        <v>55</v>
      </c>
      <c r="E207" t="s">
        <v>98</v>
      </c>
      <c r="F207" s="42">
        <v>42396.644629629627</v>
      </c>
      <c r="G207" t="s">
        <v>55</v>
      </c>
      <c r="H207">
        <v>0</v>
      </c>
      <c r="I207" t="s">
        <v>421</v>
      </c>
    </row>
    <row r="208" spans="2:9">
      <c r="B208" t="s">
        <v>15</v>
      </c>
      <c r="C208" s="42">
        <v>42396.646006944444</v>
      </c>
      <c r="D208" t="s">
        <v>55</v>
      </c>
      <c r="E208" t="s">
        <v>98</v>
      </c>
      <c r="F208" s="42">
        <v>42396.648287037038</v>
      </c>
      <c r="G208" t="s">
        <v>55</v>
      </c>
      <c r="H208">
        <v>0</v>
      </c>
      <c r="I208" t="s">
        <v>171</v>
      </c>
    </row>
    <row r="209" spans="2:9">
      <c r="B209" t="s">
        <v>15</v>
      </c>
      <c r="C209" s="42">
        <v>42396.650185185186</v>
      </c>
      <c r="D209" t="s">
        <v>55</v>
      </c>
      <c r="E209" t="s">
        <v>98</v>
      </c>
      <c r="F209" s="42">
        <v>42396.666481481479</v>
      </c>
      <c r="G209" t="s">
        <v>55</v>
      </c>
      <c r="H209">
        <v>0.57399999999999995</v>
      </c>
      <c r="I209" t="s">
        <v>422</v>
      </c>
    </row>
    <row r="210" spans="2:9">
      <c r="B210" t="s">
        <v>15</v>
      </c>
      <c r="C210" s="42">
        <v>42396.678807870368</v>
      </c>
      <c r="D210" t="s">
        <v>55</v>
      </c>
      <c r="E210" t="s">
        <v>98</v>
      </c>
      <c r="F210" s="42">
        <v>42396.680925925924</v>
      </c>
      <c r="G210" t="s">
        <v>55</v>
      </c>
      <c r="H210">
        <v>0</v>
      </c>
      <c r="I210" t="s">
        <v>357</v>
      </c>
    </row>
    <row r="211" spans="2:9">
      <c r="B211" t="s">
        <v>15</v>
      </c>
      <c r="C211" s="42">
        <v>42396.687268518515</v>
      </c>
      <c r="D211" t="s">
        <v>55</v>
      </c>
      <c r="E211" t="s">
        <v>98</v>
      </c>
      <c r="F211" s="42">
        <v>42396.69809027778</v>
      </c>
      <c r="G211" t="s">
        <v>55</v>
      </c>
      <c r="H211">
        <v>1.024</v>
      </c>
      <c r="I211" t="s">
        <v>423</v>
      </c>
    </row>
    <row r="212" spans="2:9">
      <c r="B212" t="s">
        <v>15</v>
      </c>
      <c r="C212" s="42">
        <v>42396.720462962963</v>
      </c>
      <c r="D212" t="s">
        <v>55</v>
      </c>
      <c r="E212" t="s">
        <v>98</v>
      </c>
      <c r="F212" s="42">
        <v>42396.726377314815</v>
      </c>
      <c r="G212" t="s">
        <v>55</v>
      </c>
      <c r="H212">
        <v>3.5999999999999997E-2</v>
      </c>
      <c r="I212" t="s">
        <v>211</v>
      </c>
    </row>
    <row r="213" spans="2:9">
      <c r="B213" t="s">
        <v>15</v>
      </c>
      <c r="C213" s="42">
        <v>42397.250821759262</v>
      </c>
      <c r="D213" t="s">
        <v>55</v>
      </c>
      <c r="E213" t="s">
        <v>99</v>
      </c>
      <c r="F213" s="42">
        <v>42397.740266203706</v>
      </c>
      <c r="G213" t="s">
        <v>55</v>
      </c>
      <c r="H213">
        <v>280.279</v>
      </c>
      <c r="I213" t="s">
        <v>424</v>
      </c>
    </row>
    <row r="214" spans="2:9">
      <c r="B214" t="s">
        <v>15</v>
      </c>
      <c r="C214" s="42">
        <v>42398.255925925929</v>
      </c>
      <c r="D214" t="s">
        <v>55</v>
      </c>
      <c r="E214" t="s">
        <v>106</v>
      </c>
      <c r="F214" s="42">
        <v>42398.277141203704</v>
      </c>
      <c r="G214" t="s">
        <v>55</v>
      </c>
      <c r="H214">
        <v>0.34899999999999998</v>
      </c>
      <c r="I214" t="s">
        <v>425</v>
      </c>
    </row>
    <row r="215" spans="2:9">
      <c r="B215" t="s">
        <v>15</v>
      </c>
      <c r="C215" s="42">
        <v>42398.282835648148</v>
      </c>
      <c r="D215" t="s">
        <v>55</v>
      </c>
      <c r="E215" t="s">
        <v>106</v>
      </c>
      <c r="F215" s="42">
        <v>42398.534004629626</v>
      </c>
      <c r="G215" t="s">
        <v>160</v>
      </c>
      <c r="H215">
        <v>107.884</v>
      </c>
      <c r="I215" t="s">
        <v>426</v>
      </c>
    </row>
    <row r="216" spans="2:9">
      <c r="B216" t="s">
        <v>15</v>
      </c>
      <c r="C216" s="42">
        <v>42398.537974537037</v>
      </c>
      <c r="D216" t="s">
        <v>160</v>
      </c>
      <c r="E216" t="s">
        <v>106</v>
      </c>
      <c r="F216" s="42">
        <v>42398.557222222225</v>
      </c>
      <c r="G216" t="s">
        <v>160</v>
      </c>
      <c r="H216">
        <v>0</v>
      </c>
      <c r="I216" t="s">
        <v>427</v>
      </c>
    </row>
    <row r="217" spans="2:9">
      <c r="B217" t="s">
        <v>15</v>
      </c>
      <c r="C217" s="42">
        <v>42398.560752314814</v>
      </c>
      <c r="D217" t="s">
        <v>160</v>
      </c>
      <c r="E217" t="s">
        <v>106</v>
      </c>
      <c r="F217" s="42">
        <v>42398.5622337963</v>
      </c>
      <c r="G217" t="s">
        <v>160</v>
      </c>
      <c r="H217">
        <v>0</v>
      </c>
      <c r="I217" t="s">
        <v>50</v>
      </c>
    </row>
    <row r="218" spans="2:9">
      <c r="B218" t="s">
        <v>15</v>
      </c>
      <c r="C218" s="42">
        <v>42398.56454861111</v>
      </c>
      <c r="D218" t="s">
        <v>160</v>
      </c>
      <c r="E218" t="s">
        <v>106</v>
      </c>
      <c r="F218" s="42">
        <v>42398.569502314815</v>
      </c>
      <c r="G218" t="s">
        <v>160</v>
      </c>
      <c r="H218">
        <v>0</v>
      </c>
      <c r="I218" t="s">
        <v>428</v>
      </c>
    </row>
    <row r="219" spans="2:9">
      <c r="B219" t="s">
        <v>15</v>
      </c>
      <c r="C219" s="42">
        <v>42398.571215277778</v>
      </c>
      <c r="D219" t="s">
        <v>160</v>
      </c>
      <c r="E219" t="s">
        <v>106</v>
      </c>
      <c r="F219" s="42">
        <v>42398.586631944447</v>
      </c>
      <c r="G219" t="s">
        <v>160</v>
      </c>
      <c r="H219">
        <v>0</v>
      </c>
      <c r="I219" t="s">
        <v>429</v>
      </c>
    </row>
    <row r="220" spans="2:9">
      <c r="B220" t="s">
        <v>15</v>
      </c>
      <c r="C220" s="42">
        <v>42398.592187499999</v>
      </c>
      <c r="D220" t="s">
        <v>160</v>
      </c>
      <c r="E220" t="s">
        <v>106</v>
      </c>
      <c r="F220" s="42">
        <v>42398.713460648149</v>
      </c>
      <c r="G220" t="s">
        <v>54</v>
      </c>
      <c r="H220">
        <v>54.670999999999999</v>
      </c>
      <c r="I220" t="s">
        <v>430</v>
      </c>
    </row>
    <row r="221" spans="2:9">
      <c r="B221" t="s">
        <v>15</v>
      </c>
      <c r="C221" s="42">
        <v>42398.717870370368</v>
      </c>
      <c r="D221" t="s">
        <v>54</v>
      </c>
      <c r="E221" t="s">
        <v>106</v>
      </c>
      <c r="F221" s="42">
        <v>42398.747685185182</v>
      </c>
      <c r="G221" t="s">
        <v>55</v>
      </c>
      <c r="H221">
        <v>28.108000000000001</v>
      </c>
      <c r="I221" t="s">
        <v>431</v>
      </c>
    </row>
    <row r="222" spans="2:9">
      <c r="B222" t="s">
        <v>16</v>
      </c>
      <c r="C222" s="42">
        <v>42394.334120370368</v>
      </c>
      <c r="D222" t="s">
        <v>58</v>
      </c>
      <c r="E222" t="s">
        <v>40</v>
      </c>
      <c r="F222" s="42">
        <v>42394.34134259259</v>
      </c>
      <c r="G222" t="s">
        <v>58</v>
      </c>
      <c r="H222">
        <v>0</v>
      </c>
      <c r="I222" t="s">
        <v>432</v>
      </c>
    </row>
    <row r="223" spans="2:9">
      <c r="B223" t="s">
        <v>16</v>
      </c>
      <c r="C223" s="42">
        <v>42394.351180555554</v>
      </c>
      <c r="D223" t="s">
        <v>58</v>
      </c>
      <c r="E223" t="s">
        <v>40</v>
      </c>
      <c r="F223" s="42">
        <v>42394.352395833332</v>
      </c>
      <c r="G223" t="s">
        <v>58</v>
      </c>
      <c r="H223">
        <v>1.2999999999999999E-2</v>
      </c>
      <c r="I223" t="s">
        <v>433</v>
      </c>
    </row>
    <row r="224" spans="2:9">
      <c r="B224" t="s">
        <v>16</v>
      </c>
      <c r="C224" s="42">
        <v>42396.312175925923</v>
      </c>
      <c r="D224" t="s">
        <v>58</v>
      </c>
      <c r="E224" t="s">
        <v>98</v>
      </c>
      <c r="F224" s="42">
        <v>42396.318599537037</v>
      </c>
      <c r="G224" t="s">
        <v>58</v>
      </c>
      <c r="H224">
        <v>0</v>
      </c>
      <c r="I224" t="s">
        <v>434</v>
      </c>
    </row>
    <row r="225" spans="2:9">
      <c r="B225" t="s">
        <v>16</v>
      </c>
      <c r="C225" s="42">
        <v>42397.341990740744</v>
      </c>
      <c r="D225" t="s">
        <v>58</v>
      </c>
      <c r="E225" t="s">
        <v>99</v>
      </c>
      <c r="F225" s="42">
        <v>42397.344444444447</v>
      </c>
      <c r="G225" t="s">
        <v>58</v>
      </c>
      <c r="H225">
        <v>5.3999999999999999E-2</v>
      </c>
      <c r="I225" t="s">
        <v>238</v>
      </c>
    </row>
    <row r="226" spans="2:9">
      <c r="B226" t="s">
        <v>16</v>
      </c>
      <c r="C226" s="42">
        <v>42397.347685185188</v>
      </c>
      <c r="D226" t="s">
        <v>58</v>
      </c>
      <c r="E226" t="s">
        <v>99</v>
      </c>
      <c r="F226" s="42">
        <v>42397.35429398148</v>
      </c>
      <c r="G226" t="s">
        <v>58</v>
      </c>
      <c r="H226">
        <v>0.76200000000000001</v>
      </c>
      <c r="I226" t="s">
        <v>156</v>
      </c>
    </row>
    <row r="227" spans="2:9">
      <c r="B227" t="s">
        <v>16</v>
      </c>
      <c r="C227" s="42">
        <v>42397.361388888887</v>
      </c>
      <c r="D227" t="s">
        <v>58</v>
      </c>
      <c r="E227" t="s">
        <v>99</v>
      </c>
      <c r="F227" s="42">
        <v>42397.361886574072</v>
      </c>
      <c r="G227" t="s">
        <v>58</v>
      </c>
      <c r="H227">
        <v>0</v>
      </c>
      <c r="I227" t="s">
        <v>117</v>
      </c>
    </row>
    <row r="228" spans="2:9">
      <c r="B228" t="s">
        <v>16</v>
      </c>
      <c r="C228" s="42">
        <v>42397.378391203703</v>
      </c>
      <c r="D228" t="s">
        <v>58</v>
      </c>
      <c r="E228" t="s">
        <v>99</v>
      </c>
      <c r="F228" s="42">
        <v>42397.378912037035</v>
      </c>
      <c r="G228" t="s">
        <v>58</v>
      </c>
      <c r="H228">
        <v>0</v>
      </c>
      <c r="I228" t="s">
        <v>47</v>
      </c>
    </row>
    <row r="229" spans="2:9">
      <c r="B229" t="s">
        <v>16</v>
      </c>
      <c r="C229" s="42">
        <v>42397.409918981481</v>
      </c>
      <c r="D229" t="s">
        <v>58</v>
      </c>
      <c r="E229" t="s">
        <v>99</v>
      </c>
      <c r="F229" s="42">
        <v>42397.590451388889</v>
      </c>
      <c r="G229" t="s">
        <v>58</v>
      </c>
      <c r="H229">
        <v>18.859000000000002</v>
      </c>
      <c r="I229" t="s">
        <v>435</v>
      </c>
    </row>
    <row r="230" spans="2:9">
      <c r="B230" t="s">
        <v>16</v>
      </c>
      <c r="C230" s="42">
        <v>42397.682175925926</v>
      </c>
      <c r="D230" t="s">
        <v>58</v>
      </c>
      <c r="E230" t="s">
        <v>99</v>
      </c>
      <c r="F230" s="42">
        <v>42397.684236111112</v>
      </c>
      <c r="G230" t="s">
        <v>58</v>
      </c>
      <c r="H230">
        <v>0.20899999999999999</v>
      </c>
      <c r="I230" t="s">
        <v>208</v>
      </c>
    </row>
    <row r="231" spans="2:9">
      <c r="B231" t="s">
        <v>17</v>
      </c>
      <c r="C231" s="42">
        <v>42394.435937499999</v>
      </c>
      <c r="D231" t="s">
        <v>153</v>
      </c>
      <c r="E231" t="s">
        <v>40</v>
      </c>
      <c r="F231" s="42">
        <v>42394.44599537037</v>
      </c>
      <c r="G231" t="s">
        <v>223</v>
      </c>
      <c r="H231">
        <v>3.7999999999999999E-2</v>
      </c>
      <c r="I231" t="s">
        <v>214</v>
      </c>
    </row>
    <row r="232" spans="2:9">
      <c r="B232" t="s">
        <v>17</v>
      </c>
      <c r="C232" s="42">
        <v>42394.45039351852</v>
      </c>
      <c r="D232" t="s">
        <v>184</v>
      </c>
      <c r="E232" t="s">
        <v>40</v>
      </c>
      <c r="F232" s="42">
        <v>42394.452268518522</v>
      </c>
      <c r="G232" t="s">
        <v>436</v>
      </c>
      <c r="H232">
        <v>8.8999999999999996E-2</v>
      </c>
      <c r="I232" t="s">
        <v>57</v>
      </c>
    </row>
    <row r="233" spans="2:9">
      <c r="B233" t="s">
        <v>17</v>
      </c>
      <c r="C233" s="42">
        <v>42394.457002314812</v>
      </c>
      <c r="D233" t="s">
        <v>436</v>
      </c>
      <c r="E233" t="s">
        <v>40</v>
      </c>
      <c r="F233" s="42">
        <v>42394.46670138889</v>
      </c>
      <c r="G233" t="s">
        <v>241</v>
      </c>
      <c r="H233">
        <v>0.20899999999999999</v>
      </c>
      <c r="I233" t="s">
        <v>437</v>
      </c>
    </row>
    <row r="234" spans="2:9">
      <c r="B234" t="s">
        <v>17</v>
      </c>
      <c r="C234" s="42">
        <v>42394.47148148148</v>
      </c>
      <c r="D234" t="s">
        <v>241</v>
      </c>
      <c r="E234" t="s">
        <v>40</v>
      </c>
      <c r="F234" s="42">
        <v>42394.489236111112</v>
      </c>
      <c r="G234" t="s">
        <v>244</v>
      </c>
      <c r="H234">
        <v>0.32200000000000001</v>
      </c>
      <c r="I234" t="s">
        <v>438</v>
      </c>
    </row>
    <row r="235" spans="2:9">
      <c r="B235" t="s">
        <v>17</v>
      </c>
      <c r="C235" s="42">
        <v>42394.493032407408</v>
      </c>
      <c r="D235" t="s">
        <v>244</v>
      </c>
      <c r="E235" t="s">
        <v>40</v>
      </c>
      <c r="F235" s="42">
        <v>42394.493587962963</v>
      </c>
      <c r="G235" t="s">
        <v>244</v>
      </c>
      <c r="H235">
        <v>0</v>
      </c>
      <c r="I235" t="s">
        <v>109</v>
      </c>
    </row>
    <row r="236" spans="2:9">
      <c r="B236" t="s">
        <v>17</v>
      </c>
      <c r="C236" s="42">
        <v>42394.585057870368</v>
      </c>
      <c r="D236" t="s">
        <v>244</v>
      </c>
      <c r="E236" t="s">
        <v>40</v>
      </c>
      <c r="F236" s="42">
        <v>42394.590694444443</v>
      </c>
      <c r="G236" t="s">
        <v>152</v>
      </c>
      <c r="H236">
        <v>6.0999999999999999E-2</v>
      </c>
      <c r="I236" t="s">
        <v>439</v>
      </c>
    </row>
    <row r="237" spans="2:9">
      <c r="B237" t="s">
        <v>17</v>
      </c>
      <c r="C237" s="42">
        <v>42394.59302083333</v>
      </c>
      <c r="D237" t="s">
        <v>152</v>
      </c>
      <c r="E237" t="s">
        <v>40</v>
      </c>
      <c r="F237" s="42">
        <v>42394.596712962964</v>
      </c>
      <c r="G237" t="s">
        <v>152</v>
      </c>
      <c r="H237">
        <v>1E-3</v>
      </c>
      <c r="I237" t="s">
        <v>440</v>
      </c>
    </row>
    <row r="238" spans="2:9">
      <c r="B238" t="s">
        <v>17</v>
      </c>
      <c r="C238" s="42">
        <v>42394.601076388892</v>
      </c>
      <c r="D238" t="s">
        <v>152</v>
      </c>
      <c r="E238" t="s">
        <v>40</v>
      </c>
      <c r="F238" s="42">
        <v>42394.601307870369</v>
      </c>
      <c r="G238" t="s">
        <v>152</v>
      </c>
      <c r="H238">
        <v>0</v>
      </c>
      <c r="I238" t="s">
        <v>172</v>
      </c>
    </row>
    <row r="239" spans="2:9">
      <c r="B239" t="s">
        <v>17</v>
      </c>
      <c r="C239" s="42">
        <v>42394.60255787037</v>
      </c>
      <c r="D239" t="s">
        <v>152</v>
      </c>
      <c r="E239" t="s">
        <v>40</v>
      </c>
      <c r="F239" s="42">
        <v>42394.604687500003</v>
      </c>
      <c r="G239" t="s">
        <v>152</v>
      </c>
      <c r="H239">
        <v>0</v>
      </c>
      <c r="I239" t="s">
        <v>139</v>
      </c>
    </row>
    <row r="240" spans="2:9">
      <c r="B240" t="s">
        <v>17</v>
      </c>
      <c r="C240" s="42">
        <v>42394.67627314815</v>
      </c>
      <c r="D240" t="s">
        <v>152</v>
      </c>
      <c r="E240" t="s">
        <v>40</v>
      </c>
      <c r="F240" s="42">
        <v>42394.679918981485</v>
      </c>
      <c r="G240" t="s">
        <v>152</v>
      </c>
      <c r="H240">
        <v>0</v>
      </c>
      <c r="I240" t="s">
        <v>224</v>
      </c>
    </row>
    <row r="241" spans="2:9">
      <c r="B241" t="s">
        <v>17</v>
      </c>
      <c r="C241" s="42">
        <v>42394.695208333331</v>
      </c>
      <c r="D241" t="s">
        <v>152</v>
      </c>
      <c r="E241" t="s">
        <v>40</v>
      </c>
      <c r="F241" s="42">
        <v>42394.71199074074</v>
      </c>
      <c r="G241" t="s">
        <v>441</v>
      </c>
      <c r="H241">
        <v>2.6139999999999999</v>
      </c>
      <c r="I241" t="s">
        <v>411</v>
      </c>
    </row>
    <row r="242" spans="2:9">
      <c r="B242" t="s">
        <v>17</v>
      </c>
      <c r="C242" s="42">
        <v>42394.715555555558</v>
      </c>
      <c r="D242" t="s">
        <v>441</v>
      </c>
      <c r="E242" t="s">
        <v>40</v>
      </c>
      <c r="F242" s="42">
        <v>42394.724675925929</v>
      </c>
      <c r="G242" t="s">
        <v>192</v>
      </c>
      <c r="H242">
        <v>1.095</v>
      </c>
      <c r="I242" t="s">
        <v>442</v>
      </c>
    </row>
    <row r="243" spans="2:9">
      <c r="B243" t="s">
        <v>17</v>
      </c>
      <c r="C243" s="42">
        <v>42395.325636574074</v>
      </c>
      <c r="D243" t="s">
        <v>223</v>
      </c>
      <c r="E243" t="s">
        <v>97</v>
      </c>
      <c r="F243" s="42">
        <v>42395.4299537037</v>
      </c>
      <c r="G243" t="s">
        <v>184</v>
      </c>
      <c r="H243">
        <v>35.145000000000003</v>
      </c>
      <c r="I243" t="s">
        <v>443</v>
      </c>
    </row>
    <row r="244" spans="2:9">
      <c r="B244" t="s">
        <v>17</v>
      </c>
      <c r="C244" s="42">
        <v>42395.666620370372</v>
      </c>
      <c r="D244" t="s">
        <v>184</v>
      </c>
      <c r="E244" t="s">
        <v>97</v>
      </c>
      <c r="F244" s="42">
        <v>42395.672662037039</v>
      </c>
      <c r="G244" t="s">
        <v>184</v>
      </c>
      <c r="H244">
        <v>0</v>
      </c>
      <c r="I244" t="s">
        <v>444</v>
      </c>
    </row>
    <row r="245" spans="2:9">
      <c r="B245" t="s">
        <v>17</v>
      </c>
      <c r="C245" s="42">
        <v>42395.704641203702</v>
      </c>
      <c r="D245" t="s">
        <v>184</v>
      </c>
      <c r="E245" t="s">
        <v>97</v>
      </c>
      <c r="F245" s="42">
        <v>42395.707106481481</v>
      </c>
      <c r="G245" t="s">
        <v>184</v>
      </c>
      <c r="H245">
        <v>0</v>
      </c>
      <c r="I245" t="s">
        <v>314</v>
      </c>
    </row>
    <row r="246" spans="2:9">
      <c r="B246" t="s">
        <v>17</v>
      </c>
      <c r="C246" s="42">
        <v>42395.714861111112</v>
      </c>
      <c r="D246" t="s">
        <v>184</v>
      </c>
      <c r="E246" t="s">
        <v>97</v>
      </c>
      <c r="F246" s="42">
        <v>42395.756145833337</v>
      </c>
      <c r="G246" t="s">
        <v>152</v>
      </c>
      <c r="H246">
        <v>0.24199999999999999</v>
      </c>
      <c r="I246" t="s">
        <v>445</v>
      </c>
    </row>
    <row r="247" spans="2:9">
      <c r="B247" t="s">
        <v>17</v>
      </c>
      <c r="C247" s="42">
        <v>42396.252592592595</v>
      </c>
      <c r="D247" t="s">
        <v>151</v>
      </c>
      <c r="E247" t="s">
        <v>98</v>
      </c>
      <c r="F247" s="42">
        <v>42396.278379629628</v>
      </c>
      <c r="G247" t="s">
        <v>197</v>
      </c>
      <c r="H247">
        <v>8.3699999999999992</v>
      </c>
      <c r="I247" t="s">
        <v>446</v>
      </c>
    </row>
    <row r="248" spans="2:9">
      <c r="B248" t="s">
        <v>17</v>
      </c>
      <c r="C248" s="42">
        <v>42396.321736111109</v>
      </c>
      <c r="D248" t="s">
        <v>197</v>
      </c>
      <c r="E248" t="s">
        <v>98</v>
      </c>
      <c r="F248" s="42">
        <v>42396.322060185186</v>
      </c>
      <c r="G248" t="s">
        <v>197</v>
      </c>
      <c r="H248">
        <v>0</v>
      </c>
      <c r="I248" t="s">
        <v>447</v>
      </c>
    </row>
    <row r="249" spans="2:9">
      <c r="B249" t="s">
        <v>17</v>
      </c>
      <c r="C249" s="42">
        <v>42396.357314814813</v>
      </c>
      <c r="D249" t="s">
        <v>197</v>
      </c>
      <c r="E249" t="s">
        <v>98</v>
      </c>
      <c r="F249" s="42">
        <v>42396.379814814813</v>
      </c>
      <c r="G249" t="s">
        <v>223</v>
      </c>
      <c r="H249">
        <v>8.3339999999999996</v>
      </c>
      <c r="I249" t="s">
        <v>448</v>
      </c>
    </row>
    <row r="250" spans="2:9">
      <c r="B250" t="s">
        <v>17</v>
      </c>
      <c r="C250" s="42">
        <v>42396.40415509259</v>
      </c>
      <c r="D250" t="s">
        <v>223</v>
      </c>
      <c r="E250" t="s">
        <v>98</v>
      </c>
      <c r="F250" s="42">
        <v>42396.447916666664</v>
      </c>
      <c r="G250" t="s">
        <v>154</v>
      </c>
      <c r="H250">
        <v>28.331</v>
      </c>
      <c r="I250" t="s">
        <v>449</v>
      </c>
    </row>
    <row r="251" spans="2:9">
      <c r="B251" t="s">
        <v>17</v>
      </c>
      <c r="C251" s="42">
        <v>42396.454733796294</v>
      </c>
      <c r="D251" t="s">
        <v>154</v>
      </c>
      <c r="E251" t="s">
        <v>98</v>
      </c>
      <c r="F251" s="42">
        <v>42396.478888888887</v>
      </c>
      <c r="G251" t="s">
        <v>161</v>
      </c>
      <c r="H251">
        <v>32.119</v>
      </c>
      <c r="I251" t="s">
        <v>450</v>
      </c>
    </row>
    <row r="252" spans="2:9">
      <c r="B252" t="s">
        <v>17</v>
      </c>
      <c r="C252" s="42">
        <v>42396.479791666665</v>
      </c>
      <c r="D252" t="s">
        <v>161</v>
      </c>
      <c r="E252" t="s">
        <v>98</v>
      </c>
      <c r="F252" s="42">
        <v>42396.529965277776</v>
      </c>
      <c r="G252" t="s">
        <v>143</v>
      </c>
      <c r="H252">
        <v>65.611999999999995</v>
      </c>
      <c r="I252" t="s">
        <v>451</v>
      </c>
    </row>
    <row r="253" spans="2:9">
      <c r="B253" t="s">
        <v>17</v>
      </c>
      <c r="C253" s="42">
        <v>42396.559918981482</v>
      </c>
      <c r="D253" t="s">
        <v>143</v>
      </c>
      <c r="E253" t="s">
        <v>98</v>
      </c>
      <c r="F253" s="42">
        <v>42396.570335648146</v>
      </c>
      <c r="G253" t="s">
        <v>32</v>
      </c>
      <c r="H253">
        <v>13.984999999999999</v>
      </c>
      <c r="I253" t="s">
        <v>452</v>
      </c>
    </row>
    <row r="254" spans="2:9">
      <c r="B254" t="s">
        <v>17</v>
      </c>
      <c r="C254" s="42">
        <v>42396.579710648148</v>
      </c>
      <c r="D254" t="s">
        <v>32</v>
      </c>
      <c r="E254" t="s">
        <v>98</v>
      </c>
      <c r="F254" s="42">
        <v>42396.684664351851</v>
      </c>
      <c r="G254" t="s">
        <v>163</v>
      </c>
      <c r="H254">
        <v>143.34700000000001</v>
      </c>
      <c r="I254" t="s">
        <v>453</v>
      </c>
    </row>
    <row r="255" spans="2:9">
      <c r="B255" t="s">
        <v>17</v>
      </c>
      <c r="C255" s="42">
        <v>42396.691712962966</v>
      </c>
      <c r="D255" t="s">
        <v>163</v>
      </c>
      <c r="E255" t="s">
        <v>98</v>
      </c>
      <c r="F255" s="42">
        <v>42396.709606481483</v>
      </c>
      <c r="G255" t="s">
        <v>163</v>
      </c>
      <c r="H255">
        <v>0</v>
      </c>
      <c r="I255" t="s">
        <v>454</v>
      </c>
    </row>
    <row r="256" spans="2:9">
      <c r="B256" t="s">
        <v>17</v>
      </c>
      <c r="C256" s="42">
        <v>42397.293773148151</v>
      </c>
      <c r="D256" t="s">
        <v>163</v>
      </c>
      <c r="E256" t="s">
        <v>99</v>
      </c>
      <c r="F256" s="42">
        <v>42397.297789351855</v>
      </c>
      <c r="G256" t="s">
        <v>163</v>
      </c>
      <c r="H256">
        <v>7.3999999999999996E-2</v>
      </c>
      <c r="I256" t="s">
        <v>128</v>
      </c>
    </row>
    <row r="257" spans="2:9">
      <c r="B257" t="s">
        <v>17</v>
      </c>
      <c r="C257" s="42">
        <v>42397.303831018522</v>
      </c>
      <c r="D257" t="s">
        <v>163</v>
      </c>
      <c r="E257" t="s">
        <v>99</v>
      </c>
      <c r="F257" s="42">
        <v>42397.498726851853</v>
      </c>
      <c r="G257" t="s">
        <v>154</v>
      </c>
      <c r="H257">
        <v>242.58</v>
      </c>
      <c r="I257" t="s">
        <v>455</v>
      </c>
    </row>
    <row r="258" spans="2:9">
      <c r="B258" t="s">
        <v>17</v>
      </c>
      <c r="C258" s="42">
        <v>42397.526875000003</v>
      </c>
      <c r="D258" t="s">
        <v>154</v>
      </c>
      <c r="E258" t="s">
        <v>99</v>
      </c>
      <c r="F258" s="42">
        <v>42397.634884259256</v>
      </c>
      <c r="G258" t="s">
        <v>223</v>
      </c>
      <c r="H258">
        <v>54.707999999999998</v>
      </c>
      <c r="I258" t="s">
        <v>456</v>
      </c>
    </row>
    <row r="259" spans="2:9">
      <c r="B259" t="s">
        <v>17</v>
      </c>
      <c r="C259" s="42">
        <v>42398.361793981479</v>
      </c>
      <c r="D259" t="s">
        <v>152</v>
      </c>
      <c r="E259" t="s">
        <v>106</v>
      </c>
      <c r="F259" s="42">
        <v>42398.364282407405</v>
      </c>
      <c r="G259" t="s">
        <v>152</v>
      </c>
      <c r="H259">
        <v>1E-3</v>
      </c>
      <c r="I259" t="s">
        <v>457</v>
      </c>
    </row>
    <row r="260" spans="2:9">
      <c r="B260" t="s">
        <v>17</v>
      </c>
      <c r="C260" s="42">
        <v>42398.367245370369</v>
      </c>
      <c r="D260" t="s">
        <v>152</v>
      </c>
      <c r="E260" t="s">
        <v>106</v>
      </c>
      <c r="F260" s="42">
        <v>42398.368252314816</v>
      </c>
      <c r="G260" t="s">
        <v>152</v>
      </c>
      <c r="H260">
        <v>0</v>
      </c>
      <c r="I260" t="s">
        <v>157</v>
      </c>
    </row>
    <row r="261" spans="2:9">
      <c r="B261" t="s">
        <v>18</v>
      </c>
      <c r="C261" s="42">
        <v>42394.280902777777</v>
      </c>
      <c r="D261" t="s">
        <v>53</v>
      </c>
      <c r="E261" t="s">
        <v>40</v>
      </c>
      <c r="F261" s="42">
        <v>42394.443553240744</v>
      </c>
      <c r="G261" t="s">
        <v>55</v>
      </c>
      <c r="H261">
        <v>55.039000000000001</v>
      </c>
      <c r="I261" t="s">
        <v>458</v>
      </c>
    </row>
    <row r="262" spans="2:9">
      <c r="B262" t="s">
        <v>18</v>
      </c>
      <c r="C262" s="42">
        <v>42394.468252314815</v>
      </c>
      <c r="D262" t="s">
        <v>55</v>
      </c>
      <c r="E262" t="s">
        <v>40</v>
      </c>
      <c r="F262" s="42">
        <v>42394.50472222222</v>
      </c>
      <c r="G262" t="s">
        <v>54</v>
      </c>
      <c r="H262">
        <v>27.437000000000001</v>
      </c>
      <c r="I262" t="s">
        <v>459</v>
      </c>
    </row>
    <row r="263" spans="2:9">
      <c r="B263" t="s">
        <v>18</v>
      </c>
      <c r="C263" s="42">
        <v>42394.509652777779</v>
      </c>
      <c r="D263" t="s">
        <v>54</v>
      </c>
      <c r="E263" t="s">
        <v>40</v>
      </c>
      <c r="F263" s="42">
        <v>42394.540289351855</v>
      </c>
      <c r="G263" t="s">
        <v>53</v>
      </c>
      <c r="H263">
        <v>18.716000000000001</v>
      </c>
      <c r="I263" t="s">
        <v>460</v>
      </c>
    </row>
    <row r="264" spans="2:9">
      <c r="B264" t="s">
        <v>18</v>
      </c>
      <c r="C264" s="42">
        <v>42394.564606481479</v>
      </c>
      <c r="D264" t="s">
        <v>53</v>
      </c>
      <c r="E264" t="s">
        <v>40</v>
      </c>
      <c r="F264" s="42">
        <v>42394.7034375</v>
      </c>
      <c r="G264" t="s">
        <v>53</v>
      </c>
      <c r="H264">
        <v>0.58099999999999996</v>
      </c>
      <c r="I264" t="s">
        <v>461</v>
      </c>
    </row>
    <row r="265" spans="2:9">
      <c r="B265" t="s">
        <v>18</v>
      </c>
      <c r="C265" s="42">
        <v>42395.34238425926</v>
      </c>
      <c r="D265" t="s">
        <v>53</v>
      </c>
      <c r="E265" t="s">
        <v>97</v>
      </c>
      <c r="F265" s="42">
        <v>42395.465300925927</v>
      </c>
      <c r="G265" t="s">
        <v>53</v>
      </c>
      <c r="H265">
        <v>4.9640000000000004</v>
      </c>
      <c r="I265" t="s">
        <v>462</v>
      </c>
    </row>
    <row r="266" spans="2:9">
      <c r="B266" t="s">
        <v>18</v>
      </c>
      <c r="C266" s="42">
        <v>42395.558715277781</v>
      </c>
      <c r="D266" t="s">
        <v>53</v>
      </c>
      <c r="E266" t="s">
        <v>97</v>
      </c>
      <c r="F266" s="42">
        <v>42395.668344907404</v>
      </c>
      <c r="G266" t="s">
        <v>58</v>
      </c>
      <c r="H266">
        <v>10.471</v>
      </c>
      <c r="I266" t="s">
        <v>463</v>
      </c>
    </row>
    <row r="267" spans="2:9">
      <c r="B267" t="s">
        <v>18</v>
      </c>
      <c r="C267" s="42">
        <v>42395.677719907406</v>
      </c>
      <c r="D267" t="s">
        <v>58</v>
      </c>
      <c r="E267" t="s">
        <v>97</v>
      </c>
      <c r="F267" s="42">
        <v>42395.680798611109</v>
      </c>
      <c r="G267" t="s">
        <v>58</v>
      </c>
      <c r="H267">
        <v>0.45700000000000002</v>
      </c>
      <c r="I267" t="s">
        <v>464</v>
      </c>
    </row>
    <row r="268" spans="2:9">
      <c r="B268" t="s">
        <v>18</v>
      </c>
      <c r="C268" s="42">
        <v>42395.710659722223</v>
      </c>
      <c r="D268" t="s">
        <v>58</v>
      </c>
      <c r="E268" t="s">
        <v>97</v>
      </c>
      <c r="F268" s="42">
        <v>42395.713518518518</v>
      </c>
      <c r="G268" t="s">
        <v>58</v>
      </c>
      <c r="H268">
        <v>9.6000000000000002E-2</v>
      </c>
      <c r="I268" t="s">
        <v>220</v>
      </c>
    </row>
    <row r="269" spans="2:9">
      <c r="B269" t="s">
        <v>18</v>
      </c>
      <c r="C269" s="42">
        <v>42396.303333333337</v>
      </c>
      <c r="D269" t="s">
        <v>58</v>
      </c>
      <c r="E269" t="s">
        <v>98</v>
      </c>
      <c r="F269" s="42">
        <v>42396.506585648145</v>
      </c>
      <c r="G269" t="s">
        <v>53</v>
      </c>
      <c r="H269">
        <v>12.318</v>
      </c>
      <c r="I269" t="s">
        <v>465</v>
      </c>
    </row>
    <row r="270" spans="2:9">
      <c r="B270" t="s">
        <v>18</v>
      </c>
      <c r="C270" s="42">
        <v>42396.571863425925</v>
      </c>
      <c r="D270" t="s">
        <v>53</v>
      </c>
      <c r="E270" t="s">
        <v>98</v>
      </c>
      <c r="F270" s="42">
        <v>42396.582650462966</v>
      </c>
      <c r="G270" t="s">
        <v>53</v>
      </c>
      <c r="H270">
        <v>0</v>
      </c>
      <c r="I270" t="s">
        <v>380</v>
      </c>
    </row>
    <row r="271" spans="2:9">
      <c r="B271" t="s">
        <v>18</v>
      </c>
      <c r="C271" s="42">
        <v>42396.586053240739</v>
      </c>
      <c r="D271" t="s">
        <v>53</v>
      </c>
      <c r="E271" t="s">
        <v>98</v>
      </c>
      <c r="F271" s="42">
        <v>42396.586296296293</v>
      </c>
      <c r="G271" t="s">
        <v>53</v>
      </c>
      <c r="H271">
        <v>0</v>
      </c>
      <c r="I271" t="s">
        <v>149</v>
      </c>
    </row>
    <row r="272" spans="2:9">
      <c r="B272" t="s">
        <v>18</v>
      </c>
      <c r="C272" s="42">
        <v>42396.706307870372</v>
      </c>
      <c r="D272" t="s">
        <v>53</v>
      </c>
      <c r="E272" t="s">
        <v>98</v>
      </c>
      <c r="F272" s="42">
        <v>42396.711145833331</v>
      </c>
      <c r="G272" t="s">
        <v>53</v>
      </c>
      <c r="H272">
        <v>0.09</v>
      </c>
      <c r="I272" t="s">
        <v>213</v>
      </c>
    </row>
    <row r="273" spans="2:9">
      <c r="B273" t="s">
        <v>18</v>
      </c>
      <c r="C273" s="42">
        <v>42397.310324074075</v>
      </c>
      <c r="D273" t="s">
        <v>53</v>
      </c>
      <c r="E273" t="s">
        <v>99</v>
      </c>
      <c r="F273" s="42">
        <v>42397.347418981481</v>
      </c>
      <c r="G273" t="s">
        <v>53</v>
      </c>
      <c r="H273">
        <v>0.22600000000000001</v>
      </c>
      <c r="I273" t="s">
        <v>466</v>
      </c>
    </row>
    <row r="274" spans="2:9">
      <c r="B274" t="s">
        <v>18</v>
      </c>
      <c r="C274" s="42">
        <v>42397.359976851854</v>
      </c>
      <c r="D274" t="s">
        <v>53</v>
      </c>
      <c r="E274" t="s">
        <v>99</v>
      </c>
      <c r="F274" s="42">
        <v>42397.361111111109</v>
      </c>
      <c r="G274" t="s">
        <v>53</v>
      </c>
      <c r="H274">
        <v>0</v>
      </c>
      <c r="I274" t="s">
        <v>467</v>
      </c>
    </row>
    <row r="275" spans="2:9">
      <c r="B275" t="s">
        <v>18</v>
      </c>
      <c r="C275" s="42">
        <v>42397.406493055554</v>
      </c>
      <c r="D275" t="s">
        <v>53</v>
      </c>
      <c r="E275" t="s">
        <v>99</v>
      </c>
      <c r="F275" s="42">
        <v>42397.450868055559</v>
      </c>
      <c r="G275" t="s">
        <v>58</v>
      </c>
      <c r="H275">
        <v>10.581</v>
      </c>
      <c r="I275" t="s">
        <v>468</v>
      </c>
    </row>
    <row r="276" spans="2:9">
      <c r="B276" t="s">
        <v>18</v>
      </c>
      <c r="C276" s="42">
        <v>42397.575370370374</v>
      </c>
      <c r="D276" t="s">
        <v>58</v>
      </c>
      <c r="E276" t="s">
        <v>99</v>
      </c>
      <c r="F276" s="42">
        <v>42397.603680555556</v>
      </c>
      <c r="G276" t="s">
        <v>470</v>
      </c>
      <c r="H276">
        <v>13.728999999999999</v>
      </c>
      <c r="I276" t="s">
        <v>469</v>
      </c>
    </row>
    <row r="277" spans="2:9">
      <c r="B277" t="s">
        <v>18</v>
      </c>
      <c r="C277" s="42">
        <v>42397.613182870373</v>
      </c>
      <c r="D277" t="s">
        <v>470</v>
      </c>
      <c r="E277" t="s">
        <v>99</v>
      </c>
      <c r="F277" s="42">
        <v>42397.648229166669</v>
      </c>
      <c r="G277" t="s">
        <v>58</v>
      </c>
      <c r="H277">
        <v>12.185</v>
      </c>
      <c r="I277" t="s">
        <v>471</v>
      </c>
    </row>
    <row r="278" spans="2:9">
      <c r="B278" t="s">
        <v>18</v>
      </c>
      <c r="C278" s="42">
        <v>42397.664548611108</v>
      </c>
      <c r="D278" t="s">
        <v>58</v>
      </c>
      <c r="E278" t="s">
        <v>99</v>
      </c>
      <c r="F278" s="42">
        <v>42397.683553240742</v>
      </c>
      <c r="G278" t="s">
        <v>58</v>
      </c>
      <c r="H278">
        <v>0.27800000000000002</v>
      </c>
      <c r="I278" t="s">
        <v>144</v>
      </c>
    </row>
    <row r="279" spans="2:9">
      <c r="B279" t="s">
        <v>18</v>
      </c>
      <c r="C279" s="42">
        <v>42397.704930555556</v>
      </c>
      <c r="D279" t="s">
        <v>58</v>
      </c>
      <c r="E279" t="s">
        <v>99</v>
      </c>
      <c r="F279" s="42">
        <v>42397.75640046296</v>
      </c>
      <c r="G279" t="s">
        <v>53</v>
      </c>
      <c r="H279">
        <v>10.72</v>
      </c>
      <c r="I279" t="s">
        <v>472</v>
      </c>
    </row>
    <row r="280" spans="2:9">
      <c r="B280" t="s">
        <v>18</v>
      </c>
      <c r="C280" s="42">
        <v>42398.301134259258</v>
      </c>
      <c r="D280" t="s">
        <v>53</v>
      </c>
      <c r="E280" t="s">
        <v>106</v>
      </c>
      <c r="F280" s="42">
        <v>42398.389791666668</v>
      </c>
      <c r="G280" t="s">
        <v>55</v>
      </c>
      <c r="H280">
        <v>48.749000000000002</v>
      </c>
      <c r="I280" t="s">
        <v>473</v>
      </c>
    </row>
    <row r="281" spans="2:9">
      <c r="B281" t="s">
        <v>18</v>
      </c>
      <c r="C281" s="42">
        <v>42398.403668981482</v>
      </c>
      <c r="D281" t="s">
        <v>55</v>
      </c>
      <c r="E281" t="s">
        <v>106</v>
      </c>
      <c r="F281" s="42">
        <v>42398.503055555557</v>
      </c>
      <c r="G281" t="s">
        <v>55</v>
      </c>
      <c r="H281">
        <v>0.5</v>
      </c>
      <c r="I281" t="s">
        <v>474</v>
      </c>
    </row>
    <row r="282" spans="2:9">
      <c r="B282" t="s">
        <v>18</v>
      </c>
      <c r="C282" s="42">
        <v>42398.518773148149</v>
      </c>
      <c r="D282" t="s">
        <v>55</v>
      </c>
      <c r="E282" t="s">
        <v>106</v>
      </c>
      <c r="F282" s="42">
        <v>42398.552939814814</v>
      </c>
      <c r="G282" t="s">
        <v>54</v>
      </c>
      <c r="H282">
        <v>29.23</v>
      </c>
      <c r="I282" t="s">
        <v>475</v>
      </c>
    </row>
    <row r="283" spans="2:9">
      <c r="B283" t="s">
        <v>18</v>
      </c>
      <c r="C283" s="42">
        <v>42398.558530092596</v>
      </c>
      <c r="D283" t="s">
        <v>54</v>
      </c>
      <c r="E283" t="s">
        <v>106</v>
      </c>
      <c r="F283" s="42">
        <v>42398.587858796294</v>
      </c>
      <c r="G283" t="s">
        <v>53</v>
      </c>
      <c r="H283">
        <v>18.744</v>
      </c>
      <c r="I283" t="s">
        <v>476</v>
      </c>
    </row>
    <row r="284" spans="2:9">
      <c r="B284" t="s">
        <v>18</v>
      </c>
      <c r="C284" s="42">
        <v>42398.632997685185</v>
      </c>
      <c r="D284" t="s">
        <v>53</v>
      </c>
      <c r="E284" t="s">
        <v>106</v>
      </c>
      <c r="F284" s="42">
        <v>42398.63622685185</v>
      </c>
      <c r="G284" t="s">
        <v>53</v>
      </c>
      <c r="H284">
        <v>5.6000000000000001E-2</v>
      </c>
      <c r="I284" t="s">
        <v>421</v>
      </c>
    </row>
    <row r="285" spans="2:9">
      <c r="B285" t="s">
        <v>19</v>
      </c>
      <c r="C285" s="42">
        <v>42394.315254629626</v>
      </c>
      <c r="D285" t="s">
        <v>58</v>
      </c>
      <c r="E285" t="s">
        <v>40</v>
      </c>
      <c r="F285" s="42">
        <v>42394.377118055556</v>
      </c>
      <c r="G285" t="s">
        <v>53</v>
      </c>
      <c r="H285">
        <v>11.823</v>
      </c>
      <c r="I285" t="s">
        <v>477</v>
      </c>
    </row>
    <row r="286" spans="2:9">
      <c r="B286" t="s">
        <v>19</v>
      </c>
      <c r="C286" s="42">
        <v>42394.41337962963</v>
      </c>
      <c r="D286" t="s">
        <v>53</v>
      </c>
      <c r="E286" t="s">
        <v>40</v>
      </c>
      <c r="F286" s="42">
        <v>42394.449317129627</v>
      </c>
      <c r="G286" t="s">
        <v>147</v>
      </c>
      <c r="H286">
        <v>13.505000000000001</v>
      </c>
      <c r="I286" t="s">
        <v>478</v>
      </c>
    </row>
    <row r="287" spans="2:9">
      <c r="B287" t="s">
        <v>19</v>
      </c>
      <c r="C287" s="42">
        <v>42394.452025462961</v>
      </c>
      <c r="D287" t="s">
        <v>147</v>
      </c>
      <c r="E287" t="s">
        <v>40</v>
      </c>
      <c r="F287" s="42">
        <v>42394.484976851854</v>
      </c>
      <c r="G287" t="s">
        <v>147</v>
      </c>
      <c r="H287">
        <v>0.185</v>
      </c>
      <c r="I287" t="s">
        <v>215</v>
      </c>
    </row>
    <row r="288" spans="2:9">
      <c r="B288" t="s">
        <v>19</v>
      </c>
      <c r="C288" s="42">
        <v>42394.50167824074</v>
      </c>
      <c r="D288" t="s">
        <v>147</v>
      </c>
      <c r="E288" t="s">
        <v>40</v>
      </c>
      <c r="F288" s="42">
        <v>42394.519375000003</v>
      </c>
      <c r="G288" t="s">
        <v>228</v>
      </c>
      <c r="H288">
        <v>0.56499999999999995</v>
      </c>
      <c r="I288" t="s">
        <v>479</v>
      </c>
    </row>
    <row r="289" spans="2:9">
      <c r="B289" t="s">
        <v>19</v>
      </c>
      <c r="C289" s="42">
        <v>42394.559490740743</v>
      </c>
      <c r="D289" t="s">
        <v>146</v>
      </c>
      <c r="E289" t="s">
        <v>40</v>
      </c>
      <c r="F289" s="42">
        <v>42394.610833333332</v>
      </c>
      <c r="G289" t="s">
        <v>53</v>
      </c>
      <c r="H289">
        <v>14.48</v>
      </c>
      <c r="I289" t="s">
        <v>480</v>
      </c>
    </row>
    <row r="290" spans="2:9">
      <c r="B290" t="s">
        <v>19</v>
      </c>
      <c r="C290" s="42">
        <v>42394.627615740741</v>
      </c>
      <c r="D290" t="s">
        <v>53</v>
      </c>
      <c r="E290" t="s">
        <v>40</v>
      </c>
      <c r="F290" s="42">
        <v>42394.633310185185</v>
      </c>
      <c r="G290" t="s">
        <v>53</v>
      </c>
      <c r="H290">
        <v>0.13</v>
      </c>
      <c r="I290" t="s">
        <v>481</v>
      </c>
    </row>
    <row r="291" spans="2:9">
      <c r="B291" t="s">
        <v>19</v>
      </c>
      <c r="C291" s="42">
        <v>42395.399467592593</v>
      </c>
      <c r="D291" t="s">
        <v>53</v>
      </c>
      <c r="E291" t="s">
        <v>97</v>
      </c>
      <c r="F291" s="42">
        <v>42395.545243055552</v>
      </c>
      <c r="G291" t="s">
        <v>147</v>
      </c>
      <c r="H291">
        <v>14.109</v>
      </c>
      <c r="I291" t="s">
        <v>482</v>
      </c>
    </row>
    <row r="292" spans="2:9">
      <c r="B292" t="s">
        <v>19</v>
      </c>
      <c r="C292" s="42">
        <v>42395.586886574078</v>
      </c>
      <c r="D292" t="s">
        <v>147</v>
      </c>
      <c r="E292" t="s">
        <v>97</v>
      </c>
      <c r="F292" s="42">
        <v>42395.599004629628</v>
      </c>
      <c r="G292" t="s">
        <v>146</v>
      </c>
      <c r="H292">
        <v>0.40799999999999997</v>
      </c>
      <c r="I292" t="s">
        <v>483</v>
      </c>
    </row>
    <row r="293" spans="2:9">
      <c r="B293" t="s">
        <v>19</v>
      </c>
      <c r="C293" s="42">
        <v>42395.634965277779</v>
      </c>
      <c r="D293" t="s">
        <v>146</v>
      </c>
      <c r="E293" t="s">
        <v>97</v>
      </c>
      <c r="F293" s="42">
        <v>42395.680810185186</v>
      </c>
      <c r="G293" t="s">
        <v>53</v>
      </c>
      <c r="H293">
        <v>14.259</v>
      </c>
      <c r="I293" t="s">
        <v>484</v>
      </c>
    </row>
    <row r="294" spans="2:9">
      <c r="B294" t="s">
        <v>19</v>
      </c>
      <c r="C294" s="42">
        <v>42396.541759259257</v>
      </c>
      <c r="D294" t="s">
        <v>53</v>
      </c>
      <c r="E294" t="s">
        <v>98</v>
      </c>
      <c r="F294" s="42">
        <v>42396.592187499999</v>
      </c>
      <c r="G294" t="s">
        <v>53</v>
      </c>
      <c r="H294">
        <v>0.35899999999999999</v>
      </c>
      <c r="I294" t="s">
        <v>485</v>
      </c>
    </row>
    <row r="295" spans="2:9">
      <c r="B295" t="s">
        <v>19</v>
      </c>
      <c r="C295" s="42">
        <v>42397.307893518519</v>
      </c>
      <c r="D295" t="s">
        <v>53</v>
      </c>
      <c r="E295" t="s">
        <v>99</v>
      </c>
      <c r="F295" s="42">
        <v>42397.3749537037</v>
      </c>
      <c r="G295" t="s">
        <v>53</v>
      </c>
      <c r="H295">
        <v>0.81100000000000005</v>
      </c>
      <c r="I295" t="s">
        <v>486</v>
      </c>
    </row>
    <row r="296" spans="2:9">
      <c r="B296" t="s">
        <v>19</v>
      </c>
      <c r="C296" s="42">
        <v>42397.381365740737</v>
      </c>
      <c r="D296" t="s">
        <v>53</v>
      </c>
      <c r="E296" t="s">
        <v>99</v>
      </c>
      <c r="F296" s="42">
        <v>42397.500358796293</v>
      </c>
      <c r="G296" t="s">
        <v>147</v>
      </c>
      <c r="H296">
        <v>15.882</v>
      </c>
      <c r="I296" t="s">
        <v>487</v>
      </c>
    </row>
    <row r="297" spans="2:9">
      <c r="B297" t="s">
        <v>19</v>
      </c>
      <c r="C297" s="42">
        <v>42397.669606481482</v>
      </c>
      <c r="D297" t="s">
        <v>147</v>
      </c>
      <c r="E297" t="s">
        <v>99</v>
      </c>
      <c r="F297" s="42">
        <v>42397.691608796296</v>
      </c>
      <c r="G297" t="s">
        <v>229</v>
      </c>
      <c r="H297">
        <v>0.85299999999999998</v>
      </c>
      <c r="I297" t="s">
        <v>488</v>
      </c>
    </row>
    <row r="298" spans="2:9">
      <c r="B298" t="s">
        <v>19</v>
      </c>
      <c r="C298" s="42">
        <v>42397.704062500001</v>
      </c>
      <c r="D298" t="s">
        <v>146</v>
      </c>
      <c r="E298" t="s">
        <v>99</v>
      </c>
      <c r="F298" s="42">
        <v>42397.707766203705</v>
      </c>
      <c r="G298" t="s">
        <v>146</v>
      </c>
      <c r="H298">
        <v>5.8000000000000003E-2</v>
      </c>
      <c r="I298" t="s">
        <v>158</v>
      </c>
    </row>
    <row r="299" spans="2:9">
      <c r="B299" t="s">
        <v>19</v>
      </c>
      <c r="C299" s="42">
        <v>42397.710625</v>
      </c>
      <c r="D299" t="s">
        <v>146</v>
      </c>
      <c r="E299" t="s">
        <v>99</v>
      </c>
      <c r="F299" s="42">
        <v>42397.711006944446</v>
      </c>
      <c r="G299" t="s">
        <v>146</v>
      </c>
      <c r="H299">
        <v>7.0000000000000001E-3</v>
      </c>
      <c r="I299" t="s">
        <v>115</v>
      </c>
    </row>
    <row r="300" spans="2:9">
      <c r="B300" t="s">
        <v>19</v>
      </c>
      <c r="C300" s="42">
        <v>42397.712060185186</v>
      </c>
      <c r="D300" t="s">
        <v>146</v>
      </c>
      <c r="E300" t="s">
        <v>99</v>
      </c>
      <c r="F300" s="42">
        <v>42397.71298611111</v>
      </c>
      <c r="G300" t="s">
        <v>146</v>
      </c>
      <c r="H300">
        <v>1.6E-2</v>
      </c>
      <c r="I300" t="s">
        <v>107</v>
      </c>
    </row>
    <row r="301" spans="2:9">
      <c r="B301" t="s">
        <v>19</v>
      </c>
      <c r="C301" s="42">
        <v>42397.723935185182</v>
      </c>
      <c r="D301" t="s">
        <v>146</v>
      </c>
      <c r="E301" t="s">
        <v>99</v>
      </c>
      <c r="F301" s="42">
        <v>42397.724502314813</v>
      </c>
      <c r="G301" t="s">
        <v>146</v>
      </c>
      <c r="H301">
        <v>1.0999999999999999E-2</v>
      </c>
      <c r="I301" t="s">
        <v>190</v>
      </c>
    </row>
    <row r="302" spans="2:9">
      <c r="B302" t="s">
        <v>19</v>
      </c>
      <c r="C302" s="42">
        <v>42397.751643518517</v>
      </c>
      <c r="D302" t="s">
        <v>146</v>
      </c>
      <c r="E302" t="s">
        <v>99</v>
      </c>
      <c r="F302" s="42">
        <v>42397.753472222219</v>
      </c>
      <c r="G302" t="s">
        <v>146</v>
      </c>
      <c r="H302">
        <v>0.03</v>
      </c>
      <c r="I302" t="s">
        <v>489</v>
      </c>
    </row>
    <row r="303" spans="2:9">
      <c r="B303" t="s">
        <v>19</v>
      </c>
      <c r="C303" s="42">
        <v>42397.836319444446</v>
      </c>
      <c r="D303" t="s">
        <v>146</v>
      </c>
      <c r="E303" t="s">
        <v>99</v>
      </c>
      <c r="F303" s="42">
        <v>42397.848078703704</v>
      </c>
      <c r="G303" t="s">
        <v>146</v>
      </c>
      <c r="H303">
        <v>0.12</v>
      </c>
      <c r="I303" t="s">
        <v>174</v>
      </c>
    </row>
    <row r="304" spans="2:9">
      <c r="B304" t="s">
        <v>19</v>
      </c>
      <c r="C304" s="42">
        <v>42397.881469907406</v>
      </c>
      <c r="D304" t="s">
        <v>146</v>
      </c>
      <c r="E304" t="s">
        <v>99</v>
      </c>
      <c r="F304" s="42">
        <v>42397.93917824074</v>
      </c>
      <c r="G304" t="s">
        <v>58</v>
      </c>
      <c r="H304">
        <v>5.8929999999999998</v>
      </c>
      <c r="I304" t="s">
        <v>490</v>
      </c>
    </row>
    <row r="305" spans="2:10">
      <c r="B305" t="s">
        <v>19</v>
      </c>
      <c r="C305" s="42">
        <v>42398.267523148148</v>
      </c>
      <c r="D305" t="s">
        <v>58</v>
      </c>
      <c r="E305" t="s">
        <v>106</v>
      </c>
      <c r="F305" s="42">
        <v>42398.299618055556</v>
      </c>
      <c r="G305" t="s">
        <v>53</v>
      </c>
      <c r="H305">
        <v>11.225</v>
      </c>
      <c r="I305" t="s">
        <v>491</v>
      </c>
    </row>
    <row r="306" spans="2:10">
      <c r="B306" t="s">
        <v>19</v>
      </c>
      <c r="C306" s="42">
        <v>42398.481516203705</v>
      </c>
      <c r="D306" t="s">
        <v>53</v>
      </c>
      <c r="E306" t="s">
        <v>106</v>
      </c>
      <c r="F306" s="42">
        <v>42398.494039351855</v>
      </c>
      <c r="G306" t="s">
        <v>53</v>
      </c>
      <c r="H306">
        <v>0.123</v>
      </c>
      <c r="I306" t="s">
        <v>492</v>
      </c>
    </row>
    <row r="307" spans="2:10">
      <c r="B307" t="s">
        <v>20</v>
      </c>
      <c r="C307" s="42">
        <v>42394.342129629629</v>
      </c>
      <c r="D307" t="s">
        <v>58</v>
      </c>
      <c r="E307" t="s">
        <v>40</v>
      </c>
      <c r="F307" s="42">
        <v>42394.353391203702</v>
      </c>
      <c r="G307" t="s">
        <v>58</v>
      </c>
      <c r="H307">
        <v>0.22700000000000001</v>
      </c>
      <c r="I307" t="s">
        <v>493</v>
      </c>
    </row>
    <row r="308" spans="2:10">
      <c r="B308" t="s">
        <v>20</v>
      </c>
      <c r="C308" s="42">
        <v>42394.370451388888</v>
      </c>
      <c r="D308" t="s">
        <v>58</v>
      </c>
      <c r="E308" t="s">
        <v>40</v>
      </c>
      <c r="F308" s="42">
        <v>42394.37222222222</v>
      </c>
      <c r="G308" t="s">
        <v>58</v>
      </c>
      <c r="H308">
        <v>8.0000000000000002E-3</v>
      </c>
      <c r="I308" t="s">
        <v>246</v>
      </c>
    </row>
    <row r="309" spans="2:10">
      <c r="B309" t="s">
        <v>20</v>
      </c>
      <c r="C309" s="42">
        <v>42394.375486111108</v>
      </c>
      <c r="D309" t="s">
        <v>58</v>
      </c>
      <c r="E309" t="s">
        <v>40</v>
      </c>
      <c r="F309" s="42">
        <v>42394.37667824074</v>
      </c>
      <c r="G309" t="s">
        <v>58</v>
      </c>
      <c r="H309">
        <v>5.0000000000000001E-3</v>
      </c>
      <c r="I309" t="s">
        <v>494</v>
      </c>
    </row>
    <row r="310" spans="2:10">
      <c r="B310" t="s">
        <v>20</v>
      </c>
      <c r="C310" s="42">
        <v>42394.385208333333</v>
      </c>
      <c r="D310" t="s">
        <v>58</v>
      </c>
      <c r="E310" t="s">
        <v>40</v>
      </c>
      <c r="F310" s="42">
        <v>42394.389861111114</v>
      </c>
      <c r="G310" t="s">
        <v>58</v>
      </c>
      <c r="H310">
        <v>1.2999999999999999E-2</v>
      </c>
      <c r="I310" t="s">
        <v>495</v>
      </c>
    </row>
    <row r="311" spans="2:10">
      <c r="B311" t="s">
        <v>20</v>
      </c>
      <c r="C311" s="42">
        <v>42394.390428240738</v>
      </c>
      <c r="D311" t="s">
        <v>58</v>
      </c>
      <c r="E311" t="s">
        <v>40</v>
      </c>
      <c r="F311" s="42">
        <v>42394.424814814818</v>
      </c>
      <c r="G311" t="s">
        <v>58</v>
      </c>
      <c r="H311">
        <v>0.29699999999999999</v>
      </c>
      <c r="I311" t="s">
        <v>496</v>
      </c>
    </row>
    <row r="312" spans="2:10">
      <c r="B312" t="s">
        <v>20</v>
      </c>
      <c r="C312" s="42">
        <v>42394.44253472222</v>
      </c>
      <c r="D312" t="s">
        <v>58</v>
      </c>
      <c r="E312" t="s">
        <v>40</v>
      </c>
      <c r="F312" s="42">
        <v>42394.446851851855</v>
      </c>
      <c r="G312" t="s">
        <v>58</v>
      </c>
      <c r="H312">
        <v>0.33</v>
      </c>
      <c r="I312" t="s">
        <v>497</v>
      </c>
    </row>
    <row r="313" spans="2:10">
      <c r="B313" t="s">
        <v>20</v>
      </c>
      <c r="C313" s="42">
        <v>42395.37462962963</v>
      </c>
      <c r="D313" t="s">
        <v>58</v>
      </c>
      <c r="E313" t="s">
        <v>97</v>
      </c>
      <c r="F313" s="42">
        <v>42395.382685185185</v>
      </c>
      <c r="G313" t="s">
        <v>58</v>
      </c>
      <c r="H313">
        <v>0.36399999999999999</v>
      </c>
      <c r="I313" t="s">
        <v>212</v>
      </c>
    </row>
    <row r="314" spans="2:10">
      <c r="B314" t="s">
        <v>20</v>
      </c>
      <c r="C314" s="42">
        <v>42396.36341435185</v>
      </c>
      <c r="D314" t="s">
        <v>58</v>
      </c>
      <c r="E314" t="s">
        <v>98</v>
      </c>
      <c r="F314" s="42">
        <v>42396.405810185184</v>
      </c>
      <c r="G314" t="s">
        <v>58</v>
      </c>
      <c r="H314">
        <v>0.65300000000000002</v>
      </c>
      <c r="I314" t="s">
        <v>498</v>
      </c>
    </row>
    <row r="315" spans="2:10">
      <c r="B315" t="s">
        <v>20</v>
      </c>
      <c r="C315" s="42">
        <v>42396.468101851853</v>
      </c>
      <c r="D315" t="s">
        <v>58</v>
      </c>
      <c r="E315" t="s">
        <v>98</v>
      </c>
      <c r="F315" s="42">
        <v>42396.472488425927</v>
      </c>
      <c r="G315" t="s">
        <v>58</v>
      </c>
      <c r="H315">
        <v>0.1</v>
      </c>
      <c r="I315" t="s">
        <v>499</v>
      </c>
    </row>
    <row r="316" spans="2:10">
      <c r="B316" t="s">
        <v>20</v>
      </c>
      <c r="C316" s="42">
        <v>42396.476458333331</v>
      </c>
      <c r="D316" t="s">
        <v>58</v>
      </c>
      <c r="E316" t="s">
        <v>98</v>
      </c>
      <c r="F316" s="42">
        <v>42396.48773148148</v>
      </c>
      <c r="G316" t="s">
        <v>58</v>
      </c>
      <c r="H316">
        <v>0.27500000000000002</v>
      </c>
      <c r="I316" t="s">
        <v>135</v>
      </c>
    </row>
    <row r="317" spans="2:10">
      <c r="B317" t="s">
        <v>20</v>
      </c>
      <c r="C317" s="42">
        <v>42396.535000000003</v>
      </c>
      <c r="D317" t="s">
        <v>58</v>
      </c>
      <c r="E317" t="s">
        <v>98</v>
      </c>
      <c r="F317" s="42">
        <v>42396.762060185189</v>
      </c>
      <c r="G317" t="s">
        <v>59</v>
      </c>
      <c r="H317">
        <v>157.179</v>
      </c>
      <c r="I317" t="s">
        <v>500</v>
      </c>
    </row>
    <row r="318" spans="2:10">
      <c r="B318" t="s">
        <v>20</v>
      </c>
      <c r="C318" s="42">
        <v>42396.770428240743</v>
      </c>
      <c r="D318" t="s">
        <v>59</v>
      </c>
      <c r="E318" t="s">
        <v>98</v>
      </c>
      <c r="F318" s="42">
        <v>42396.875208333331</v>
      </c>
      <c r="H318">
        <v>92.78</v>
      </c>
      <c r="I318" t="s">
        <v>501</v>
      </c>
      <c r="J318" t="s">
        <v>197</v>
      </c>
    </row>
    <row r="319" spans="2:10">
      <c r="B319" t="s">
        <v>20</v>
      </c>
      <c r="C319" s="42">
        <v>42397.322083333333</v>
      </c>
      <c r="D319" t="s">
        <v>197</v>
      </c>
      <c r="E319" t="s">
        <v>99</v>
      </c>
      <c r="F319" s="42">
        <v>42397.329050925924</v>
      </c>
      <c r="G319" t="s">
        <v>197</v>
      </c>
      <c r="H319">
        <v>0.23799999999999999</v>
      </c>
      <c r="I319" t="s">
        <v>502</v>
      </c>
    </row>
    <row r="320" spans="2:10">
      <c r="B320" t="s">
        <v>20</v>
      </c>
      <c r="C320" s="42">
        <v>42397.352083333331</v>
      </c>
      <c r="D320" t="s">
        <v>197</v>
      </c>
      <c r="E320" t="s">
        <v>99</v>
      </c>
      <c r="F320" s="42">
        <v>42397.367511574077</v>
      </c>
      <c r="G320" t="s">
        <v>197</v>
      </c>
      <c r="H320">
        <v>6.7000000000000004E-2</v>
      </c>
      <c r="I320" t="s">
        <v>503</v>
      </c>
    </row>
    <row r="321" spans="2:10">
      <c r="B321" t="s">
        <v>20</v>
      </c>
      <c r="C321" s="42">
        <v>42397.377592592595</v>
      </c>
      <c r="D321" t="s">
        <v>197</v>
      </c>
      <c r="E321" t="s">
        <v>99</v>
      </c>
      <c r="F321" s="42">
        <v>42397.439328703702</v>
      </c>
      <c r="G321" t="s">
        <v>244</v>
      </c>
      <c r="H321">
        <v>8.9819999999999993</v>
      </c>
      <c r="I321" t="s">
        <v>504</v>
      </c>
    </row>
    <row r="322" spans="2:10">
      <c r="B322" t="s">
        <v>20</v>
      </c>
      <c r="C322" s="42">
        <v>42397.481909722221</v>
      </c>
      <c r="D322" t="s">
        <v>193</v>
      </c>
      <c r="E322" t="s">
        <v>99</v>
      </c>
      <c r="F322" s="42">
        <v>42397.487881944442</v>
      </c>
      <c r="G322" t="s">
        <v>193</v>
      </c>
      <c r="H322">
        <v>1.4999999999999999E-2</v>
      </c>
      <c r="I322" t="s">
        <v>505</v>
      </c>
    </row>
    <row r="323" spans="2:10">
      <c r="B323" t="s">
        <v>20</v>
      </c>
      <c r="C323" s="42">
        <v>42397.491273148145</v>
      </c>
      <c r="D323" t="s">
        <v>193</v>
      </c>
      <c r="E323" t="s">
        <v>99</v>
      </c>
      <c r="F323" s="42">
        <v>42397.580312500002</v>
      </c>
      <c r="G323" t="s">
        <v>59</v>
      </c>
      <c r="H323">
        <v>88.84</v>
      </c>
      <c r="I323" t="s">
        <v>506</v>
      </c>
    </row>
    <row r="324" spans="2:10">
      <c r="B324" t="s">
        <v>20</v>
      </c>
      <c r="C324" s="42">
        <v>42397.588958333334</v>
      </c>
      <c r="D324" t="s">
        <v>59</v>
      </c>
      <c r="E324" t="s">
        <v>99</v>
      </c>
      <c r="F324" s="42">
        <v>42397.748182870368</v>
      </c>
      <c r="H324">
        <v>156.458</v>
      </c>
      <c r="I324" t="s">
        <v>507</v>
      </c>
      <c r="J324" t="s">
        <v>58</v>
      </c>
    </row>
    <row r="325" spans="2:10">
      <c r="B325" t="s">
        <v>20</v>
      </c>
      <c r="C325" s="42">
        <v>42398.360914351855</v>
      </c>
      <c r="D325" t="s">
        <v>58</v>
      </c>
      <c r="E325" t="s">
        <v>106</v>
      </c>
      <c r="F325" s="42">
        <v>42398.366226851853</v>
      </c>
      <c r="G325" t="s">
        <v>58</v>
      </c>
      <c r="H325">
        <v>3.2000000000000001E-2</v>
      </c>
      <c r="I325" t="s">
        <v>508</v>
      </c>
    </row>
    <row r="326" spans="2:10">
      <c r="B326" t="s">
        <v>21</v>
      </c>
      <c r="C326" s="42">
        <v>42394.281643518516</v>
      </c>
      <c r="D326" t="s">
        <v>42</v>
      </c>
      <c r="E326" t="s">
        <v>40</v>
      </c>
      <c r="F326" s="42">
        <v>42394.675486111111</v>
      </c>
      <c r="G326" t="s">
        <v>42</v>
      </c>
      <c r="H326">
        <v>136.56899999999999</v>
      </c>
      <c r="I326" t="s">
        <v>509</v>
      </c>
    </row>
    <row r="327" spans="2:10">
      <c r="B327" t="s">
        <v>21</v>
      </c>
      <c r="C327" s="42">
        <v>42394.683125000003</v>
      </c>
      <c r="D327" t="s">
        <v>42</v>
      </c>
      <c r="E327" t="s">
        <v>40</v>
      </c>
      <c r="F327" s="42">
        <v>42394.702037037037</v>
      </c>
      <c r="G327" t="s">
        <v>42</v>
      </c>
      <c r="H327">
        <v>0.88200000000000001</v>
      </c>
      <c r="I327" t="s">
        <v>510</v>
      </c>
    </row>
    <row r="328" spans="2:10">
      <c r="B328" t="s">
        <v>21</v>
      </c>
      <c r="C328" s="42">
        <v>42395.307488425926</v>
      </c>
      <c r="D328" t="s">
        <v>42</v>
      </c>
      <c r="E328" t="s">
        <v>97</v>
      </c>
      <c r="F328" s="42">
        <v>42395.489837962959</v>
      </c>
      <c r="G328" t="s">
        <v>42</v>
      </c>
      <c r="H328">
        <v>90.055999999999997</v>
      </c>
      <c r="I328" t="s">
        <v>511</v>
      </c>
    </row>
    <row r="329" spans="2:10">
      <c r="B329" t="s">
        <v>21</v>
      </c>
      <c r="C329" s="42">
        <v>42395.506307870368</v>
      </c>
      <c r="D329" t="s">
        <v>42</v>
      </c>
      <c r="E329" t="s">
        <v>97</v>
      </c>
      <c r="F329" s="42">
        <v>42395.641006944446</v>
      </c>
      <c r="G329" t="s">
        <v>513</v>
      </c>
      <c r="H329">
        <v>41.439</v>
      </c>
      <c r="I329" t="s">
        <v>512</v>
      </c>
    </row>
    <row r="330" spans="2:10">
      <c r="B330" t="s">
        <v>21</v>
      </c>
      <c r="C330" s="42">
        <v>42395.647233796299</v>
      </c>
      <c r="D330" t="s">
        <v>513</v>
      </c>
      <c r="E330" t="s">
        <v>97</v>
      </c>
      <c r="F330" s="42">
        <v>42395.692465277774</v>
      </c>
      <c r="G330" t="s">
        <v>42</v>
      </c>
      <c r="H330">
        <v>14.595000000000001</v>
      </c>
      <c r="I330" t="s">
        <v>514</v>
      </c>
    </row>
    <row r="331" spans="2:10">
      <c r="B331" t="s">
        <v>21</v>
      </c>
      <c r="C331" s="42">
        <v>42395.700069444443</v>
      </c>
      <c r="D331" t="s">
        <v>42</v>
      </c>
      <c r="E331" t="s">
        <v>97</v>
      </c>
      <c r="F331" s="42">
        <v>42395.70826388889</v>
      </c>
      <c r="G331" t="s">
        <v>42</v>
      </c>
      <c r="H331">
        <v>0.82199999999999995</v>
      </c>
      <c r="I331" t="s">
        <v>210</v>
      </c>
    </row>
    <row r="332" spans="2:10">
      <c r="B332" t="s">
        <v>21</v>
      </c>
      <c r="C332" s="42">
        <v>42396.285671296297</v>
      </c>
      <c r="D332" t="s">
        <v>42</v>
      </c>
      <c r="E332" t="s">
        <v>98</v>
      </c>
      <c r="F332" s="42">
        <v>42396.500428240739</v>
      </c>
      <c r="G332" t="s">
        <v>153</v>
      </c>
      <c r="H332">
        <v>73.680999999999997</v>
      </c>
      <c r="I332" t="s">
        <v>515</v>
      </c>
    </row>
    <row r="333" spans="2:10">
      <c r="B333" t="s">
        <v>21</v>
      </c>
      <c r="C333" s="42">
        <v>42396.548761574071</v>
      </c>
      <c r="D333" t="s">
        <v>153</v>
      </c>
      <c r="E333" t="s">
        <v>98</v>
      </c>
      <c r="F333" s="42">
        <v>42396.58556712963</v>
      </c>
      <c r="G333" t="s">
        <v>153</v>
      </c>
      <c r="H333">
        <v>0.157</v>
      </c>
      <c r="I333" t="s">
        <v>516</v>
      </c>
    </row>
    <row r="334" spans="2:10">
      <c r="B334" t="s">
        <v>21</v>
      </c>
      <c r="C334" s="42">
        <v>42396.612500000003</v>
      </c>
      <c r="D334" t="s">
        <v>61</v>
      </c>
      <c r="E334" t="s">
        <v>98</v>
      </c>
      <c r="F334" s="42">
        <v>42396.682962962965</v>
      </c>
      <c r="G334" t="s">
        <v>42</v>
      </c>
      <c r="H334">
        <v>27.776</v>
      </c>
      <c r="I334" t="s">
        <v>517</v>
      </c>
    </row>
    <row r="335" spans="2:10">
      <c r="B335" t="s">
        <v>21</v>
      </c>
      <c r="C335" s="42">
        <v>42396.689189814817</v>
      </c>
      <c r="D335" t="s">
        <v>42</v>
      </c>
      <c r="E335" t="s">
        <v>98</v>
      </c>
      <c r="F335" s="42">
        <v>42396.714432870373</v>
      </c>
      <c r="G335" t="s">
        <v>42</v>
      </c>
      <c r="H335">
        <v>0.88900000000000001</v>
      </c>
      <c r="I335" t="s">
        <v>518</v>
      </c>
    </row>
    <row r="336" spans="2:10">
      <c r="B336" t="s">
        <v>21</v>
      </c>
      <c r="C336" s="42">
        <v>42397.287187499998</v>
      </c>
      <c r="D336" t="s">
        <v>42</v>
      </c>
      <c r="E336" t="s">
        <v>99</v>
      </c>
      <c r="F336" s="42">
        <v>42397.492592592593</v>
      </c>
      <c r="G336" t="s">
        <v>513</v>
      </c>
      <c r="H336">
        <v>77.489000000000004</v>
      </c>
      <c r="I336" t="s">
        <v>519</v>
      </c>
    </row>
    <row r="337" spans="2:9">
      <c r="B337" t="s">
        <v>21</v>
      </c>
      <c r="C337" s="42">
        <v>42397.497766203705</v>
      </c>
      <c r="D337" t="s">
        <v>521</v>
      </c>
      <c r="E337" t="s">
        <v>99</v>
      </c>
      <c r="F337" s="42">
        <v>42397.675196759257</v>
      </c>
      <c r="G337" t="s">
        <v>522</v>
      </c>
      <c r="H337">
        <v>76.838999999999999</v>
      </c>
      <c r="I337" t="s">
        <v>520</v>
      </c>
    </row>
    <row r="338" spans="2:9">
      <c r="B338" t="s">
        <v>21</v>
      </c>
      <c r="C338" s="42">
        <v>42397.688009259262</v>
      </c>
      <c r="D338" t="s">
        <v>522</v>
      </c>
      <c r="E338" t="s">
        <v>99</v>
      </c>
      <c r="F338" s="42">
        <v>42397.698738425926</v>
      </c>
      <c r="G338" t="s">
        <v>42</v>
      </c>
      <c r="H338">
        <v>3.044</v>
      </c>
      <c r="I338" t="s">
        <v>523</v>
      </c>
    </row>
    <row r="339" spans="2:9">
      <c r="B339" t="s">
        <v>21</v>
      </c>
      <c r="C339" s="42">
        <v>42397.722268518519</v>
      </c>
      <c r="D339" t="s">
        <v>42</v>
      </c>
      <c r="E339" t="s">
        <v>99</v>
      </c>
      <c r="F339" s="42">
        <v>42397.73170138889</v>
      </c>
      <c r="G339" t="s">
        <v>42</v>
      </c>
      <c r="H339">
        <v>0.50900000000000001</v>
      </c>
      <c r="I339" t="s">
        <v>524</v>
      </c>
    </row>
    <row r="340" spans="2:9">
      <c r="B340" t="s">
        <v>21</v>
      </c>
      <c r="C340" s="42">
        <v>42397.738877314812</v>
      </c>
      <c r="D340" t="s">
        <v>42</v>
      </c>
      <c r="E340" t="s">
        <v>99</v>
      </c>
      <c r="F340" s="42">
        <v>42397.744039351855</v>
      </c>
      <c r="G340" t="s">
        <v>42</v>
      </c>
      <c r="H340">
        <v>0.13100000000000001</v>
      </c>
      <c r="I340" t="s">
        <v>222</v>
      </c>
    </row>
    <row r="341" spans="2:9">
      <c r="B341" t="s">
        <v>21</v>
      </c>
      <c r="C341" s="42">
        <v>42398.285833333335</v>
      </c>
      <c r="D341" t="s">
        <v>42</v>
      </c>
      <c r="E341" t="s">
        <v>106</v>
      </c>
      <c r="F341" s="42">
        <v>42398.379826388889</v>
      </c>
      <c r="G341" t="s">
        <v>42</v>
      </c>
      <c r="H341">
        <v>45.795000000000002</v>
      </c>
      <c r="I341" t="s">
        <v>525</v>
      </c>
    </row>
    <row r="342" spans="2:9">
      <c r="B342" t="s">
        <v>21</v>
      </c>
      <c r="C342" s="42">
        <v>42398.407997685186</v>
      </c>
      <c r="D342" t="s">
        <v>42</v>
      </c>
      <c r="E342" t="s">
        <v>106</v>
      </c>
      <c r="F342" s="42">
        <v>42398.65792824074</v>
      </c>
      <c r="G342" t="s">
        <v>42</v>
      </c>
      <c r="H342">
        <v>91.47</v>
      </c>
      <c r="I342" t="s">
        <v>526</v>
      </c>
    </row>
    <row r="343" spans="2:9">
      <c r="B343" t="s">
        <v>21</v>
      </c>
      <c r="C343" s="42">
        <v>42398.666747685187</v>
      </c>
      <c r="D343" t="s">
        <v>42</v>
      </c>
      <c r="E343" t="s">
        <v>106</v>
      </c>
      <c r="F343" s="42">
        <v>42398.672037037039</v>
      </c>
      <c r="G343" t="s">
        <v>42</v>
      </c>
      <c r="H343">
        <v>9.1999999999999998E-2</v>
      </c>
      <c r="I343" t="s">
        <v>527</v>
      </c>
    </row>
    <row r="344" spans="2:9">
      <c r="B344" t="s">
        <v>21</v>
      </c>
      <c r="C344" s="42">
        <v>42398.706203703703</v>
      </c>
      <c r="D344" t="s">
        <v>42</v>
      </c>
      <c r="E344" t="s">
        <v>106</v>
      </c>
      <c r="F344" s="42">
        <v>42398.71234953704</v>
      </c>
      <c r="G344" t="s">
        <v>42</v>
      </c>
      <c r="H344">
        <v>4.8000000000000001E-2</v>
      </c>
      <c r="I344" t="s">
        <v>528</v>
      </c>
    </row>
    <row r="345" spans="2:9">
      <c r="B345" t="s">
        <v>22</v>
      </c>
      <c r="C345" s="42">
        <v>42394.327106481483</v>
      </c>
      <c r="D345" t="s">
        <v>58</v>
      </c>
      <c r="E345" t="s">
        <v>40</v>
      </c>
      <c r="F345" s="42">
        <v>42394.339467592596</v>
      </c>
      <c r="G345" t="s">
        <v>58</v>
      </c>
      <c r="H345">
        <v>0.217</v>
      </c>
      <c r="I345" t="s">
        <v>529</v>
      </c>
    </row>
    <row r="346" spans="2:9">
      <c r="B346" t="s">
        <v>22</v>
      </c>
      <c r="C346" s="42">
        <v>42394.35361111111</v>
      </c>
      <c r="D346" t="s">
        <v>58</v>
      </c>
      <c r="E346" t="s">
        <v>40</v>
      </c>
      <c r="F346" s="42">
        <v>42394.39025462963</v>
      </c>
      <c r="G346" t="s">
        <v>53</v>
      </c>
      <c r="H346">
        <v>14.413</v>
      </c>
      <c r="I346" t="s">
        <v>530</v>
      </c>
    </row>
    <row r="347" spans="2:9">
      <c r="B347" t="s">
        <v>22</v>
      </c>
      <c r="C347" s="42">
        <v>42394.393171296295</v>
      </c>
      <c r="D347" t="s">
        <v>53</v>
      </c>
      <c r="E347" t="s">
        <v>40</v>
      </c>
      <c r="F347" s="42">
        <v>42394.394432870373</v>
      </c>
      <c r="G347" t="s">
        <v>53</v>
      </c>
      <c r="H347">
        <v>2.5999999999999999E-2</v>
      </c>
      <c r="I347" t="s">
        <v>270</v>
      </c>
    </row>
    <row r="348" spans="2:9">
      <c r="B348" t="s">
        <v>22</v>
      </c>
      <c r="C348" s="42">
        <v>42394.397743055553</v>
      </c>
      <c r="D348" t="s">
        <v>53</v>
      </c>
      <c r="E348" t="s">
        <v>40</v>
      </c>
      <c r="F348" s="42">
        <v>42394.415393518517</v>
      </c>
      <c r="G348" t="s">
        <v>58</v>
      </c>
      <c r="H348">
        <v>10.226000000000001</v>
      </c>
      <c r="I348" t="s">
        <v>531</v>
      </c>
    </row>
    <row r="349" spans="2:9">
      <c r="B349" t="s">
        <v>22</v>
      </c>
      <c r="C349" s="42">
        <v>42394.423703703702</v>
      </c>
      <c r="D349" t="s">
        <v>58</v>
      </c>
      <c r="E349" t="s">
        <v>40</v>
      </c>
      <c r="F349" s="42">
        <v>42394.425069444442</v>
      </c>
      <c r="G349" t="s">
        <v>58</v>
      </c>
      <c r="H349">
        <v>2.5999999999999999E-2</v>
      </c>
      <c r="I349" t="s">
        <v>133</v>
      </c>
    </row>
    <row r="350" spans="2:9">
      <c r="B350" t="s">
        <v>22</v>
      </c>
      <c r="C350" s="42">
        <v>42394.425474537034</v>
      </c>
      <c r="D350" t="s">
        <v>58</v>
      </c>
      <c r="E350" t="s">
        <v>40</v>
      </c>
      <c r="F350" s="42">
        <v>42394.427453703705</v>
      </c>
      <c r="G350" t="s">
        <v>58</v>
      </c>
      <c r="H350">
        <v>1.7000000000000001E-2</v>
      </c>
      <c r="I350" t="s">
        <v>532</v>
      </c>
    </row>
    <row r="351" spans="2:9">
      <c r="B351" t="s">
        <v>22</v>
      </c>
      <c r="C351" s="42">
        <v>42394.440405092595</v>
      </c>
      <c r="D351" t="s">
        <v>58</v>
      </c>
      <c r="E351" t="s">
        <v>40</v>
      </c>
      <c r="F351" s="42">
        <v>42394.441932870373</v>
      </c>
      <c r="G351" t="s">
        <v>58</v>
      </c>
      <c r="H351">
        <v>2E-3</v>
      </c>
      <c r="I351" t="s">
        <v>140</v>
      </c>
    </row>
    <row r="352" spans="2:9">
      <c r="B352" t="s">
        <v>22</v>
      </c>
      <c r="C352" s="42">
        <v>42394.458969907406</v>
      </c>
      <c r="D352" t="s">
        <v>58</v>
      </c>
      <c r="E352" t="s">
        <v>40</v>
      </c>
      <c r="F352" s="42">
        <v>42394.460856481484</v>
      </c>
      <c r="G352" t="s">
        <v>58</v>
      </c>
      <c r="H352">
        <v>3.0000000000000001E-3</v>
      </c>
      <c r="I352" t="s">
        <v>45</v>
      </c>
    </row>
    <row r="353" spans="2:9">
      <c r="B353" t="s">
        <v>22</v>
      </c>
      <c r="C353" s="42">
        <v>42394.465833333335</v>
      </c>
      <c r="D353" t="s">
        <v>58</v>
      </c>
      <c r="E353" t="s">
        <v>40</v>
      </c>
      <c r="F353" s="42">
        <v>42394.469224537039</v>
      </c>
      <c r="G353" t="s">
        <v>58</v>
      </c>
      <c r="H353">
        <v>8.0000000000000002E-3</v>
      </c>
      <c r="I353" t="s">
        <v>178</v>
      </c>
    </row>
    <row r="354" spans="2:9">
      <c r="B354" t="s">
        <v>22</v>
      </c>
      <c r="C354" s="42">
        <v>42394.599108796298</v>
      </c>
      <c r="D354" t="s">
        <v>58</v>
      </c>
      <c r="E354" t="s">
        <v>40</v>
      </c>
      <c r="F354" s="42">
        <v>42394.603518518517</v>
      </c>
      <c r="G354" t="s">
        <v>58</v>
      </c>
      <c r="H354">
        <v>0.64100000000000001</v>
      </c>
      <c r="I354" t="s">
        <v>533</v>
      </c>
    </row>
    <row r="355" spans="2:9">
      <c r="B355" t="s">
        <v>22</v>
      </c>
      <c r="C355" s="42">
        <v>42394.608935185184</v>
      </c>
      <c r="D355" t="s">
        <v>58</v>
      </c>
      <c r="E355" t="s">
        <v>40</v>
      </c>
      <c r="F355" s="42">
        <v>42394.615289351852</v>
      </c>
      <c r="G355" t="s">
        <v>58</v>
      </c>
      <c r="H355">
        <v>0.64100000000000001</v>
      </c>
      <c r="I355" t="s">
        <v>534</v>
      </c>
    </row>
    <row r="356" spans="2:9">
      <c r="B356" t="s">
        <v>22</v>
      </c>
      <c r="C356" s="42">
        <v>42394.660011574073</v>
      </c>
      <c r="D356" t="s">
        <v>58</v>
      </c>
      <c r="E356" t="s">
        <v>40</v>
      </c>
      <c r="F356" s="42">
        <v>42394.672407407408</v>
      </c>
      <c r="G356" t="s">
        <v>58</v>
      </c>
      <c r="H356">
        <v>0.437</v>
      </c>
      <c r="I356" t="s">
        <v>535</v>
      </c>
    </row>
    <row r="357" spans="2:9">
      <c r="B357" t="s">
        <v>22</v>
      </c>
      <c r="C357" s="42">
        <v>42396.384884259256</v>
      </c>
      <c r="D357" t="s">
        <v>58</v>
      </c>
      <c r="E357" t="s">
        <v>98</v>
      </c>
      <c r="F357" s="42">
        <v>42396.394768518519</v>
      </c>
      <c r="G357" t="s">
        <v>58</v>
      </c>
      <c r="H357">
        <v>0.193</v>
      </c>
      <c r="I357" t="s">
        <v>536</v>
      </c>
    </row>
    <row r="358" spans="2:9">
      <c r="B358" t="s">
        <v>22</v>
      </c>
      <c r="C358" s="42">
        <v>42396.399710648147</v>
      </c>
      <c r="D358" t="s">
        <v>58</v>
      </c>
      <c r="E358" t="s">
        <v>98</v>
      </c>
      <c r="F358" s="42">
        <v>42396.436030092591</v>
      </c>
      <c r="G358" t="s">
        <v>58</v>
      </c>
      <c r="H358">
        <v>0.54</v>
      </c>
      <c r="I358" t="s">
        <v>537</v>
      </c>
    </row>
    <row r="359" spans="2:9">
      <c r="B359" t="s">
        <v>22</v>
      </c>
      <c r="C359" s="42">
        <v>42397.330381944441</v>
      </c>
      <c r="D359" t="s">
        <v>58</v>
      </c>
      <c r="E359" t="s">
        <v>99</v>
      </c>
      <c r="F359" s="42">
        <v>42397.333738425928</v>
      </c>
      <c r="G359" t="s">
        <v>58</v>
      </c>
      <c r="H359">
        <v>1.6E-2</v>
      </c>
      <c r="I359" t="s">
        <v>538</v>
      </c>
    </row>
    <row r="360" spans="2:9">
      <c r="B360" t="s">
        <v>22</v>
      </c>
      <c r="C360" s="42">
        <v>42398.32471064815</v>
      </c>
      <c r="D360" t="s">
        <v>58</v>
      </c>
      <c r="E360" t="s">
        <v>106</v>
      </c>
      <c r="F360" s="42">
        <v>42398.329351851855</v>
      </c>
      <c r="G360" t="s">
        <v>58</v>
      </c>
      <c r="H360">
        <v>1.9E-2</v>
      </c>
      <c r="I360" t="s">
        <v>539</v>
      </c>
    </row>
    <row r="361" spans="2:9">
      <c r="B361" t="s">
        <v>22</v>
      </c>
      <c r="C361" s="42">
        <v>42398.5628125</v>
      </c>
      <c r="D361" t="s">
        <v>58</v>
      </c>
      <c r="E361" t="s">
        <v>106</v>
      </c>
      <c r="F361" s="42">
        <v>42398.567673611113</v>
      </c>
      <c r="G361" t="s">
        <v>58</v>
      </c>
      <c r="H361">
        <v>1.2E-2</v>
      </c>
      <c r="I361" t="s">
        <v>385</v>
      </c>
    </row>
    <row r="362" spans="2:9">
      <c r="B362" t="s">
        <v>22</v>
      </c>
      <c r="C362" s="42">
        <v>42398.685613425929</v>
      </c>
      <c r="D362" t="s">
        <v>58</v>
      </c>
      <c r="E362" t="s">
        <v>106</v>
      </c>
      <c r="F362" s="42">
        <v>42398.693136574075</v>
      </c>
      <c r="G362" t="s">
        <v>58</v>
      </c>
      <c r="H362">
        <v>1.2999999999999999E-2</v>
      </c>
      <c r="I362" t="s">
        <v>141</v>
      </c>
    </row>
    <row r="363" spans="2:9">
      <c r="B363" t="s">
        <v>23</v>
      </c>
      <c r="C363" s="42">
        <v>42394.20239583333</v>
      </c>
      <c r="D363" t="s">
        <v>53</v>
      </c>
      <c r="E363" t="s">
        <v>40</v>
      </c>
      <c r="F363" s="42">
        <v>42394.235613425924</v>
      </c>
      <c r="G363" t="s">
        <v>32</v>
      </c>
      <c r="H363">
        <v>32.950000000000003</v>
      </c>
      <c r="I363" t="s">
        <v>540</v>
      </c>
    </row>
    <row r="364" spans="2:9">
      <c r="B364" t="s">
        <v>23</v>
      </c>
      <c r="C364" s="42">
        <v>42394.24009259259</v>
      </c>
      <c r="D364" t="s">
        <v>32</v>
      </c>
      <c r="E364" t="s">
        <v>40</v>
      </c>
      <c r="F364" s="42">
        <v>42394.255497685182</v>
      </c>
      <c r="G364" t="s">
        <v>55</v>
      </c>
      <c r="H364">
        <v>14.085000000000001</v>
      </c>
      <c r="I364" t="s">
        <v>541</v>
      </c>
    </row>
    <row r="365" spans="2:9">
      <c r="B365" t="s">
        <v>23</v>
      </c>
      <c r="C365" s="42">
        <v>42394.267025462963</v>
      </c>
      <c r="D365" t="s">
        <v>55</v>
      </c>
      <c r="E365" t="s">
        <v>40</v>
      </c>
      <c r="F365" s="42">
        <v>42394.277719907404</v>
      </c>
      <c r="G365" t="s">
        <v>55</v>
      </c>
      <c r="H365">
        <v>1.2709999999999999</v>
      </c>
      <c r="I365" t="s">
        <v>542</v>
      </c>
    </row>
    <row r="366" spans="2:9">
      <c r="B366" t="s">
        <v>23</v>
      </c>
      <c r="C366" s="42">
        <v>42394.55541666667</v>
      </c>
      <c r="D366" t="s">
        <v>55</v>
      </c>
      <c r="E366" t="s">
        <v>40</v>
      </c>
      <c r="F366" s="42">
        <v>42394.560798611114</v>
      </c>
      <c r="G366" t="s">
        <v>55</v>
      </c>
      <c r="H366">
        <v>0.121</v>
      </c>
      <c r="I366" t="s">
        <v>543</v>
      </c>
    </row>
    <row r="367" spans="2:9">
      <c r="B367" t="s">
        <v>23</v>
      </c>
      <c r="C367" s="42">
        <v>42395.354837962965</v>
      </c>
      <c r="D367" t="s">
        <v>55</v>
      </c>
      <c r="E367" t="s">
        <v>97</v>
      </c>
      <c r="F367" s="42">
        <v>42395.360266203701</v>
      </c>
      <c r="G367" t="s">
        <v>55</v>
      </c>
      <c r="H367">
        <v>5.8999999999999997E-2</v>
      </c>
      <c r="I367" t="s">
        <v>544</v>
      </c>
    </row>
    <row r="368" spans="2:9">
      <c r="B368" t="s">
        <v>23</v>
      </c>
      <c r="C368" s="42">
        <v>42396.463645833333</v>
      </c>
      <c r="D368" t="s">
        <v>55</v>
      </c>
      <c r="E368" t="s">
        <v>98</v>
      </c>
      <c r="F368" s="42">
        <v>42396.467013888891</v>
      </c>
      <c r="G368" t="s">
        <v>55</v>
      </c>
      <c r="H368">
        <v>0.106</v>
      </c>
      <c r="I368" t="s">
        <v>545</v>
      </c>
    </row>
    <row r="369" spans="2:9">
      <c r="B369" t="s">
        <v>23</v>
      </c>
      <c r="C369" s="42">
        <v>42396.539606481485</v>
      </c>
      <c r="D369" t="s">
        <v>55</v>
      </c>
      <c r="E369" t="s">
        <v>98</v>
      </c>
      <c r="F369" s="42">
        <v>42396.54</v>
      </c>
      <c r="G369" t="s">
        <v>55</v>
      </c>
      <c r="H369">
        <v>1E-3</v>
      </c>
      <c r="I369" t="s">
        <v>126</v>
      </c>
    </row>
    <row r="370" spans="2:9">
      <c r="B370" t="s">
        <v>23</v>
      </c>
      <c r="C370" s="42">
        <v>42397.385104166664</v>
      </c>
      <c r="D370" t="s">
        <v>55</v>
      </c>
      <c r="E370" t="s">
        <v>99</v>
      </c>
      <c r="F370" s="42">
        <v>42397.415578703702</v>
      </c>
      <c r="G370" t="s">
        <v>55</v>
      </c>
      <c r="H370">
        <v>2.4079999999999999</v>
      </c>
      <c r="I370" t="s">
        <v>231</v>
      </c>
    </row>
    <row r="371" spans="2:9">
      <c r="B371" t="s">
        <v>23</v>
      </c>
      <c r="C371" s="42">
        <v>42397.418726851851</v>
      </c>
      <c r="D371" t="s">
        <v>55</v>
      </c>
      <c r="E371" t="s">
        <v>99</v>
      </c>
      <c r="F371" s="42">
        <v>42397.541018518517</v>
      </c>
      <c r="G371" t="s">
        <v>55</v>
      </c>
      <c r="H371">
        <v>94.623999999999995</v>
      </c>
      <c r="I371" t="s">
        <v>546</v>
      </c>
    </row>
    <row r="372" spans="2:9">
      <c r="B372" t="s">
        <v>23</v>
      </c>
      <c r="C372" s="42">
        <v>42397.541539351849</v>
      </c>
      <c r="D372" t="s">
        <v>55</v>
      </c>
      <c r="E372" t="s">
        <v>99</v>
      </c>
      <c r="F372" s="42">
        <v>42397.54179398148</v>
      </c>
      <c r="G372" t="s">
        <v>55</v>
      </c>
      <c r="H372">
        <v>2E-3</v>
      </c>
      <c r="I372" t="s">
        <v>547</v>
      </c>
    </row>
    <row r="373" spans="2:9">
      <c r="B373" t="s">
        <v>23</v>
      </c>
      <c r="C373" s="42">
        <v>42397.555717592593</v>
      </c>
      <c r="D373" t="s">
        <v>55</v>
      </c>
      <c r="E373" t="s">
        <v>99</v>
      </c>
      <c r="F373" s="42">
        <v>42397.559282407405</v>
      </c>
      <c r="G373" t="s">
        <v>55</v>
      </c>
      <c r="H373">
        <v>1.306</v>
      </c>
      <c r="I373" t="s">
        <v>177</v>
      </c>
    </row>
    <row r="374" spans="2:9">
      <c r="B374" t="s">
        <v>23</v>
      </c>
      <c r="C374" s="42">
        <v>42397.561331018522</v>
      </c>
      <c r="D374" t="s">
        <v>55</v>
      </c>
      <c r="E374" t="s">
        <v>99</v>
      </c>
      <c r="F374" s="42">
        <v>42397.564664351848</v>
      </c>
      <c r="G374" t="s">
        <v>55</v>
      </c>
      <c r="H374">
        <v>1.0780000000000001</v>
      </c>
      <c r="I374" t="s">
        <v>242</v>
      </c>
    </row>
    <row r="375" spans="2:9">
      <c r="B375" t="s">
        <v>23</v>
      </c>
      <c r="C375" s="42">
        <v>42397.568310185183</v>
      </c>
      <c r="D375" t="s">
        <v>55</v>
      </c>
      <c r="E375" t="s">
        <v>99</v>
      </c>
      <c r="F375" s="42">
        <v>42397.572256944448</v>
      </c>
      <c r="G375" t="s">
        <v>55</v>
      </c>
      <c r="H375">
        <v>0.40899999999999997</v>
      </c>
      <c r="I375" t="s">
        <v>548</v>
      </c>
    </row>
    <row r="376" spans="2:9">
      <c r="B376" t="s">
        <v>23</v>
      </c>
      <c r="C376" s="42">
        <v>42397.581990740742</v>
      </c>
      <c r="D376" t="s">
        <v>55</v>
      </c>
      <c r="E376" t="s">
        <v>99</v>
      </c>
      <c r="F376" s="42">
        <v>42397.589409722219</v>
      </c>
      <c r="G376" t="s">
        <v>55</v>
      </c>
      <c r="H376">
        <v>0.95699999999999996</v>
      </c>
      <c r="I376" t="s">
        <v>549</v>
      </c>
    </row>
    <row r="377" spans="2:9">
      <c r="B377" t="s">
        <v>23</v>
      </c>
      <c r="C377" s="42">
        <v>42397.606921296298</v>
      </c>
      <c r="D377" t="s">
        <v>55</v>
      </c>
      <c r="E377" t="s">
        <v>99</v>
      </c>
      <c r="F377" s="42">
        <v>42397.646307870367</v>
      </c>
      <c r="G377" t="s">
        <v>551</v>
      </c>
      <c r="H377">
        <v>33.295000000000002</v>
      </c>
      <c r="I377" t="s">
        <v>550</v>
      </c>
    </row>
    <row r="378" spans="2:9">
      <c r="B378" t="s">
        <v>23</v>
      </c>
      <c r="C378" s="42">
        <v>42397.647256944445</v>
      </c>
      <c r="D378" t="s">
        <v>247</v>
      </c>
      <c r="E378" t="s">
        <v>99</v>
      </c>
      <c r="F378" s="42">
        <v>42397.648206018515</v>
      </c>
      <c r="G378" t="s">
        <v>247</v>
      </c>
      <c r="H378">
        <v>4.4999999999999998E-2</v>
      </c>
      <c r="I378" t="s">
        <v>552</v>
      </c>
    </row>
    <row r="379" spans="2:9">
      <c r="B379" t="s">
        <v>23</v>
      </c>
      <c r="C379" s="42">
        <v>42397.652905092589</v>
      </c>
      <c r="D379" t="s">
        <v>247</v>
      </c>
      <c r="E379" t="s">
        <v>99</v>
      </c>
      <c r="F379" s="42">
        <v>42397.696388888886</v>
      </c>
      <c r="G379" t="s">
        <v>53</v>
      </c>
      <c r="H379">
        <v>14.614000000000001</v>
      </c>
      <c r="I379" t="s">
        <v>553</v>
      </c>
    </row>
    <row r="380" spans="2:9">
      <c r="B380" t="s">
        <v>23</v>
      </c>
      <c r="C380" s="42">
        <v>42397.704479166663</v>
      </c>
      <c r="D380" t="s">
        <v>53</v>
      </c>
      <c r="E380" t="s">
        <v>99</v>
      </c>
      <c r="F380" s="42">
        <v>42397.706041666665</v>
      </c>
      <c r="G380" t="s">
        <v>53</v>
      </c>
      <c r="H380">
        <v>0.19500000000000001</v>
      </c>
      <c r="I380" t="s">
        <v>44</v>
      </c>
    </row>
    <row r="381" spans="2:9">
      <c r="B381" t="s">
        <v>23</v>
      </c>
      <c r="C381" s="42">
        <v>42398.189733796295</v>
      </c>
      <c r="D381" t="s">
        <v>53</v>
      </c>
      <c r="E381" t="s">
        <v>106</v>
      </c>
      <c r="F381" s="42">
        <v>42398.215960648151</v>
      </c>
      <c r="G381" t="s">
        <v>54</v>
      </c>
      <c r="H381">
        <v>19.350000000000001</v>
      </c>
      <c r="I381" t="s">
        <v>554</v>
      </c>
    </row>
    <row r="382" spans="2:9">
      <c r="B382" t="s">
        <v>23</v>
      </c>
      <c r="C382" s="42">
        <v>42398.220856481479</v>
      </c>
      <c r="D382" t="s">
        <v>54</v>
      </c>
      <c r="E382" t="s">
        <v>106</v>
      </c>
      <c r="F382" s="42">
        <v>42398.254131944443</v>
      </c>
      <c r="G382" t="s">
        <v>55</v>
      </c>
      <c r="H382">
        <v>29.242999999999999</v>
      </c>
      <c r="I382" t="s">
        <v>555</v>
      </c>
    </row>
    <row r="383" spans="2:9">
      <c r="B383" t="s">
        <v>23</v>
      </c>
      <c r="C383" s="42">
        <v>42398.322731481479</v>
      </c>
      <c r="D383" t="s">
        <v>55</v>
      </c>
      <c r="E383" t="s">
        <v>106</v>
      </c>
      <c r="F383" s="42">
        <v>42398.325648148151</v>
      </c>
      <c r="G383" t="s">
        <v>55</v>
      </c>
      <c r="H383">
        <v>9.6000000000000002E-2</v>
      </c>
      <c r="I383" t="s">
        <v>556</v>
      </c>
    </row>
    <row r="384" spans="2:9">
      <c r="B384" t="s">
        <v>24</v>
      </c>
      <c r="C384" s="42">
        <v>42394.344224537039</v>
      </c>
      <c r="D384" t="s">
        <v>42</v>
      </c>
      <c r="E384" t="s">
        <v>40</v>
      </c>
      <c r="F384" s="42">
        <v>42394.348680555559</v>
      </c>
      <c r="G384" t="s">
        <v>42</v>
      </c>
      <c r="H384">
        <v>1.4999999999999999E-2</v>
      </c>
      <c r="I384" t="s">
        <v>557</v>
      </c>
    </row>
    <row r="385" spans="2:11">
      <c r="B385" t="s">
        <v>24</v>
      </c>
      <c r="C385" s="42">
        <v>42394.586030092592</v>
      </c>
      <c r="D385" t="s">
        <v>42</v>
      </c>
      <c r="E385" t="s">
        <v>40</v>
      </c>
      <c r="F385" s="42">
        <v>42394.603854166664</v>
      </c>
      <c r="G385" t="s">
        <v>42</v>
      </c>
      <c r="H385">
        <v>0.05</v>
      </c>
      <c r="I385" t="s">
        <v>558</v>
      </c>
    </row>
    <row r="386" spans="2:11">
      <c r="B386" t="s">
        <v>24</v>
      </c>
      <c r="C386" s="42">
        <v>42395.168020833335</v>
      </c>
      <c r="D386" t="s">
        <v>560</v>
      </c>
      <c r="E386" t="s">
        <v>97</v>
      </c>
      <c r="F386" s="42">
        <v>42395.316331018519</v>
      </c>
      <c r="G386" t="s">
        <v>59</v>
      </c>
      <c r="H386">
        <v>101.407</v>
      </c>
      <c r="I386" t="s">
        <v>559</v>
      </c>
    </row>
    <row r="387" spans="2:11">
      <c r="B387" t="s">
        <v>24</v>
      </c>
      <c r="C387" s="42">
        <v>42395.325694444444</v>
      </c>
      <c r="D387" t="s">
        <v>59</v>
      </c>
      <c r="E387" t="s">
        <v>97</v>
      </c>
      <c r="F387" s="42">
        <v>42395.325995370367</v>
      </c>
      <c r="H387">
        <v>1E-3</v>
      </c>
      <c r="I387" t="s">
        <v>112</v>
      </c>
      <c r="J387" t="s">
        <v>59</v>
      </c>
    </row>
    <row r="388" spans="2:11">
      <c r="B388" t="s">
        <v>24</v>
      </c>
      <c r="C388" s="42">
        <v>42395.375196759262</v>
      </c>
      <c r="D388" t="s">
        <v>59</v>
      </c>
      <c r="E388" t="s">
        <v>97</v>
      </c>
      <c r="F388" s="42">
        <v>42395.486331018517</v>
      </c>
      <c r="H388">
        <v>83.903999999999996</v>
      </c>
      <c r="I388" t="s">
        <v>561</v>
      </c>
      <c r="J388" t="s">
        <v>182</v>
      </c>
      <c r="K388" t="s">
        <v>183</v>
      </c>
    </row>
    <row r="389" spans="2:11">
      <c r="B389" t="s">
        <v>24</v>
      </c>
      <c r="C389" s="42">
        <v>42395.67527777778</v>
      </c>
      <c r="D389" t="s">
        <v>182</v>
      </c>
      <c r="E389" t="s">
        <v>97</v>
      </c>
      <c r="F389" s="42">
        <v>42395.722939814812</v>
      </c>
      <c r="G389" t="s">
        <v>183</v>
      </c>
      <c r="H389">
        <v>23.917000000000002</v>
      </c>
      <c r="I389" t="s">
        <v>562</v>
      </c>
      <c r="J389" t="s">
        <v>55</v>
      </c>
    </row>
    <row r="390" spans="2:11">
      <c r="B390" t="s">
        <v>24</v>
      </c>
      <c r="C390" s="42">
        <v>42396.455451388887</v>
      </c>
      <c r="D390" t="s">
        <v>55</v>
      </c>
      <c r="E390" t="s">
        <v>98</v>
      </c>
      <c r="F390" s="42">
        <v>42396.466851851852</v>
      </c>
      <c r="G390" t="s">
        <v>55</v>
      </c>
      <c r="H390">
        <v>1.37</v>
      </c>
      <c r="I390" t="s">
        <v>563</v>
      </c>
    </row>
    <row r="391" spans="2:11">
      <c r="B391" t="s">
        <v>24</v>
      </c>
      <c r="C391" s="42">
        <v>42396.550300925926</v>
      </c>
      <c r="D391" t="s">
        <v>55</v>
      </c>
      <c r="E391" t="s">
        <v>98</v>
      </c>
      <c r="F391" s="42">
        <v>42396.551423611112</v>
      </c>
      <c r="G391" t="s">
        <v>55</v>
      </c>
      <c r="H391">
        <v>3.5999999999999997E-2</v>
      </c>
      <c r="I391" t="s">
        <v>119</v>
      </c>
    </row>
    <row r="392" spans="2:11">
      <c r="B392" t="s">
        <v>24</v>
      </c>
      <c r="C392" s="42">
        <v>42396.573587962965</v>
      </c>
      <c r="D392" t="s">
        <v>55</v>
      </c>
      <c r="E392" t="s">
        <v>98</v>
      </c>
      <c r="F392" s="42">
        <v>42396.585069444445</v>
      </c>
      <c r="G392" t="s">
        <v>55</v>
      </c>
      <c r="H392">
        <v>0.501</v>
      </c>
      <c r="I392" t="s">
        <v>233</v>
      </c>
    </row>
    <row r="393" spans="2:11">
      <c r="B393" t="s">
        <v>24</v>
      </c>
      <c r="C393" s="42">
        <v>42396.597974537035</v>
      </c>
      <c r="D393" t="s">
        <v>55</v>
      </c>
      <c r="E393" t="s">
        <v>98</v>
      </c>
      <c r="F393" s="42">
        <v>42396.608912037038</v>
      </c>
      <c r="G393" t="s">
        <v>55</v>
      </c>
      <c r="H393">
        <v>1.0189999999999999</v>
      </c>
      <c r="I393" t="s">
        <v>564</v>
      </c>
    </row>
    <row r="394" spans="2:11">
      <c r="B394" t="s">
        <v>24</v>
      </c>
      <c r="C394" s="42">
        <v>42396.612604166665</v>
      </c>
      <c r="D394" t="s">
        <v>55</v>
      </c>
      <c r="E394" t="s">
        <v>98</v>
      </c>
      <c r="F394" s="42">
        <v>42396.642812500002</v>
      </c>
      <c r="G394" t="s">
        <v>55</v>
      </c>
      <c r="H394">
        <v>0.67300000000000004</v>
      </c>
      <c r="I394" t="s">
        <v>565</v>
      </c>
    </row>
    <row r="395" spans="2:11">
      <c r="B395" t="s">
        <v>24</v>
      </c>
      <c r="C395" s="42">
        <v>42396.704861111109</v>
      </c>
      <c r="D395" t="s">
        <v>55</v>
      </c>
      <c r="E395" t="s">
        <v>98</v>
      </c>
      <c r="F395" s="42">
        <v>42396.710636574076</v>
      </c>
      <c r="G395" t="s">
        <v>55</v>
      </c>
      <c r="H395">
        <v>1.131</v>
      </c>
      <c r="I395" t="s">
        <v>566</v>
      </c>
    </row>
    <row r="396" spans="2:11">
      <c r="B396" t="s">
        <v>24</v>
      </c>
      <c r="C396" s="42">
        <v>42396.716724537036</v>
      </c>
      <c r="D396" t="s">
        <v>55</v>
      </c>
      <c r="E396" t="s">
        <v>98</v>
      </c>
      <c r="F396" s="42">
        <v>42396.822395833333</v>
      </c>
      <c r="G396" t="s">
        <v>53</v>
      </c>
      <c r="H396">
        <v>44.944000000000003</v>
      </c>
      <c r="I396" t="s">
        <v>567</v>
      </c>
    </row>
    <row r="397" spans="2:11">
      <c r="B397" t="s">
        <v>24</v>
      </c>
      <c r="C397" s="42">
        <v>42397.308599537035</v>
      </c>
      <c r="D397" t="s">
        <v>53</v>
      </c>
      <c r="E397" t="s">
        <v>99</v>
      </c>
      <c r="F397" s="42">
        <v>42397.350243055553</v>
      </c>
      <c r="G397" t="s">
        <v>58</v>
      </c>
      <c r="H397">
        <v>9.718</v>
      </c>
      <c r="I397" t="s">
        <v>568</v>
      </c>
    </row>
    <row r="398" spans="2:11">
      <c r="B398" t="s">
        <v>24</v>
      </c>
      <c r="C398" s="42">
        <v>42397.35434027778</v>
      </c>
      <c r="D398" t="s">
        <v>58</v>
      </c>
      <c r="E398" t="s">
        <v>99</v>
      </c>
      <c r="F398" s="42">
        <v>42397.367581018516</v>
      </c>
      <c r="G398" t="s">
        <v>58</v>
      </c>
      <c r="H398">
        <v>0.38300000000000001</v>
      </c>
      <c r="I398" t="s">
        <v>569</v>
      </c>
    </row>
    <row r="399" spans="2:11">
      <c r="B399" t="s">
        <v>24</v>
      </c>
      <c r="C399" s="42">
        <v>42397.394328703704</v>
      </c>
      <c r="D399" t="s">
        <v>58</v>
      </c>
      <c r="E399" t="s">
        <v>99</v>
      </c>
      <c r="F399" s="42">
        <v>42397.396134259259</v>
      </c>
      <c r="G399" t="s">
        <v>58</v>
      </c>
      <c r="H399">
        <v>1.4999999999999999E-2</v>
      </c>
      <c r="I399" t="s">
        <v>570</v>
      </c>
    </row>
    <row r="400" spans="2:11">
      <c r="B400" t="s">
        <v>24</v>
      </c>
      <c r="C400" s="42">
        <v>42397.417962962965</v>
      </c>
      <c r="D400" t="s">
        <v>58</v>
      </c>
      <c r="E400" t="s">
        <v>99</v>
      </c>
      <c r="F400" s="42">
        <v>42397.428020833337</v>
      </c>
      <c r="G400" t="s">
        <v>58</v>
      </c>
      <c r="H400">
        <v>0.188</v>
      </c>
      <c r="I400" t="s">
        <v>214</v>
      </c>
    </row>
    <row r="401" spans="2:11">
      <c r="B401" t="s">
        <v>24</v>
      </c>
      <c r="C401" s="42">
        <v>42397.477164351854</v>
      </c>
      <c r="D401" t="s">
        <v>58</v>
      </c>
      <c r="E401" t="s">
        <v>99</v>
      </c>
      <c r="F401" s="42">
        <v>42397.480347222219</v>
      </c>
      <c r="G401" t="s">
        <v>58</v>
      </c>
      <c r="H401">
        <v>8.9999999999999993E-3</v>
      </c>
      <c r="I401" t="s">
        <v>571</v>
      </c>
    </row>
    <row r="402" spans="2:11">
      <c r="B402" t="s">
        <v>24</v>
      </c>
      <c r="C402" s="42">
        <v>42397.48609953704</v>
      </c>
      <c r="D402" t="s">
        <v>58</v>
      </c>
      <c r="E402" t="s">
        <v>99</v>
      </c>
      <c r="F402" s="42">
        <v>42397.487685185188</v>
      </c>
      <c r="G402" t="s">
        <v>58</v>
      </c>
      <c r="H402">
        <v>6.5000000000000002E-2</v>
      </c>
      <c r="I402" t="s">
        <v>339</v>
      </c>
    </row>
    <row r="403" spans="2:11">
      <c r="B403" t="s">
        <v>24</v>
      </c>
      <c r="C403" s="42">
        <v>42397.589849537035</v>
      </c>
      <c r="D403" t="s">
        <v>58</v>
      </c>
      <c r="E403" t="s">
        <v>99</v>
      </c>
      <c r="F403" s="42">
        <v>42397.592372685183</v>
      </c>
      <c r="G403" t="s">
        <v>58</v>
      </c>
      <c r="H403">
        <v>5.1999999999999998E-2</v>
      </c>
      <c r="I403" t="s">
        <v>170</v>
      </c>
    </row>
    <row r="404" spans="2:11">
      <c r="B404" t="s">
        <v>25</v>
      </c>
      <c r="C404" s="42">
        <v>42394.297268518516</v>
      </c>
      <c r="D404" t="s">
        <v>52</v>
      </c>
      <c r="E404" t="s">
        <v>40</v>
      </c>
      <c r="F404" s="42">
        <v>42394.31354166667</v>
      </c>
      <c r="G404" t="s">
        <v>52</v>
      </c>
      <c r="H404">
        <v>7.3999999999999996E-2</v>
      </c>
      <c r="I404" t="s">
        <v>206</v>
      </c>
      <c r="J404" t="s">
        <v>572</v>
      </c>
    </row>
    <row r="405" spans="2:11">
      <c r="B405" t="s">
        <v>25</v>
      </c>
      <c r="C405" s="42">
        <v>42394.314456018517</v>
      </c>
      <c r="D405" t="s">
        <v>52</v>
      </c>
      <c r="E405" t="s">
        <v>40</v>
      </c>
      <c r="F405" s="42">
        <v>42394.337847222225</v>
      </c>
      <c r="G405" t="s">
        <v>48</v>
      </c>
      <c r="H405">
        <v>2.367</v>
      </c>
      <c r="I405" t="s">
        <v>235</v>
      </c>
      <c r="J405" t="s">
        <v>572</v>
      </c>
    </row>
    <row r="406" spans="2:11">
      <c r="B406" t="s">
        <v>25</v>
      </c>
      <c r="C406" s="42">
        <v>42394.34578703704</v>
      </c>
      <c r="D406" t="s">
        <v>48</v>
      </c>
      <c r="E406" t="s">
        <v>40</v>
      </c>
      <c r="F406" s="42">
        <v>42394.357719907406</v>
      </c>
      <c r="G406" t="s">
        <v>204</v>
      </c>
      <c r="H406">
        <v>0.76800000000000002</v>
      </c>
      <c r="I406" t="s">
        <v>573</v>
      </c>
    </row>
    <row r="407" spans="2:11">
      <c r="B407" t="s">
        <v>25</v>
      </c>
      <c r="C407" s="42">
        <v>42394.440185185187</v>
      </c>
      <c r="D407" t="s">
        <v>204</v>
      </c>
      <c r="E407" t="s">
        <v>40</v>
      </c>
      <c r="F407" s="42">
        <v>42394.461956018517</v>
      </c>
      <c r="G407" t="s">
        <v>48</v>
      </c>
      <c r="H407">
        <v>1.0509999999999999</v>
      </c>
      <c r="I407" t="s">
        <v>245</v>
      </c>
      <c r="J407" t="s">
        <v>572</v>
      </c>
    </row>
    <row r="408" spans="2:11">
      <c r="B408" t="s">
        <v>25</v>
      </c>
      <c r="C408" s="42">
        <v>42394.574490740742</v>
      </c>
      <c r="D408" t="s">
        <v>48</v>
      </c>
      <c r="E408" t="s">
        <v>40</v>
      </c>
      <c r="F408" s="42">
        <v>42394.587731481479</v>
      </c>
      <c r="G408" t="s">
        <v>52</v>
      </c>
      <c r="H408">
        <v>2.976</v>
      </c>
      <c r="I408" t="s">
        <v>569</v>
      </c>
      <c r="J408" t="s">
        <v>572</v>
      </c>
    </row>
    <row r="409" spans="2:11">
      <c r="B409" t="s">
        <v>25</v>
      </c>
      <c r="C409" s="42">
        <v>42394.603946759256</v>
      </c>
      <c r="D409" t="s">
        <v>52</v>
      </c>
      <c r="E409" t="s">
        <v>40</v>
      </c>
      <c r="F409" s="42">
        <v>42394.606111111112</v>
      </c>
      <c r="G409" t="s">
        <v>52</v>
      </c>
      <c r="H409">
        <v>5.0999999999999997E-2</v>
      </c>
      <c r="I409" t="s">
        <v>574</v>
      </c>
      <c r="J409" t="s">
        <v>572</v>
      </c>
    </row>
    <row r="410" spans="2:11">
      <c r="B410" t="s">
        <v>25</v>
      </c>
      <c r="C410" s="42">
        <v>42394.614189814813</v>
      </c>
      <c r="D410" t="s">
        <v>52</v>
      </c>
      <c r="E410" t="s">
        <v>40</v>
      </c>
      <c r="F410" s="42">
        <v>42394.638773148145</v>
      </c>
      <c r="G410" t="s">
        <v>42</v>
      </c>
      <c r="H410">
        <v>14.715999999999999</v>
      </c>
      <c r="I410" t="s">
        <v>575</v>
      </c>
      <c r="J410" t="s">
        <v>572</v>
      </c>
    </row>
    <row r="411" spans="2:11">
      <c r="B411" t="s">
        <v>25</v>
      </c>
      <c r="C411" s="42">
        <v>42394.644537037035</v>
      </c>
      <c r="D411" t="s">
        <v>42</v>
      </c>
      <c r="E411" t="s">
        <v>40</v>
      </c>
      <c r="F411" s="42">
        <v>42394.647534722222</v>
      </c>
      <c r="G411" t="s">
        <v>42</v>
      </c>
      <c r="H411">
        <v>0.46</v>
      </c>
      <c r="I411" t="s">
        <v>576</v>
      </c>
    </row>
    <row r="412" spans="2:11">
      <c r="B412" t="s">
        <v>25</v>
      </c>
      <c r="C412" s="42">
        <v>42394.648287037038</v>
      </c>
      <c r="D412" t="s">
        <v>42</v>
      </c>
      <c r="E412" t="s">
        <v>40</v>
      </c>
      <c r="F412" s="42">
        <v>42394.669907407406</v>
      </c>
      <c r="G412" t="s">
        <v>42</v>
      </c>
      <c r="H412">
        <v>0.57699999999999996</v>
      </c>
      <c r="I412" t="s">
        <v>240</v>
      </c>
      <c r="J412" t="s">
        <v>572</v>
      </c>
    </row>
    <row r="413" spans="2:11">
      <c r="B413" t="s">
        <v>25</v>
      </c>
      <c r="C413" s="42">
        <v>42394.704097222224</v>
      </c>
      <c r="D413" t="s">
        <v>42</v>
      </c>
      <c r="E413" t="s">
        <v>40</v>
      </c>
      <c r="F413" s="42">
        <v>42394.706388888888</v>
      </c>
      <c r="G413" t="s">
        <v>42</v>
      </c>
      <c r="H413">
        <v>7.1999999999999995E-2</v>
      </c>
      <c r="I413" t="s">
        <v>577</v>
      </c>
    </row>
    <row r="414" spans="2:11">
      <c r="B414" t="s">
        <v>25</v>
      </c>
      <c r="C414" s="42">
        <v>42394.732743055552</v>
      </c>
      <c r="D414" t="s">
        <v>42</v>
      </c>
      <c r="E414" t="s">
        <v>40</v>
      </c>
      <c r="F414" s="42">
        <v>42394.759560185186</v>
      </c>
      <c r="G414" t="s">
        <v>33</v>
      </c>
      <c r="H414">
        <v>3.5529999999999999</v>
      </c>
      <c r="I414" t="s">
        <v>578</v>
      </c>
      <c r="J414" t="s">
        <v>572</v>
      </c>
    </row>
    <row r="415" spans="2:11">
      <c r="B415" t="s">
        <v>25</v>
      </c>
      <c r="C415" s="42">
        <v>42394.762997685182</v>
      </c>
      <c r="D415" t="s">
        <v>33</v>
      </c>
      <c r="E415" t="s">
        <v>40</v>
      </c>
      <c r="F415" s="42">
        <v>42394.777303240742</v>
      </c>
      <c r="G415" t="s">
        <v>48</v>
      </c>
      <c r="H415">
        <v>9.8469999999999995</v>
      </c>
      <c r="I415" t="s">
        <v>579</v>
      </c>
    </row>
    <row r="416" spans="2:11">
      <c r="B416" t="s">
        <v>25</v>
      </c>
      <c r="C416" s="42">
        <v>42395.172673611109</v>
      </c>
      <c r="D416" t="s">
        <v>48</v>
      </c>
      <c r="E416" t="s">
        <v>97</v>
      </c>
      <c r="F416" s="42">
        <v>42395.318368055552</v>
      </c>
      <c r="G416" t="s">
        <v>59</v>
      </c>
      <c r="H416">
        <v>102.38800000000001</v>
      </c>
      <c r="I416" t="s">
        <v>580</v>
      </c>
      <c r="K416" t="s">
        <v>572</v>
      </c>
    </row>
    <row r="417" spans="2:12">
      <c r="B417" t="s">
        <v>25</v>
      </c>
      <c r="C417" s="42">
        <v>42395.318981481483</v>
      </c>
      <c r="D417" t="s">
        <v>59</v>
      </c>
      <c r="E417" t="s">
        <v>97</v>
      </c>
      <c r="F417" s="42">
        <v>42395.320162037038</v>
      </c>
      <c r="H417">
        <v>5.0000000000000001E-3</v>
      </c>
      <c r="I417" t="s">
        <v>43</v>
      </c>
      <c r="J417" t="s">
        <v>59</v>
      </c>
    </row>
    <row r="418" spans="2:12">
      <c r="B418" t="s">
        <v>25</v>
      </c>
      <c r="C418" s="42">
        <v>42395.328090277777</v>
      </c>
      <c r="D418" t="s">
        <v>59</v>
      </c>
      <c r="E418" t="s">
        <v>97</v>
      </c>
      <c r="F418" s="42">
        <v>42395.339050925926</v>
      </c>
      <c r="H418">
        <v>0.128</v>
      </c>
      <c r="I418" t="s">
        <v>581</v>
      </c>
      <c r="J418" t="s">
        <v>59</v>
      </c>
    </row>
    <row r="419" spans="2:12">
      <c r="B419" t="s">
        <v>25</v>
      </c>
      <c r="C419" s="42">
        <v>42395.376504629632</v>
      </c>
      <c r="D419" t="s">
        <v>59</v>
      </c>
      <c r="E419" t="s">
        <v>97</v>
      </c>
      <c r="F419" s="42">
        <v>42395.489050925928</v>
      </c>
      <c r="H419">
        <v>84.245000000000005</v>
      </c>
      <c r="I419" t="s">
        <v>582</v>
      </c>
      <c r="J419" t="s">
        <v>182</v>
      </c>
      <c r="K419" t="s">
        <v>183</v>
      </c>
      <c r="L419" t="s">
        <v>572</v>
      </c>
    </row>
    <row r="420" spans="2:12">
      <c r="B420" t="s">
        <v>25</v>
      </c>
      <c r="C420" s="42">
        <v>42395.67459490741</v>
      </c>
      <c r="D420" t="s">
        <v>216</v>
      </c>
      <c r="E420" t="s">
        <v>97</v>
      </c>
      <c r="F420" s="42">
        <v>42395.799629629626</v>
      </c>
      <c r="G420" t="s">
        <v>183</v>
      </c>
      <c r="H420">
        <v>72.052999999999997</v>
      </c>
      <c r="I420" t="s">
        <v>583</v>
      </c>
      <c r="J420" t="s">
        <v>58</v>
      </c>
      <c r="K420" t="s">
        <v>572</v>
      </c>
    </row>
    <row r="421" spans="2:12">
      <c r="B421" t="s">
        <v>25</v>
      </c>
      <c r="C421" s="42">
        <v>42396.30641203704</v>
      </c>
      <c r="D421" t="s">
        <v>58</v>
      </c>
      <c r="E421" t="s">
        <v>98</v>
      </c>
      <c r="F421" s="42">
        <v>42396.323159722226</v>
      </c>
      <c r="G421" t="s">
        <v>58</v>
      </c>
      <c r="H421">
        <v>0.224</v>
      </c>
      <c r="I421" t="s">
        <v>584</v>
      </c>
      <c r="J421" t="s">
        <v>572</v>
      </c>
    </row>
    <row r="422" spans="2:12">
      <c r="B422" t="s">
        <v>25</v>
      </c>
      <c r="C422" s="42">
        <v>42396.380902777775</v>
      </c>
      <c r="D422" t="s">
        <v>58</v>
      </c>
      <c r="E422" t="s">
        <v>98</v>
      </c>
      <c r="F422" s="42">
        <v>42396.382777777777</v>
      </c>
      <c r="G422" t="s">
        <v>58</v>
      </c>
      <c r="H422">
        <v>0.21099999999999999</v>
      </c>
      <c r="I422" t="s">
        <v>57</v>
      </c>
    </row>
    <row r="423" spans="2:12">
      <c r="B423" t="s">
        <v>25</v>
      </c>
      <c r="C423" s="42">
        <v>42396.387083333335</v>
      </c>
      <c r="D423" t="s">
        <v>58</v>
      </c>
      <c r="E423" t="s">
        <v>98</v>
      </c>
      <c r="F423" s="42">
        <v>42396.469814814816</v>
      </c>
      <c r="G423" t="s">
        <v>175</v>
      </c>
      <c r="H423">
        <v>72.019000000000005</v>
      </c>
      <c r="I423" t="s">
        <v>585</v>
      </c>
      <c r="K423" t="s">
        <v>572</v>
      </c>
    </row>
    <row r="424" spans="2:12">
      <c r="B424" t="s">
        <v>25</v>
      </c>
      <c r="C424" s="42">
        <v>42396.483657407407</v>
      </c>
      <c r="D424" t="s">
        <v>175</v>
      </c>
      <c r="E424" t="s">
        <v>98</v>
      </c>
      <c r="F424" s="42">
        <v>42396.571493055555</v>
      </c>
      <c r="H424">
        <v>86.067999999999998</v>
      </c>
      <c r="I424" t="s">
        <v>586</v>
      </c>
      <c r="J424" t="s">
        <v>59</v>
      </c>
      <c r="L424" t="s">
        <v>572</v>
      </c>
    </row>
    <row r="425" spans="2:12">
      <c r="B425" t="s">
        <v>25</v>
      </c>
      <c r="C425" s="42">
        <v>42396.59097222222</v>
      </c>
      <c r="D425" t="s">
        <v>59</v>
      </c>
      <c r="E425" t="s">
        <v>98</v>
      </c>
      <c r="F425" s="42">
        <v>42396.737337962964</v>
      </c>
      <c r="H425">
        <v>105.113</v>
      </c>
      <c r="I425" t="s">
        <v>587</v>
      </c>
      <c r="J425" t="s">
        <v>52</v>
      </c>
      <c r="K425" t="s">
        <v>572</v>
      </c>
    </row>
    <row r="426" spans="2:12">
      <c r="B426" t="s">
        <v>25</v>
      </c>
      <c r="C426" s="42">
        <v>42397.305509259262</v>
      </c>
      <c r="D426" t="s">
        <v>52</v>
      </c>
      <c r="E426" t="s">
        <v>99</v>
      </c>
      <c r="F426" s="42">
        <v>42397.308263888888</v>
      </c>
      <c r="G426" t="s">
        <v>52</v>
      </c>
      <c r="H426">
        <v>8.9999999999999993E-3</v>
      </c>
      <c r="I426" t="s">
        <v>113</v>
      </c>
      <c r="J426" t="s">
        <v>572</v>
      </c>
    </row>
    <row r="427" spans="2:12">
      <c r="B427" t="s">
        <v>25</v>
      </c>
      <c r="C427" s="42">
        <v>42397.614432870374</v>
      </c>
      <c r="D427" t="s">
        <v>52</v>
      </c>
      <c r="E427" t="s">
        <v>99</v>
      </c>
      <c r="F427" s="42">
        <v>42397.681898148148</v>
      </c>
      <c r="G427" t="s">
        <v>52</v>
      </c>
      <c r="H427">
        <v>11.241</v>
      </c>
      <c r="I427" t="s">
        <v>588</v>
      </c>
      <c r="J427" t="s">
        <v>572</v>
      </c>
    </row>
    <row r="428" spans="2:12">
      <c r="B428" t="s">
        <v>26</v>
      </c>
      <c r="C428" s="42">
        <v>42394.28398148148</v>
      </c>
      <c r="D428" t="s">
        <v>42</v>
      </c>
      <c r="E428" t="s">
        <v>40</v>
      </c>
      <c r="F428" s="42">
        <v>42394.320706018516</v>
      </c>
      <c r="G428" t="s">
        <v>48</v>
      </c>
      <c r="H428">
        <v>13.616</v>
      </c>
      <c r="I428" t="s">
        <v>589</v>
      </c>
    </row>
    <row r="429" spans="2:12">
      <c r="B429" t="s">
        <v>26</v>
      </c>
      <c r="C429" s="42">
        <v>42394.327847222223</v>
      </c>
      <c r="D429" t="s">
        <v>48</v>
      </c>
      <c r="E429" t="s">
        <v>40</v>
      </c>
      <c r="F429" s="42">
        <v>42394.418749999997</v>
      </c>
      <c r="G429" t="s">
        <v>42</v>
      </c>
      <c r="H429">
        <v>34.896000000000001</v>
      </c>
      <c r="I429" t="s">
        <v>590</v>
      </c>
    </row>
    <row r="430" spans="2:12">
      <c r="B430" t="s">
        <v>26</v>
      </c>
      <c r="C430" s="42">
        <v>42394.425775462965</v>
      </c>
      <c r="D430" t="s">
        <v>42</v>
      </c>
      <c r="E430" t="s">
        <v>40</v>
      </c>
      <c r="F430" s="42">
        <v>42394.498379629629</v>
      </c>
      <c r="G430" t="s">
        <v>42</v>
      </c>
      <c r="H430">
        <v>44.514000000000003</v>
      </c>
      <c r="I430" t="s">
        <v>591</v>
      </c>
    </row>
    <row r="431" spans="2:12">
      <c r="B431" t="s">
        <v>26</v>
      </c>
      <c r="C431" s="42">
        <v>42394.498981481483</v>
      </c>
      <c r="D431" t="s">
        <v>42</v>
      </c>
      <c r="E431" t="s">
        <v>40</v>
      </c>
      <c r="F431" s="42">
        <v>42394.502650462964</v>
      </c>
      <c r="G431" t="s">
        <v>42</v>
      </c>
      <c r="H431">
        <v>0</v>
      </c>
      <c r="I431" t="s">
        <v>592</v>
      </c>
    </row>
    <row r="432" spans="2:12">
      <c r="B432" t="s">
        <v>26</v>
      </c>
      <c r="C432" s="42">
        <v>42394.562476851854</v>
      </c>
      <c r="D432" t="s">
        <v>42</v>
      </c>
      <c r="E432" t="s">
        <v>40</v>
      </c>
      <c r="F432" s="42">
        <v>42394.571655092594</v>
      </c>
      <c r="G432" t="s">
        <v>42</v>
      </c>
      <c r="H432">
        <v>0.501</v>
      </c>
      <c r="I432" t="s">
        <v>593</v>
      </c>
    </row>
    <row r="433" spans="2:9">
      <c r="B433" t="s">
        <v>26</v>
      </c>
      <c r="C433" s="42">
        <v>42394.608449074076</v>
      </c>
      <c r="D433" t="s">
        <v>42</v>
      </c>
      <c r="E433" t="s">
        <v>40</v>
      </c>
      <c r="F433" s="42">
        <v>42394.610706018517</v>
      </c>
      <c r="G433" t="s">
        <v>42</v>
      </c>
      <c r="H433">
        <v>0</v>
      </c>
      <c r="I433" t="s">
        <v>594</v>
      </c>
    </row>
    <row r="434" spans="2:9">
      <c r="B434" t="s">
        <v>26</v>
      </c>
      <c r="C434" s="42">
        <v>42394.621111111112</v>
      </c>
      <c r="D434" t="s">
        <v>42</v>
      </c>
      <c r="E434" t="s">
        <v>40</v>
      </c>
      <c r="F434" s="42">
        <v>42394.740057870367</v>
      </c>
      <c r="G434" t="s">
        <v>42</v>
      </c>
      <c r="H434">
        <v>45.901000000000003</v>
      </c>
      <c r="I434" t="s">
        <v>595</v>
      </c>
    </row>
    <row r="435" spans="2:9">
      <c r="B435" t="s">
        <v>26</v>
      </c>
      <c r="C435" s="42">
        <v>42394.743738425925</v>
      </c>
      <c r="D435" t="s">
        <v>42</v>
      </c>
      <c r="E435" t="s">
        <v>40</v>
      </c>
      <c r="F435" s="42">
        <v>42394.745335648149</v>
      </c>
      <c r="G435" t="s">
        <v>42</v>
      </c>
      <c r="H435">
        <v>0</v>
      </c>
      <c r="I435" t="s">
        <v>596</v>
      </c>
    </row>
    <row r="436" spans="2:9">
      <c r="B436" t="s">
        <v>26</v>
      </c>
      <c r="C436" s="42">
        <v>42395.285902777781</v>
      </c>
      <c r="D436" t="s">
        <v>42</v>
      </c>
      <c r="E436" t="s">
        <v>97</v>
      </c>
      <c r="F436" s="42">
        <v>42395.529537037037</v>
      </c>
      <c r="G436" t="s">
        <v>49</v>
      </c>
      <c r="H436">
        <v>105.194</v>
      </c>
      <c r="I436" t="s">
        <v>597</v>
      </c>
    </row>
    <row r="437" spans="2:9">
      <c r="B437" t="s">
        <v>26</v>
      </c>
      <c r="C437" s="42">
        <v>42395.549537037034</v>
      </c>
      <c r="D437" t="s">
        <v>49</v>
      </c>
      <c r="E437" t="s">
        <v>97</v>
      </c>
      <c r="F437" s="42">
        <v>42395.738506944443</v>
      </c>
      <c r="G437" t="s">
        <v>42</v>
      </c>
      <c r="H437">
        <v>78.837999999999994</v>
      </c>
      <c r="I437" t="s">
        <v>598</v>
      </c>
    </row>
    <row r="438" spans="2:9">
      <c r="B438" t="s">
        <v>26</v>
      </c>
      <c r="C438" s="42">
        <v>42396.285740740743</v>
      </c>
      <c r="D438" t="s">
        <v>42</v>
      </c>
      <c r="E438" t="s">
        <v>98</v>
      </c>
      <c r="F438" s="42">
        <v>42396.492361111108</v>
      </c>
      <c r="G438" t="s">
        <v>152</v>
      </c>
      <c r="H438">
        <v>75.820999999999998</v>
      </c>
      <c r="I438" t="s">
        <v>599</v>
      </c>
    </row>
    <row r="439" spans="2:9">
      <c r="B439" t="s">
        <v>26</v>
      </c>
      <c r="C439" s="42">
        <v>42396.583148148151</v>
      </c>
      <c r="D439" t="s">
        <v>152</v>
      </c>
      <c r="E439" t="s">
        <v>98</v>
      </c>
      <c r="F439" s="42">
        <v>42396.586157407408</v>
      </c>
      <c r="G439" t="s">
        <v>152</v>
      </c>
      <c r="H439">
        <v>0</v>
      </c>
      <c r="I439" t="s">
        <v>600</v>
      </c>
    </row>
    <row r="440" spans="2:9">
      <c r="B440" t="s">
        <v>26</v>
      </c>
      <c r="C440" s="42">
        <v>42396.613136574073</v>
      </c>
      <c r="D440" t="s">
        <v>152</v>
      </c>
      <c r="E440" t="s">
        <v>98</v>
      </c>
      <c r="F440" s="42">
        <v>42396.617164351854</v>
      </c>
      <c r="G440" t="s">
        <v>152</v>
      </c>
      <c r="H440">
        <v>0</v>
      </c>
      <c r="I440" t="s">
        <v>601</v>
      </c>
    </row>
    <row r="441" spans="2:9">
      <c r="B441" t="s">
        <v>26</v>
      </c>
      <c r="C441" s="42">
        <v>42396.618935185186</v>
      </c>
      <c r="D441" t="s">
        <v>152</v>
      </c>
      <c r="E441" t="s">
        <v>98</v>
      </c>
      <c r="F441" s="42">
        <v>42396.621539351851</v>
      </c>
      <c r="G441" t="s">
        <v>152</v>
      </c>
      <c r="H441">
        <v>0</v>
      </c>
      <c r="I441" t="s">
        <v>180</v>
      </c>
    </row>
    <row r="442" spans="2:9">
      <c r="B442" t="s">
        <v>26</v>
      </c>
      <c r="C442" s="42">
        <v>42396.629583333335</v>
      </c>
      <c r="D442" t="s">
        <v>152</v>
      </c>
      <c r="E442" t="s">
        <v>98</v>
      </c>
      <c r="F442" s="42">
        <v>42396.73646990741</v>
      </c>
      <c r="G442" t="s">
        <v>42</v>
      </c>
      <c r="H442">
        <v>28.562999999999999</v>
      </c>
      <c r="I442" t="s">
        <v>602</v>
      </c>
    </row>
    <row r="443" spans="2:9">
      <c r="B443" t="s">
        <v>26</v>
      </c>
      <c r="C443" s="42">
        <v>42397.288993055554</v>
      </c>
      <c r="D443" t="s">
        <v>42</v>
      </c>
      <c r="E443" t="s">
        <v>99</v>
      </c>
      <c r="F443" s="42">
        <v>42397.353807870371</v>
      </c>
      <c r="G443" t="s">
        <v>49</v>
      </c>
      <c r="H443">
        <v>32.191000000000003</v>
      </c>
      <c r="I443" t="s">
        <v>603</v>
      </c>
    </row>
    <row r="444" spans="2:9">
      <c r="B444" t="s">
        <v>26</v>
      </c>
      <c r="C444" s="42">
        <v>42397.362291666665</v>
      </c>
      <c r="D444" t="s">
        <v>49</v>
      </c>
      <c r="E444" t="s">
        <v>99</v>
      </c>
      <c r="F444" s="42">
        <v>42397.362997685188</v>
      </c>
      <c r="G444" t="s">
        <v>49</v>
      </c>
      <c r="H444">
        <v>0.128</v>
      </c>
      <c r="I444" t="s">
        <v>189</v>
      </c>
    </row>
    <row r="445" spans="2:9">
      <c r="B445" t="s">
        <v>26</v>
      </c>
      <c r="C445" s="42">
        <v>42397.370347222219</v>
      </c>
      <c r="D445" t="s">
        <v>49</v>
      </c>
      <c r="E445" t="s">
        <v>99</v>
      </c>
      <c r="F445" s="42">
        <v>42397.747511574074</v>
      </c>
      <c r="G445" t="s">
        <v>42</v>
      </c>
      <c r="H445">
        <v>177.77199999999999</v>
      </c>
      <c r="I445" t="s">
        <v>604</v>
      </c>
    </row>
    <row r="446" spans="2:9">
      <c r="B446" t="s">
        <v>26</v>
      </c>
      <c r="C446" s="42">
        <v>42397.750972222224</v>
      </c>
      <c r="D446" t="s">
        <v>42</v>
      </c>
      <c r="E446" t="s">
        <v>99</v>
      </c>
      <c r="F446" s="42">
        <v>42397.751805555556</v>
      </c>
      <c r="G446" t="s">
        <v>42</v>
      </c>
      <c r="H446">
        <v>3.6999999999999998E-2</v>
      </c>
      <c r="I446" t="s">
        <v>111</v>
      </c>
    </row>
    <row r="447" spans="2:9">
      <c r="B447" t="s">
        <v>26</v>
      </c>
      <c r="C447" s="42">
        <v>42398.287210648145</v>
      </c>
      <c r="D447" t="s">
        <v>42</v>
      </c>
      <c r="E447" t="s">
        <v>106</v>
      </c>
      <c r="F447" s="42">
        <v>42398.559548611112</v>
      </c>
      <c r="G447" t="s">
        <v>49</v>
      </c>
      <c r="H447">
        <v>103.73</v>
      </c>
      <c r="I447" t="s">
        <v>605</v>
      </c>
    </row>
    <row r="448" spans="2:9">
      <c r="B448" t="s">
        <v>26</v>
      </c>
      <c r="C448" s="42">
        <v>42398.569444444445</v>
      </c>
      <c r="D448" t="s">
        <v>49</v>
      </c>
      <c r="E448" t="s">
        <v>106</v>
      </c>
      <c r="F448" s="42">
        <v>42398.65896990741</v>
      </c>
      <c r="G448" t="s">
        <v>49</v>
      </c>
      <c r="H448">
        <v>50.46</v>
      </c>
      <c r="I448" t="s">
        <v>606</v>
      </c>
    </row>
    <row r="449" spans="2:9">
      <c r="B449" t="s">
        <v>26</v>
      </c>
      <c r="C449" s="42">
        <v>42398.665821759256</v>
      </c>
      <c r="D449" t="s">
        <v>49</v>
      </c>
      <c r="E449" t="s">
        <v>106</v>
      </c>
      <c r="F449" s="42">
        <v>42398.736539351848</v>
      </c>
      <c r="G449" t="s">
        <v>42</v>
      </c>
      <c r="H449">
        <v>28.84</v>
      </c>
      <c r="I449" t="s">
        <v>607</v>
      </c>
    </row>
    <row r="450" spans="2:9">
      <c r="B450" t="s">
        <v>27</v>
      </c>
      <c r="C450" s="42">
        <v>42394.306840277779</v>
      </c>
      <c r="D450" t="s">
        <v>58</v>
      </c>
      <c r="E450" t="s">
        <v>40</v>
      </c>
      <c r="F450" s="42">
        <v>42394.310567129629</v>
      </c>
      <c r="G450" t="s">
        <v>58</v>
      </c>
      <c r="H450">
        <v>0</v>
      </c>
      <c r="I450" t="s">
        <v>608</v>
      </c>
    </row>
    <row r="451" spans="2:9">
      <c r="B451" t="s">
        <v>27</v>
      </c>
      <c r="C451" s="42">
        <v>42394.310752314814</v>
      </c>
      <c r="D451" t="s">
        <v>58</v>
      </c>
      <c r="E451" t="s">
        <v>40</v>
      </c>
      <c r="F451" s="42">
        <v>42394.311342592591</v>
      </c>
      <c r="G451" t="s">
        <v>58</v>
      </c>
      <c r="H451">
        <v>0</v>
      </c>
      <c r="I451" t="s">
        <v>129</v>
      </c>
    </row>
    <row r="452" spans="2:9">
      <c r="B452" t="s">
        <v>27</v>
      </c>
      <c r="C452" s="42">
        <v>42394.323472222219</v>
      </c>
      <c r="D452" t="s">
        <v>58</v>
      </c>
      <c r="E452" t="s">
        <v>40</v>
      </c>
      <c r="F452" s="42">
        <v>42394.32366898148</v>
      </c>
      <c r="G452" t="s">
        <v>58</v>
      </c>
      <c r="H452">
        <v>0</v>
      </c>
      <c r="I452" t="s">
        <v>123</v>
      </c>
    </row>
    <row r="453" spans="2:9">
      <c r="B453" t="s">
        <v>27</v>
      </c>
      <c r="C453" s="42">
        <v>42394.335289351853</v>
      </c>
      <c r="D453" t="s">
        <v>58</v>
      </c>
      <c r="E453" t="s">
        <v>40</v>
      </c>
      <c r="F453" s="42">
        <v>42394.343252314815</v>
      </c>
      <c r="G453" t="s">
        <v>58</v>
      </c>
      <c r="H453">
        <v>0.24199999999999999</v>
      </c>
      <c r="I453" t="s">
        <v>137</v>
      </c>
    </row>
    <row r="454" spans="2:9">
      <c r="B454" t="s">
        <v>27</v>
      </c>
      <c r="C454" s="42">
        <v>42394.429814814815</v>
      </c>
      <c r="D454" t="s">
        <v>58</v>
      </c>
      <c r="E454" t="s">
        <v>40</v>
      </c>
      <c r="F454" s="42">
        <v>42394.433692129627</v>
      </c>
      <c r="G454" t="s">
        <v>58</v>
      </c>
      <c r="H454">
        <v>0</v>
      </c>
      <c r="I454" t="s">
        <v>609</v>
      </c>
    </row>
    <row r="455" spans="2:9">
      <c r="B455" t="s">
        <v>27</v>
      </c>
      <c r="C455" s="42">
        <v>42394.664907407408</v>
      </c>
      <c r="D455" t="s">
        <v>58</v>
      </c>
      <c r="E455" t="s">
        <v>40</v>
      </c>
      <c r="F455" s="42">
        <v>42394.673611111109</v>
      </c>
      <c r="G455" t="s">
        <v>58</v>
      </c>
      <c r="H455">
        <v>0.224</v>
      </c>
      <c r="I455" t="s">
        <v>610</v>
      </c>
    </row>
    <row r="456" spans="2:9">
      <c r="B456" t="s">
        <v>27</v>
      </c>
      <c r="C456" s="42">
        <v>42395.303587962961</v>
      </c>
      <c r="D456" t="s">
        <v>58</v>
      </c>
      <c r="E456" t="s">
        <v>97</v>
      </c>
      <c r="F456" s="42">
        <v>42395.319976851853</v>
      </c>
      <c r="G456" t="s">
        <v>611</v>
      </c>
      <c r="H456">
        <v>0.125</v>
      </c>
      <c r="I456" t="s">
        <v>243</v>
      </c>
    </row>
    <row r="457" spans="2:9">
      <c r="B457" t="s">
        <v>27</v>
      </c>
      <c r="C457" s="42">
        <v>42395.320833333331</v>
      </c>
      <c r="D457" t="s">
        <v>611</v>
      </c>
      <c r="E457" t="s">
        <v>97</v>
      </c>
      <c r="F457" s="42">
        <v>42395.323425925926</v>
      </c>
      <c r="G457" t="s">
        <v>611</v>
      </c>
      <c r="H457">
        <v>0</v>
      </c>
      <c r="I457" t="s">
        <v>612</v>
      </c>
    </row>
    <row r="458" spans="2:9">
      <c r="B458" t="s">
        <v>27</v>
      </c>
      <c r="C458" s="42">
        <v>42395.328703703701</v>
      </c>
      <c r="D458" t="s">
        <v>611</v>
      </c>
      <c r="E458" t="s">
        <v>97</v>
      </c>
      <c r="F458" s="42">
        <v>42395.783449074072</v>
      </c>
      <c r="G458" t="s">
        <v>58</v>
      </c>
      <c r="H458">
        <v>204.363</v>
      </c>
      <c r="I458" t="s">
        <v>613</v>
      </c>
    </row>
    <row r="459" spans="2:9">
      <c r="B459" t="s">
        <v>27</v>
      </c>
      <c r="C459" s="42">
        <v>42396.300474537034</v>
      </c>
      <c r="D459" t="s">
        <v>58</v>
      </c>
      <c r="E459" t="s">
        <v>98</v>
      </c>
      <c r="F459" s="42">
        <v>42396.304826388892</v>
      </c>
      <c r="G459" t="s">
        <v>58</v>
      </c>
      <c r="H459">
        <v>0.03</v>
      </c>
      <c r="I459" t="s">
        <v>614</v>
      </c>
    </row>
    <row r="460" spans="2:9">
      <c r="B460" t="s">
        <v>27</v>
      </c>
      <c r="C460" s="42">
        <v>42396.307106481479</v>
      </c>
      <c r="D460" t="s">
        <v>58</v>
      </c>
      <c r="E460" t="s">
        <v>98</v>
      </c>
      <c r="F460" s="42">
        <v>42396.311099537037</v>
      </c>
      <c r="G460" t="s">
        <v>58</v>
      </c>
      <c r="H460">
        <v>0.14599999999999999</v>
      </c>
      <c r="I460" t="s">
        <v>615</v>
      </c>
    </row>
    <row r="461" spans="2:9">
      <c r="B461" t="s">
        <v>27</v>
      </c>
      <c r="C461" s="42">
        <v>42396.315682870372</v>
      </c>
      <c r="D461" t="s">
        <v>58</v>
      </c>
      <c r="E461" t="s">
        <v>98</v>
      </c>
      <c r="F461" s="42">
        <v>42396.319444444445</v>
      </c>
      <c r="G461" t="s">
        <v>58</v>
      </c>
      <c r="H461">
        <v>0.151</v>
      </c>
      <c r="I461" t="s">
        <v>616</v>
      </c>
    </row>
    <row r="462" spans="2:9">
      <c r="B462" t="s">
        <v>27</v>
      </c>
      <c r="C462" s="42">
        <v>42396.319780092592</v>
      </c>
      <c r="D462" t="s">
        <v>58</v>
      </c>
      <c r="E462" t="s">
        <v>98</v>
      </c>
      <c r="F462" s="42">
        <v>42396.368993055556</v>
      </c>
      <c r="G462" t="s">
        <v>618</v>
      </c>
      <c r="H462">
        <v>11.782</v>
      </c>
      <c r="I462" t="s">
        <v>617</v>
      </c>
    </row>
    <row r="463" spans="2:9">
      <c r="B463" t="s">
        <v>27</v>
      </c>
      <c r="C463" s="42">
        <v>42396.378240740742</v>
      </c>
      <c r="D463" t="s">
        <v>618</v>
      </c>
      <c r="E463" t="s">
        <v>98</v>
      </c>
      <c r="F463" s="42">
        <v>42396.410752314812</v>
      </c>
      <c r="G463" t="s">
        <v>620</v>
      </c>
      <c r="H463">
        <v>0.75800000000000001</v>
      </c>
      <c r="I463" t="s">
        <v>619</v>
      </c>
    </row>
    <row r="464" spans="2:9">
      <c r="B464" t="s">
        <v>27</v>
      </c>
      <c r="C464" s="42">
        <v>42396.464525462965</v>
      </c>
      <c r="D464" t="s">
        <v>620</v>
      </c>
      <c r="E464" t="s">
        <v>98</v>
      </c>
      <c r="F464" s="42">
        <v>42396.499374999999</v>
      </c>
      <c r="G464" t="s">
        <v>622</v>
      </c>
      <c r="H464">
        <v>1.837</v>
      </c>
      <c r="I464" t="s">
        <v>621</v>
      </c>
    </row>
    <row r="465" spans="2:10">
      <c r="B465" t="s">
        <v>27</v>
      </c>
      <c r="C465" s="42">
        <v>42396.580648148149</v>
      </c>
      <c r="D465" t="s">
        <v>622</v>
      </c>
      <c r="E465" t="s">
        <v>98</v>
      </c>
      <c r="F465" s="42">
        <v>42396.585081018522</v>
      </c>
      <c r="G465" t="s">
        <v>622</v>
      </c>
      <c r="H465">
        <v>0</v>
      </c>
      <c r="I465" t="s">
        <v>195</v>
      </c>
    </row>
    <row r="466" spans="2:10">
      <c r="B466" t="s">
        <v>27</v>
      </c>
      <c r="C466" s="42">
        <v>42396.595173611109</v>
      </c>
      <c r="D466" t="s">
        <v>622</v>
      </c>
      <c r="E466" t="s">
        <v>98</v>
      </c>
      <c r="F466" s="42">
        <v>42396.623692129629</v>
      </c>
      <c r="G466" t="s">
        <v>624</v>
      </c>
      <c r="H466">
        <v>3.649</v>
      </c>
      <c r="I466" t="s">
        <v>623</v>
      </c>
    </row>
    <row r="467" spans="2:10">
      <c r="B467" t="s">
        <v>27</v>
      </c>
      <c r="C467" s="42">
        <v>42396.66505787037</v>
      </c>
      <c r="D467" t="s">
        <v>624</v>
      </c>
      <c r="E467" t="s">
        <v>98</v>
      </c>
      <c r="F467" s="42">
        <v>42396.708148148151</v>
      </c>
      <c r="G467" t="s">
        <v>58</v>
      </c>
      <c r="H467">
        <v>12.89</v>
      </c>
      <c r="I467" t="s">
        <v>625</v>
      </c>
    </row>
    <row r="468" spans="2:10">
      <c r="B468" t="s">
        <v>27</v>
      </c>
      <c r="C468" s="42">
        <v>42397.349872685183</v>
      </c>
      <c r="D468" t="s">
        <v>58</v>
      </c>
      <c r="E468" t="s">
        <v>99</v>
      </c>
      <c r="F468" s="42">
        <v>42397.352858796294</v>
      </c>
      <c r="G468" t="s">
        <v>58</v>
      </c>
      <c r="H468">
        <v>0.153</v>
      </c>
      <c r="I468" t="s">
        <v>626</v>
      </c>
    </row>
    <row r="469" spans="2:10">
      <c r="B469" t="s">
        <v>27</v>
      </c>
      <c r="C469" s="42">
        <v>42397.358078703706</v>
      </c>
      <c r="D469" t="s">
        <v>58</v>
      </c>
      <c r="E469" t="s">
        <v>99</v>
      </c>
      <c r="F469" s="42">
        <v>42397.377557870372</v>
      </c>
      <c r="G469" t="s">
        <v>58</v>
      </c>
      <c r="H469">
        <v>0.40500000000000003</v>
      </c>
      <c r="I469" t="s">
        <v>627</v>
      </c>
    </row>
    <row r="470" spans="2:10">
      <c r="B470" t="s">
        <v>27</v>
      </c>
      <c r="C470" s="42">
        <v>42397.389456018522</v>
      </c>
      <c r="D470" t="s">
        <v>58</v>
      </c>
      <c r="E470" t="s">
        <v>99</v>
      </c>
      <c r="F470" s="42">
        <v>42397.392835648148</v>
      </c>
      <c r="G470" t="s">
        <v>58</v>
      </c>
      <c r="H470">
        <v>0.29199999999999998</v>
      </c>
      <c r="I470" t="s">
        <v>628</v>
      </c>
    </row>
    <row r="471" spans="2:10">
      <c r="B471" t="s">
        <v>27</v>
      </c>
      <c r="C471" s="42">
        <v>42397.411087962966</v>
      </c>
      <c r="D471" t="s">
        <v>58</v>
      </c>
      <c r="E471" t="s">
        <v>99</v>
      </c>
      <c r="F471" s="42">
        <v>42397.516134259262</v>
      </c>
      <c r="G471" t="s">
        <v>205</v>
      </c>
      <c r="H471">
        <v>69.751999999999995</v>
      </c>
      <c r="I471" t="s">
        <v>629</v>
      </c>
    </row>
    <row r="472" spans="2:10">
      <c r="B472" t="s">
        <v>27</v>
      </c>
      <c r="C472" s="42">
        <v>42397.527060185188</v>
      </c>
      <c r="D472" t="s">
        <v>205</v>
      </c>
      <c r="E472" t="s">
        <v>99</v>
      </c>
      <c r="F472" s="42">
        <v>42397.564988425926</v>
      </c>
      <c r="G472" t="s">
        <v>631</v>
      </c>
      <c r="H472">
        <v>44.996000000000002</v>
      </c>
      <c r="I472" t="s">
        <v>630</v>
      </c>
    </row>
    <row r="473" spans="2:10">
      <c r="B473" t="s">
        <v>27</v>
      </c>
      <c r="C473" s="42">
        <v>42397.600474537037</v>
      </c>
      <c r="D473" t="s">
        <v>631</v>
      </c>
      <c r="E473" t="s">
        <v>99</v>
      </c>
      <c r="F473" s="42">
        <v>42397.640497685185</v>
      </c>
      <c r="H473">
        <v>37.819000000000003</v>
      </c>
      <c r="I473" t="s">
        <v>632</v>
      </c>
      <c r="J473" t="s">
        <v>59</v>
      </c>
    </row>
    <row r="474" spans="2:10">
      <c r="B474" t="s">
        <v>27</v>
      </c>
      <c r="C474" s="42">
        <v>42397.645289351851</v>
      </c>
      <c r="D474" t="s">
        <v>59</v>
      </c>
      <c r="E474" t="s">
        <v>99</v>
      </c>
      <c r="F474" s="42">
        <v>42397.668935185182</v>
      </c>
      <c r="H474">
        <v>16.718</v>
      </c>
      <c r="I474" t="s">
        <v>633</v>
      </c>
      <c r="J474" t="s">
        <v>154</v>
      </c>
    </row>
    <row r="475" spans="2:10">
      <c r="B475" t="s">
        <v>27</v>
      </c>
      <c r="C475" s="42">
        <v>42397.670277777775</v>
      </c>
      <c r="D475" t="s">
        <v>154</v>
      </c>
      <c r="E475" t="s">
        <v>99</v>
      </c>
      <c r="F475" s="42">
        <v>42397.688692129632</v>
      </c>
      <c r="G475" t="s">
        <v>154</v>
      </c>
      <c r="H475">
        <v>17.768999999999998</v>
      </c>
      <c r="I475" t="s">
        <v>634</v>
      </c>
    </row>
    <row r="476" spans="2:10">
      <c r="B476" t="s">
        <v>27</v>
      </c>
      <c r="C476" s="42">
        <v>42398.202094907407</v>
      </c>
      <c r="D476" t="s">
        <v>154</v>
      </c>
      <c r="E476" t="s">
        <v>106</v>
      </c>
      <c r="F476" s="42">
        <v>42398.30091435185</v>
      </c>
      <c r="G476" t="s">
        <v>152</v>
      </c>
      <c r="H476">
        <v>54.758000000000003</v>
      </c>
      <c r="I476" t="s">
        <v>635</v>
      </c>
    </row>
    <row r="477" spans="2:10">
      <c r="B477" t="s">
        <v>27</v>
      </c>
      <c r="C477" s="42">
        <v>42398.342719907407</v>
      </c>
      <c r="D477" t="s">
        <v>152</v>
      </c>
      <c r="E477" t="s">
        <v>106</v>
      </c>
      <c r="F477" s="42">
        <v>42398.397418981483</v>
      </c>
      <c r="G477" t="s">
        <v>154</v>
      </c>
      <c r="H477">
        <v>54.32</v>
      </c>
      <c r="I477" t="s">
        <v>636</v>
      </c>
    </row>
    <row r="478" spans="2:10">
      <c r="B478" t="s">
        <v>27</v>
      </c>
      <c r="C478" s="42">
        <v>42398.403993055559</v>
      </c>
      <c r="D478" t="s">
        <v>154</v>
      </c>
      <c r="E478" t="s">
        <v>106</v>
      </c>
      <c r="F478" s="42">
        <v>42398.433900462966</v>
      </c>
      <c r="G478" t="s">
        <v>59</v>
      </c>
      <c r="H478">
        <v>34.575000000000003</v>
      </c>
      <c r="I478" t="s">
        <v>637</v>
      </c>
    </row>
    <row r="479" spans="2:10">
      <c r="B479" t="s">
        <v>27</v>
      </c>
      <c r="C479" s="42">
        <v>42398.436585648145</v>
      </c>
      <c r="D479" t="s">
        <v>59</v>
      </c>
      <c r="E479" t="s">
        <v>106</v>
      </c>
      <c r="F479" s="42">
        <v>42398.467233796298</v>
      </c>
      <c r="H479">
        <v>37.987000000000002</v>
      </c>
      <c r="I479" t="s">
        <v>638</v>
      </c>
      <c r="J479" t="s">
        <v>631</v>
      </c>
    </row>
    <row r="480" spans="2:10">
      <c r="B480" t="s">
        <v>27</v>
      </c>
      <c r="C480" s="42">
        <v>42398.49591435185</v>
      </c>
      <c r="D480" t="s">
        <v>631</v>
      </c>
      <c r="E480" t="s">
        <v>106</v>
      </c>
      <c r="F480" s="42">
        <v>42398.62462962963</v>
      </c>
      <c r="H480">
        <v>119.10899999999999</v>
      </c>
      <c r="I480" t="s">
        <v>639</v>
      </c>
      <c r="J480" t="s">
        <v>58</v>
      </c>
    </row>
    <row r="481" spans="2:9">
      <c r="B481" t="s">
        <v>27</v>
      </c>
      <c r="C481" s="42">
        <v>42398.631458333337</v>
      </c>
      <c r="D481" t="s">
        <v>58</v>
      </c>
      <c r="E481" t="s">
        <v>106</v>
      </c>
      <c r="F481" s="42">
        <v>42398.636874999997</v>
      </c>
      <c r="G481" t="s">
        <v>58</v>
      </c>
      <c r="H481">
        <v>0.313</v>
      </c>
      <c r="I481" t="s">
        <v>122</v>
      </c>
    </row>
    <row r="482" spans="2:9">
      <c r="B482" t="s">
        <v>28</v>
      </c>
      <c r="C482" s="42">
        <v>42394.291122685187</v>
      </c>
      <c r="D482" t="s">
        <v>42</v>
      </c>
      <c r="E482" t="s">
        <v>40</v>
      </c>
      <c r="F482" s="42">
        <v>42394.294849537036</v>
      </c>
      <c r="G482" t="s">
        <v>42</v>
      </c>
      <c r="H482">
        <v>1E-3</v>
      </c>
      <c r="I482" t="s">
        <v>608</v>
      </c>
    </row>
    <row r="483" spans="2:9">
      <c r="B483" t="s">
        <v>28</v>
      </c>
      <c r="C483" s="42">
        <v>42394.38417824074</v>
      </c>
      <c r="D483" t="s">
        <v>42</v>
      </c>
      <c r="E483" t="s">
        <v>40</v>
      </c>
      <c r="F483" s="42">
        <v>42394.655636574076</v>
      </c>
      <c r="G483" t="s">
        <v>42</v>
      </c>
      <c r="H483">
        <v>92.197999999999993</v>
      </c>
      <c r="I483" t="s">
        <v>640</v>
      </c>
    </row>
    <row r="484" spans="2:9">
      <c r="B484" t="s">
        <v>28</v>
      </c>
      <c r="C484" s="42">
        <v>42394.660092592596</v>
      </c>
      <c r="D484" t="s">
        <v>42</v>
      </c>
      <c r="E484" t="s">
        <v>40</v>
      </c>
      <c r="F484" s="42">
        <v>42394.677881944444</v>
      </c>
      <c r="G484" t="s">
        <v>62</v>
      </c>
      <c r="H484">
        <v>5.1849999999999996</v>
      </c>
      <c r="I484" t="s">
        <v>641</v>
      </c>
    </row>
    <row r="485" spans="2:9">
      <c r="B485" t="s">
        <v>28</v>
      </c>
      <c r="C485" s="42">
        <v>42394.683182870373</v>
      </c>
      <c r="D485" t="s">
        <v>62</v>
      </c>
      <c r="E485" t="s">
        <v>40</v>
      </c>
      <c r="F485" s="42">
        <v>42394.746770833335</v>
      </c>
      <c r="G485" t="s">
        <v>42</v>
      </c>
      <c r="H485">
        <v>39.866</v>
      </c>
      <c r="I485" t="s">
        <v>642</v>
      </c>
    </row>
    <row r="486" spans="2:9">
      <c r="B486" t="s">
        <v>28</v>
      </c>
      <c r="C486" s="42">
        <v>42395.284814814811</v>
      </c>
      <c r="D486" t="s">
        <v>42</v>
      </c>
      <c r="E486" t="s">
        <v>97</v>
      </c>
      <c r="F486" s="42">
        <v>42395.300439814811</v>
      </c>
      <c r="G486" t="s">
        <v>42</v>
      </c>
      <c r="H486">
        <v>0.504</v>
      </c>
      <c r="I486" t="s">
        <v>643</v>
      </c>
    </row>
    <row r="487" spans="2:9">
      <c r="B487" t="s">
        <v>28</v>
      </c>
      <c r="C487" s="42">
        <v>42395.307372685187</v>
      </c>
      <c r="D487" t="s">
        <v>42</v>
      </c>
      <c r="E487" t="s">
        <v>97</v>
      </c>
      <c r="F487" s="42">
        <v>42395.531817129631</v>
      </c>
      <c r="G487" t="s">
        <v>42</v>
      </c>
      <c r="H487">
        <v>90.507999999999996</v>
      </c>
      <c r="I487" t="s">
        <v>644</v>
      </c>
    </row>
    <row r="488" spans="2:9">
      <c r="B488" t="s">
        <v>28</v>
      </c>
      <c r="C488" s="42">
        <v>42395.539143518516</v>
      </c>
      <c r="D488" t="s">
        <v>42</v>
      </c>
      <c r="E488" t="s">
        <v>97</v>
      </c>
      <c r="F488" s="42">
        <v>42395.643726851849</v>
      </c>
      <c r="G488" t="s">
        <v>42</v>
      </c>
      <c r="H488">
        <v>46.744</v>
      </c>
      <c r="I488" t="s">
        <v>645</v>
      </c>
    </row>
    <row r="489" spans="2:9">
      <c r="B489" t="s">
        <v>28</v>
      </c>
      <c r="C489" s="42">
        <v>42395.647824074076</v>
      </c>
      <c r="D489" t="s">
        <v>42</v>
      </c>
      <c r="E489" t="s">
        <v>97</v>
      </c>
      <c r="F489" s="42">
        <v>42395.732847222222</v>
      </c>
      <c r="G489" t="s">
        <v>62</v>
      </c>
      <c r="H489">
        <v>41.408000000000001</v>
      </c>
      <c r="I489" t="s">
        <v>646</v>
      </c>
    </row>
    <row r="490" spans="2:9">
      <c r="B490" t="s">
        <v>28</v>
      </c>
      <c r="C490" s="42">
        <v>42395.737962962965</v>
      </c>
      <c r="D490" t="s">
        <v>62</v>
      </c>
      <c r="E490" t="s">
        <v>97</v>
      </c>
      <c r="F490" s="42">
        <v>42395.746655092589</v>
      </c>
      <c r="G490" t="s">
        <v>42</v>
      </c>
      <c r="H490">
        <v>5.3120000000000003</v>
      </c>
      <c r="I490" t="s">
        <v>647</v>
      </c>
    </row>
    <row r="491" spans="2:9">
      <c r="B491" t="s">
        <v>28</v>
      </c>
      <c r="C491" s="42">
        <v>42396.283182870371</v>
      </c>
      <c r="D491" t="s">
        <v>42</v>
      </c>
      <c r="E491" t="s">
        <v>98</v>
      </c>
      <c r="F491" s="42">
        <v>42396.507581018515</v>
      </c>
      <c r="G491" t="s">
        <v>42</v>
      </c>
      <c r="H491">
        <v>90.358999999999995</v>
      </c>
      <c r="I491" t="s">
        <v>648</v>
      </c>
    </row>
    <row r="492" spans="2:9">
      <c r="B492" t="s">
        <v>28</v>
      </c>
      <c r="C492" s="42">
        <v>42396.532893518517</v>
      </c>
      <c r="D492" t="s">
        <v>42</v>
      </c>
      <c r="E492" t="s">
        <v>98</v>
      </c>
      <c r="F492" s="42">
        <v>42396.66715277778</v>
      </c>
      <c r="G492" t="s">
        <v>42</v>
      </c>
      <c r="H492">
        <v>47.686999999999998</v>
      </c>
      <c r="I492" t="s">
        <v>649</v>
      </c>
    </row>
    <row r="493" spans="2:9">
      <c r="B493" t="s">
        <v>28</v>
      </c>
      <c r="C493" s="42">
        <v>42396.671805555554</v>
      </c>
      <c r="D493" t="s">
        <v>42</v>
      </c>
      <c r="E493" t="s">
        <v>98</v>
      </c>
      <c r="F493" s="42">
        <v>42396.689155092594</v>
      </c>
      <c r="G493" t="s">
        <v>42</v>
      </c>
      <c r="H493">
        <v>0.69199999999999995</v>
      </c>
      <c r="I493" t="s">
        <v>650</v>
      </c>
    </row>
    <row r="494" spans="2:9">
      <c r="B494" t="s">
        <v>28</v>
      </c>
      <c r="C494" s="42">
        <v>42396.72797453704</v>
      </c>
      <c r="D494" t="s">
        <v>42</v>
      </c>
      <c r="E494" t="s">
        <v>98</v>
      </c>
      <c r="F494" s="42">
        <v>42396.729409722226</v>
      </c>
      <c r="G494" t="s">
        <v>42</v>
      </c>
      <c r="H494">
        <v>0.249</v>
      </c>
      <c r="I494" t="s">
        <v>651</v>
      </c>
    </row>
    <row r="495" spans="2:9">
      <c r="B495" t="s">
        <v>28</v>
      </c>
      <c r="C495" s="42">
        <v>42397.284456018519</v>
      </c>
      <c r="D495" t="s">
        <v>42</v>
      </c>
      <c r="E495" t="s">
        <v>99</v>
      </c>
      <c r="F495" s="42">
        <v>42397.583460648151</v>
      </c>
      <c r="G495" t="s">
        <v>42</v>
      </c>
      <c r="H495">
        <v>135.21899999999999</v>
      </c>
      <c r="I495" t="s">
        <v>652</v>
      </c>
    </row>
    <row r="496" spans="2:9">
      <c r="B496" t="s">
        <v>28</v>
      </c>
      <c r="C496" s="42">
        <v>42397.587210648147</v>
      </c>
      <c r="D496" t="s">
        <v>42</v>
      </c>
      <c r="E496" t="s">
        <v>99</v>
      </c>
      <c r="F496" s="42">
        <v>42397.679988425924</v>
      </c>
      <c r="G496" t="s">
        <v>62</v>
      </c>
      <c r="H496">
        <v>40.203000000000003</v>
      </c>
      <c r="I496" t="s">
        <v>653</v>
      </c>
    </row>
    <row r="497" spans="2:11">
      <c r="B497" t="s">
        <v>28</v>
      </c>
      <c r="C497" s="42">
        <v>42397.686655092592</v>
      </c>
      <c r="D497" t="s">
        <v>62</v>
      </c>
      <c r="E497" t="s">
        <v>99</v>
      </c>
      <c r="F497" s="42">
        <v>42397.727013888885</v>
      </c>
      <c r="G497" t="s">
        <v>42</v>
      </c>
      <c r="H497">
        <v>7.2830000000000004</v>
      </c>
      <c r="I497" t="s">
        <v>654</v>
      </c>
    </row>
    <row r="498" spans="2:11">
      <c r="B498" t="s">
        <v>28</v>
      </c>
      <c r="C498" s="42">
        <v>42398.287719907406</v>
      </c>
      <c r="D498" t="s">
        <v>42</v>
      </c>
      <c r="E498" t="s">
        <v>106</v>
      </c>
      <c r="F498" s="42">
        <v>42398.581921296296</v>
      </c>
      <c r="G498" t="s">
        <v>61</v>
      </c>
      <c r="H498">
        <v>118.676</v>
      </c>
      <c r="I498" t="s">
        <v>655</v>
      </c>
    </row>
    <row r="499" spans="2:11">
      <c r="B499" t="s">
        <v>28</v>
      </c>
      <c r="C499" s="42">
        <v>42398.596458333333</v>
      </c>
      <c r="D499" t="s">
        <v>61</v>
      </c>
      <c r="E499" t="s">
        <v>106</v>
      </c>
      <c r="F499" s="42">
        <v>42398.651909722219</v>
      </c>
      <c r="G499" t="s">
        <v>42</v>
      </c>
      <c r="H499">
        <v>27.286000000000001</v>
      </c>
      <c r="I499" t="s">
        <v>656</v>
      </c>
    </row>
    <row r="500" spans="2:11">
      <c r="B500" t="s">
        <v>28</v>
      </c>
      <c r="C500" s="42">
        <v>42398.656064814815</v>
      </c>
      <c r="D500" t="s">
        <v>42</v>
      </c>
      <c r="E500" t="s">
        <v>106</v>
      </c>
      <c r="F500" s="42">
        <v>42398.71230324074</v>
      </c>
      <c r="G500" t="s">
        <v>197</v>
      </c>
      <c r="H500">
        <v>22.59</v>
      </c>
      <c r="I500" t="s">
        <v>657</v>
      </c>
    </row>
    <row r="501" spans="2:11">
      <c r="B501" t="s">
        <v>29</v>
      </c>
      <c r="C501" s="42">
        <v>42394.251145833332</v>
      </c>
      <c r="D501" t="s">
        <v>56</v>
      </c>
      <c r="E501" t="s">
        <v>40</v>
      </c>
      <c r="F501" s="42">
        <v>42394.289340277777</v>
      </c>
      <c r="G501" t="s">
        <v>55</v>
      </c>
      <c r="H501">
        <v>34.268999999999998</v>
      </c>
      <c r="I501" t="s">
        <v>658</v>
      </c>
    </row>
    <row r="502" spans="2:11">
      <c r="B502" t="s">
        <v>29</v>
      </c>
      <c r="C502" s="42">
        <v>42394.294409722221</v>
      </c>
      <c r="D502" t="s">
        <v>55</v>
      </c>
      <c r="E502" t="s">
        <v>40</v>
      </c>
      <c r="F502" s="42">
        <v>42394.561574074076</v>
      </c>
      <c r="G502" t="s">
        <v>42</v>
      </c>
      <c r="H502">
        <v>224.44</v>
      </c>
      <c r="I502" t="s">
        <v>659</v>
      </c>
    </row>
    <row r="503" spans="2:11">
      <c r="B503" t="s">
        <v>29</v>
      </c>
      <c r="C503" s="42">
        <v>42394.582835648151</v>
      </c>
      <c r="D503" t="s">
        <v>42</v>
      </c>
      <c r="E503" t="s">
        <v>40</v>
      </c>
      <c r="F503" s="42">
        <v>42394.589837962965</v>
      </c>
      <c r="G503" t="s">
        <v>42</v>
      </c>
      <c r="H503">
        <v>0.89500000000000002</v>
      </c>
      <c r="I503" t="s">
        <v>387</v>
      </c>
    </row>
    <row r="504" spans="2:11">
      <c r="B504" t="s">
        <v>29</v>
      </c>
      <c r="C504" s="42">
        <v>42394.602083333331</v>
      </c>
      <c r="D504" t="s">
        <v>42</v>
      </c>
      <c r="E504" t="s">
        <v>40</v>
      </c>
      <c r="F504" s="42">
        <v>42394.604004629633</v>
      </c>
      <c r="G504" t="s">
        <v>42</v>
      </c>
      <c r="H504">
        <v>0.38300000000000001</v>
      </c>
      <c r="I504" t="s">
        <v>196</v>
      </c>
    </row>
    <row r="505" spans="2:11">
      <c r="B505" t="s">
        <v>29</v>
      </c>
      <c r="C505" s="42">
        <v>42394.637835648151</v>
      </c>
      <c r="D505" t="s">
        <v>42</v>
      </c>
      <c r="E505" t="s">
        <v>40</v>
      </c>
      <c r="F505" s="42">
        <v>42394.776550925926</v>
      </c>
      <c r="G505" t="s">
        <v>48</v>
      </c>
      <c r="H505">
        <v>13.861000000000001</v>
      </c>
      <c r="I505" t="s">
        <v>660</v>
      </c>
    </row>
    <row r="506" spans="2:11">
      <c r="B506" t="s">
        <v>29</v>
      </c>
      <c r="C506" s="42">
        <v>42395.169768518521</v>
      </c>
      <c r="D506" t="s">
        <v>662</v>
      </c>
      <c r="E506" t="s">
        <v>97</v>
      </c>
      <c r="F506" s="42">
        <v>42395.316736111112</v>
      </c>
      <c r="G506" t="s">
        <v>59</v>
      </c>
      <c r="H506">
        <v>102.015</v>
      </c>
      <c r="I506" t="s">
        <v>661</v>
      </c>
    </row>
    <row r="507" spans="2:11">
      <c r="B507" t="s">
        <v>29</v>
      </c>
      <c r="C507" s="42">
        <v>42395.331608796296</v>
      </c>
      <c r="D507" t="s">
        <v>59</v>
      </c>
      <c r="E507" t="s">
        <v>97</v>
      </c>
      <c r="F507" s="42">
        <v>42395.333067129628</v>
      </c>
      <c r="H507">
        <v>5.1999999999999998E-2</v>
      </c>
      <c r="I507" t="s">
        <v>118</v>
      </c>
      <c r="J507" t="s">
        <v>59</v>
      </c>
    </row>
    <row r="508" spans="2:11">
      <c r="B508" t="s">
        <v>29</v>
      </c>
      <c r="C508" s="42">
        <v>42395.376076388886</v>
      </c>
      <c r="D508" t="s">
        <v>59</v>
      </c>
      <c r="E508" t="s">
        <v>97</v>
      </c>
      <c r="F508" s="42">
        <v>42395.51730324074</v>
      </c>
      <c r="H508">
        <v>83.99</v>
      </c>
      <c r="I508" t="s">
        <v>663</v>
      </c>
      <c r="J508" t="s">
        <v>182</v>
      </c>
      <c r="K508" t="s">
        <v>183</v>
      </c>
    </row>
    <row r="509" spans="2:11">
      <c r="B509" t="s">
        <v>29</v>
      </c>
      <c r="C509" s="42">
        <v>42395.52548611111</v>
      </c>
      <c r="D509" t="s">
        <v>182</v>
      </c>
      <c r="E509" t="s">
        <v>97</v>
      </c>
      <c r="F509" s="42">
        <v>42395.530486111114</v>
      </c>
      <c r="G509" t="s">
        <v>183</v>
      </c>
      <c r="H509">
        <v>0.871</v>
      </c>
      <c r="I509" t="s">
        <v>664</v>
      </c>
      <c r="J509" t="s">
        <v>216</v>
      </c>
      <c r="K509" t="s">
        <v>183</v>
      </c>
    </row>
    <row r="510" spans="2:11">
      <c r="B510" t="s">
        <v>29</v>
      </c>
      <c r="C510" s="42">
        <v>42395.629837962966</v>
      </c>
      <c r="D510" t="s">
        <v>216</v>
      </c>
      <c r="E510" t="s">
        <v>97</v>
      </c>
      <c r="F510" s="42">
        <v>42395.646689814814</v>
      </c>
      <c r="G510" t="s">
        <v>183</v>
      </c>
      <c r="H510">
        <v>2.3E-2</v>
      </c>
      <c r="I510" t="s">
        <v>665</v>
      </c>
      <c r="J510" t="s">
        <v>216</v>
      </c>
      <c r="K510" t="s">
        <v>183</v>
      </c>
    </row>
    <row r="511" spans="2:11">
      <c r="B511" t="s">
        <v>29</v>
      </c>
      <c r="C511" s="42">
        <v>42395.654097222221</v>
      </c>
      <c r="D511" t="s">
        <v>216</v>
      </c>
      <c r="E511" t="s">
        <v>97</v>
      </c>
      <c r="F511" s="42">
        <v>42395.799432870372</v>
      </c>
      <c r="G511" t="s">
        <v>183</v>
      </c>
      <c r="H511">
        <v>72.534000000000006</v>
      </c>
      <c r="I511" t="s">
        <v>666</v>
      </c>
      <c r="J511" t="s">
        <v>58</v>
      </c>
    </row>
    <row r="512" spans="2:11">
      <c r="B512" t="s">
        <v>29</v>
      </c>
      <c r="C512" s="42">
        <v>42396.31863425926</v>
      </c>
      <c r="D512" t="s">
        <v>58</v>
      </c>
      <c r="E512" t="s">
        <v>98</v>
      </c>
      <c r="F512" s="42">
        <v>42396.329861111109</v>
      </c>
      <c r="G512" t="s">
        <v>58</v>
      </c>
      <c r="H512">
        <v>9.5000000000000001E-2</v>
      </c>
      <c r="I512" t="s">
        <v>225</v>
      </c>
    </row>
    <row r="513" spans="2:9">
      <c r="B513" t="s">
        <v>29</v>
      </c>
      <c r="C513" s="42">
        <v>42396.331354166665</v>
      </c>
      <c r="D513" t="s">
        <v>58</v>
      </c>
      <c r="E513" t="s">
        <v>98</v>
      </c>
      <c r="F513" s="42">
        <v>42396.334641203706</v>
      </c>
      <c r="G513" t="s">
        <v>58</v>
      </c>
      <c r="H513">
        <v>3.0000000000000001E-3</v>
      </c>
      <c r="I513" t="s">
        <v>237</v>
      </c>
    </row>
    <row r="514" spans="2:9">
      <c r="B514" t="s">
        <v>29</v>
      </c>
      <c r="C514" s="42">
        <v>42396.352372685185</v>
      </c>
      <c r="D514" t="s">
        <v>58</v>
      </c>
      <c r="E514" t="s">
        <v>98</v>
      </c>
      <c r="F514" s="42">
        <v>42396.41673611111</v>
      </c>
      <c r="G514" t="s">
        <v>551</v>
      </c>
      <c r="H514">
        <v>22.129000000000001</v>
      </c>
      <c r="I514" t="s">
        <v>667</v>
      </c>
    </row>
    <row r="515" spans="2:9">
      <c r="B515" t="s">
        <v>29</v>
      </c>
      <c r="C515" s="42">
        <v>42396.455821759257</v>
      </c>
      <c r="D515" t="s">
        <v>551</v>
      </c>
      <c r="E515" t="s">
        <v>98</v>
      </c>
      <c r="F515" s="42">
        <v>42396.608078703706</v>
      </c>
      <c r="G515" t="s">
        <v>55</v>
      </c>
      <c r="H515">
        <v>104.342</v>
      </c>
      <c r="I515" t="s">
        <v>668</v>
      </c>
    </row>
    <row r="516" spans="2:9">
      <c r="B516" t="s">
        <v>29</v>
      </c>
      <c r="C516" s="42">
        <v>42396.613622685189</v>
      </c>
      <c r="D516" t="s">
        <v>55</v>
      </c>
      <c r="E516" t="s">
        <v>98</v>
      </c>
      <c r="F516" s="42">
        <v>42396.616354166668</v>
      </c>
      <c r="G516" t="s">
        <v>55</v>
      </c>
      <c r="H516">
        <v>1.4E-2</v>
      </c>
      <c r="I516" t="s">
        <v>669</v>
      </c>
    </row>
    <row r="517" spans="2:9">
      <c r="B517" t="s">
        <v>29</v>
      </c>
      <c r="C517" s="42">
        <v>42396.624548611115</v>
      </c>
      <c r="D517" t="s">
        <v>55</v>
      </c>
      <c r="E517" t="s">
        <v>98</v>
      </c>
      <c r="F517" s="42">
        <v>42396.684201388889</v>
      </c>
      <c r="G517" t="s">
        <v>56</v>
      </c>
      <c r="H517">
        <v>35.427999999999997</v>
      </c>
      <c r="I517" t="s">
        <v>670</v>
      </c>
    </row>
    <row r="518" spans="2:9">
      <c r="B518" t="s">
        <v>29</v>
      </c>
      <c r="C518" s="42">
        <v>42397.195127314815</v>
      </c>
      <c r="D518" t="s">
        <v>56</v>
      </c>
      <c r="E518" t="s">
        <v>99</v>
      </c>
      <c r="F518" s="42">
        <v>42397.206793981481</v>
      </c>
      <c r="G518" t="s">
        <v>138</v>
      </c>
      <c r="H518">
        <v>6.5880000000000001</v>
      </c>
      <c r="I518" t="s">
        <v>671</v>
      </c>
    </row>
    <row r="519" spans="2:9">
      <c r="B519" t="s">
        <v>29</v>
      </c>
      <c r="C519" s="42">
        <v>42397.211053240739</v>
      </c>
      <c r="D519" t="s">
        <v>138</v>
      </c>
      <c r="E519" t="s">
        <v>99</v>
      </c>
      <c r="F519" s="42">
        <v>42397.636111111111</v>
      </c>
      <c r="G519" t="s">
        <v>55</v>
      </c>
      <c r="H519">
        <v>305.29300000000001</v>
      </c>
      <c r="I519" t="s">
        <v>672</v>
      </c>
    </row>
    <row r="520" spans="2:9">
      <c r="B520" t="s">
        <v>29</v>
      </c>
      <c r="C520" s="42">
        <v>42397.642291666663</v>
      </c>
      <c r="D520" t="s">
        <v>55</v>
      </c>
      <c r="E520" t="s">
        <v>99</v>
      </c>
      <c r="F520" s="42">
        <v>42397.698900462965</v>
      </c>
      <c r="G520" t="s">
        <v>56</v>
      </c>
      <c r="H520">
        <v>35.564</v>
      </c>
      <c r="I520" t="s">
        <v>673</v>
      </c>
    </row>
    <row r="521" spans="2:9">
      <c r="B521" t="s">
        <v>29</v>
      </c>
      <c r="C521" s="42">
        <v>42398.200821759259</v>
      </c>
      <c r="D521" t="s">
        <v>56</v>
      </c>
      <c r="E521" t="s">
        <v>106</v>
      </c>
      <c r="F521" s="42">
        <v>42398.224421296298</v>
      </c>
      <c r="G521" t="s">
        <v>54</v>
      </c>
      <c r="H521">
        <v>8.0280000000000005</v>
      </c>
      <c r="I521" t="s">
        <v>674</v>
      </c>
    </row>
    <row r="522" spans="2:9">
      <c r="B522" t="s">
        <v>29</v>
      </c>
      <c r="C522" s="42">
        <v>42398.229502314818</v>
      </c>
      <c r="D522" t="s">
        <v>54</v>
      </c>
      <c r="E522" t="s">
        <v>106</v>
      </c>
      <c r="F522" s="42">
        <v>42398.264108796298</v>
      </c>
      <c r="G522" t="s">
        <v>55</v>
      </c>
      <c r="H522">
        <v>27.995999999999999</v>
      </c>
      <c r="I522" t="s">
        <v>675</v>
      </c>
    </row>
    <row r="523" spans="2:9">
      <c r="B523" t="s">
        <v>29</v>
      </c>
      <c r="C523" s="42">
        <v>42398.264317129629</v>
      </c>
      <c r="D523" t="s">
        <v>55</v>
      </c>
      <c r="E523" t="s">
        <v>106</v>
      </c>
      <c r="F523" s="42">
        <v>42398.264525462961</v>
      </c>
      <c r="G523" t="s">
        <v>55</v>
      </c>
      <c r="H523">
        <v>0</v>
      </c>
      <c r="I523" t="s">
        <v>124</v>
      </c>
    </row>
    <row r="524" spans="2:9">
      <c r="B524" t="s">
        <v>29</v>
      </c>
      <c r="C524" s="42">
        <v>42398.266724537039</v>
      </c>
      <c r="D524" t="s">
        <v>55</v>
      </c>
      <c r="E524" t="s">
        <v>106</v>
      </c>
      <c r="F524" s="42">
        <v>42398.270173611112</v>
      </c>
      <c r="G524" t="s">
        <v>55</v>
      </c>
      <c r="H524">
        <v>0.124</v>
      </c>
      <c r="I524" t="s">
        <v>676</v>
      </c>
    </row>
    <row r="525" spans="2:9">
      <c r="B525" t="s">
        <v>29</v>
      </c>
      <c r="C525" s="42">
        <v>42398.299039351848</v>
      </c>
      <c r="D525" t="s">
        <v>55</v>
      </c>
      <c r="E525" t="s">
        <v>106</v>
      </c>
      <c r="F525" s="42">
        <v>42398.299930555557</v>
      </c>
      <c r="G525" t="s">
        <v>55</v>
      </c>
      <c r="H525">
        <v>6.6000000000000003E-2</v>
      </c>
      <c r="I525" t="s">
        <v>127</v>
      </c>
    </row>
    <row r="526" spans="2:9">
      <c r="B526" t="s">
        <v>29</v>
      </c>
      <c r="C526" s="42">
        <v>42398.389120370368</v>
      </c>
      <c r="D526" t="s">
        <v>55</v>
      </c>
      <c r="E526" t="s">
        <v>106</v>
      </c>
      <c r="F526" s="42">
        <v>42398.392280092594</v>
      </c>
      <c r="G526" t="s">
        <v>55</v>
      </c>
      <c r="H526">
        <v>7.2999999999999995E-2</v>
      </c>
      <c r="I526" t="s">
        <v>116</v>
      </c>
    </row>
    <row r="527" spans="2:9">
      <c r="B527" t="s">
        <v>29</v>
      </c>
      <c r="C527" s="42">
        <v>42398.591516203705</v>
      </c>
      <c r="D527" t="s">
        <v>55</v>
      </c>
      <c r="E527" t="s">
        <v>106</v>
      </c>
      <c r="F527" s="42">
        <v>42398.594317129631</v>
      </c>
      <c r="G527" t="s">
        <v>55</v>
      </c>
      <c r="H527">
        <v>3.0000000000000001E-3</v>
      </c>
      <c r="I527" t="s">
        <v>677</v>
      </c>
    </row>
    <row r="528" spans="2:9">
      <c r="B528" t="s">
        <v>29</v>
      </c>
      <c r="C528" s="42">
        <v>42398.602037037039</v>
      </c>
      <c r="D528" t="s">
        <v>55</v>
      </c>
      <c r="E528" t="s">
        <v>106</v>
      </c>
      <c r="F528" s="42">
        <v>42398.697638888887</v>
      </c>
      <c r="G528" t="s">
        <v>56</v>
      </c>
      <c r="H528">
        <v>37.420999999999999</v>
      </c>
      <c r="I528" t="s">
        <v>678</v>
      </c>
    </row>
    <row r="529" spans="2:9">
      <c r="B529" t="s">
        <v>30</v>
      </c>
      <c r="C529" s="42">
        <v>42394.206562500003</v>
      </c>
      <c r="D529" t="s">
        <v>56</v>
      </c>
      <c r="E529" t="s">
        <v>40</v>
      </c>
      <c r="F529" s="42">
        <v>42394.246400462966</v>
      </c>
      <c r="G529" t="s">
        <v>55</v>
      </c>
      <c r="H529">
        <v>34.375999999999998</v>
      </c>
      <c r="I529" t="s">
        <v>679</v>
      </c>
    </row>
    <row r="530" spans="2:9">
      <c r="B530" t="s">
        <v>30</v>
      </c>
      <c r="C530" s="42">
        <v>42394.261018518519</v>
      </c>
      <c r="D530" t="s">
        <v>55</v>
      </c>
      <c r="E530" t="s">
        <v>40</v>
      </c>
      <c r="F530" s="42">
        <v>42394.26153935185</v>
      </c>
      <c r="G530" t="s">
        <v>55</v>
      </c>
      <c r="H530">
        <v>0</v>
      </c>
      <c r="I530" t="s">
        <v>47</v>
      </c>
    </row>
    <row r="531" spans="2:9">
      <c r="B531" t="s">
        <v>30</v>
      </c>
      <c r="C531" s="42">
        <v>42394.282939814817</v>
      </c>
      <c r="D531" t="s">
        <v>55</v>
      </c>
      <c r="E531" t="s">
        <v>40</v>
      </c>
      <c r="F531" s="42">
        <v>42394.306134259263</v>
      </c>
      <c r="G531" t="s">
        <v>55</v>
      </c>
      <c r="H531">
        <v>2.9169999999999998</v>
      </c>
      <c r="I531" t="s">
        <v>680</v>
      </c>
    </row>
    <row r="532" spans="2:9">
      <c r="B532" t="s">
        <v>30</v>
      </c>
      <c r="C532" s="42">
        <v>42394.311342592591</v>
      </c>
      <c r="D532" t="s">
        <v>55</v>
      </c>
      <c r="E532" t="s">
        <v>40</v>
      </c>
      <c r="F532" s="42">
        <v>42394.31753472222</v>
      </c>
      <c r="G532" t="s">
        <v>55</v>
      </c>
      <c r="H532">
        <v>0.64100000000000001</v>
      </c>
      <c r="I532" t="s">
        <v>681</v>
      </c>
    </row>
    <row r="533" spans="2:9">
      <c r="B533" t="s">
        <v>30</v>
      </c>
      <c r="C533" s="42">
        <v>42394.327627314815</v>
      </c>
      <c r="D533" t="s">
        <v>55</v>
      </c>
      <c r="E533" t="s">
        <v>40</v>
      </c>
      <c r="F533" s="42">
        <v>42394.487847222219</v>
      </c>
      <c r="G533" t="s">
        <v>163</v>
      </c>
      <c r="H533">
        <v>138.143</v>
      </c>
      <c r="I533" t="s">
        <v>682</v>
      </c>
    </row>
    <row r="534" spans="2:9">
      <c r="B534" t="s">
        <v>30</v>
      </c>
      <c r="C534" s="42">
        <v>42394.569918981484</v>
      </c>
      <c r="D534" t="s">
        <v>163</v>
      </c>
      <c r="E534" t="s">
        <v>40</v>
      </c>
      <c r="F534" s="42">
        <v>42394.599039351851</v>
      </c>
      <c r="G534" t="s">
        <v>684</v>
      </c>
      <c r="H534">
        <v>22.495000000000001</v>
      </c>
      <c r="I534" t="s">
        <v>683</v>
      </c>
    </row>
    <row r="535" spans="2:9">
      <c r="B535" t="s">
        <v>30</v>
      </c>
      <c r="C535" s="42">
        <v>42394.668900462966</v>
      </c>
      <c r="D535" t="s">
        <v>684</v>
      </c>
      <c r="E535" t="s">
        <v>40</v>
      </c>
      <c r="F535" s="42">
        <v>42394.787060185183</v>
      </c>
      <c r="H535">
        <v>120.408</v>
      </c>
      <c r="I535" t="s">
        <v>685</v>
      </c>
    </row>
    <row r="536" spans="2:9">
      <c r="B536" t="s">
        <v>30</v>
      </c>
      <c r="C536" s="42">
        <v>42394.794050925928</v>
      </c>
      <c r="D536" t="s">
        <v>155</v>
      </c>
      <c r="E536" t="s">
        <v>40</v>
      </c>
      <c r="F536" s="42">
        <v>42394.817557870374</v>
      </c>
      <c r="G536" t="s">
        <v>56</v>
      </c>
      <c r="H536">
        <v>20.164999999999999</v>
      </c>
      <c r="I536" t="s">
        <v>686</v>
      </c>
    </row>
    <row r="537" spans="2:9">
      <c r="B537" t="s">
        <v>30</v>
      </c>
      <c r="C537" s="42">
        <v>42395.191041666665</v>
      </c>
      <c r="D537" t="s">
        <v>56</v>
      </c>
      <c r="E537" t="s">
        <v>97</v>
      </c>
      <c r="F537" s="42">
        <v>42395.227465277778</v>
      </c>
      <c r="G537" t="s">
        <v>55</v>
      </c>
      <c r="H537">
        <v>34.33</v>
      </c>
      <c r="I537" t="s">
        <v>375</v>
      </c>
    </row>
    <row r="538" spans="2:9">
      <c r="B538" t="s">
        <v>30</v>
      </c>
      <c r="C538" s="42">
        <v>42395.242326388892</v>
      </c>
      <c r="D538" t="s">
        <v>55</v>
      </c>
      <c r="E538" t="s">
        <v>97</v>
      </c>
      <c r="F538" s="42">
        <v>42395.244189814817</v>
      </c>
      <c r="G538" t="s">
        <v>55</v>
      </c>
      <c r="H538">
        <v>4.0000000000000001E-3</v>
      </c>
      <c r="I538" t="s">
        <v>687</v>
      </c>
    </row>
    <row r="539" spans="2:9">
      <c r="B539" t="s">
        <v>30</v>
      </c>
      <c r="C539" s="42">
        <v>42395.259155092594</v>
      </c>
      <c r="D539" t="s">
        <v>55</v>
      </c>
      <c r="E539" t="s">
        <v>97</v>
      </c>
      <c r="F539" s="42">
        <v>42395.265601851854</v>
      </c>
      <c r="G539" t="s">
        <v>55</v>
      </c>
      <c r="H539">
        <v>0.42799999999999999</v>
      </c>
      <c r="I539" t="s">
        <v>194</v>
      </c>
    </row>
    <row r="540" spans="2:9">
      <c r="B540" t="s">
        <v>30</v>
      </c>
      <c r="C540" s="42">
        <v>42395.270949074074</v>
      </c>
      <c r="D540" t="s">
        <v>55</v>
      </c>
      <c r="E540" t="s">
        <v>97</v>
      </c>
      <c r="F540" s="42">
        <v>42395.276006944441</v>
      </c>
      <c r="G540" t="s">
        <v>55</v>
      </c>
      <c r="H540">
        <v>2.5999999999999999E-2</v>
      </c>
      <c r="I540" t="s">
        <v>688</v>
      </c>
    </row>
    <row r="541" spans="2:9">
      <c r="B541" t="s">
        <v>30</v>
      </c>
      <c r="C541" s="42">
        <v>42395.32912037037</v>
      </c>
      <c r="D541" t="s">
        <v>55</v>
      </c>
      <c r="E541" t="s">
        <v>97</v>
      </c>
      <c r="F541" s="42">
        <v>42395.338101851848</v>
      </c>
      <c r="G541" t="s">
        <v>55</v>
      </c>
      <c r="H541">
        <v>0.57299999999999995</v>
      </c>
      <c r="I541" t="s">
        <v>689</v>
      </c>
    </row>
    <row r="542" spans="2:9">
      <c r="B542" t="s">
        <v>30</v>
      </c>
      <c r="C542" s="42">
        <v>42395.348530092589</v>
      </c>
      <c r="D542" t="s">
        <v>55</v>
      </c>
      <c r="E542" t="s">
        <v>97</v>
      </c>
      <c r="F542" s="42">
        <v>42395.706284722219</v>
      </c>
      <c r="G542" t="s">
        <v>56</v>
      </c>
      <c r="H542">
        <v>242.364</v>
      </c>
      <c r="I542" t="s">
        <v>690</v>
      </c>
    </row>
    <row r="543" spans="2:9">
      <c r="B543" t="s">
        <v>30</v>
      </c>
      <c r="C543" s="42">
        <v>42396.197256944448</v>
      </c>
      <c r="D543" t="s">
        <v>56</v>
      </c>
      <c r="E543" t="s">
        <v>98</v>
      </c>
      <c r="F543" s="42">
        <v>42396.23164351852</v>
      </c>
      <c r="G543" t="s">
        <v>55</v>
      </c>
      <c r="H543">
        <v>34.304000000000002</v>
      </c>
      <c r="I543" t="s">
        <v>496</v>
      </c>
    </row>
    <row r="544" spans="2:9">
      <c r="B544" t="s">
        <v>30</v>
      </c>
      <c r="C544" s="42">
        <v>42396.252881944441</v>
      </c>
      <c r="D544" t="s">
        <v>55</v>
      </c>
      <c r="E544" t="s">
        <v>98</v>
      </c>
      <c r="F544" s="42">
        <v>42396.25409722222</v>
      </c>
      <c r="G544" t="s">
        <v>55</v>
      </c>
      <c r="H544">
        <v>2E-3</v>
      </c>
      <c r="I544" t="s">
        <v>433</v>
      </c>
    </row>
    <row r="545" spans="2:9">
      <c r="B545" t="s">
        <v>30</v>
      </c>
      <c r="C545" s="42">
        <v>42396.264224537037</v>
      </c>
      <c r="D545" t="s">
        <v>55</v>
      </c>
      <c r="E545" t="s">
        <v>98</v>
      </c>
      <c r="F545" s="42">
        <v>42396.468784722223</v>
      </c>
      <c r="G545" t="s">
        <v>611</v>
      </c>
      <c r="H545">
        <v>126.943</v>
      </c>
      <c r="I545" t="s">
        <v>691</v>
      </c>
    </row>
    <row r="546" spans="2:9">
      <c r="B546" t="s">
        <v>30</v>
      </c>
      <c r="C546" s="42">
        <v>42396.543379629627</v>
      </c>
      <c r="D546" t="s">
        <v>611</v>
      </c>
      <c r="E546" t="s">
        <v>98</v>
      </c>
      <c r="F546" s="42">
        <v>42396.729571759257</v>
      </c>
      <c r="G546" t="s">
        <v>58</v>
      </c>
      <c r="H546">
        <v>112.53</v>
      </c>
      <c r="I546" t="s">
        <v>692</v>
      </c>
    </row>
    <row r="547" spans="2:9">
      <c r="B547" t="s">
        <v>30</v>
      </c>
      <c r="C547" s="42">
        <v>42396.847731481481</v>
      </c>
      <c r="D547" t="s">
        <v>58</v>
      </c>
      <c r="E547" t="s">
        <v>98</v>
      </c>
      <c r="F547" s="42">
        <v>42396.880532407406</v>
      </c>
      <c r="G547" t="s">
        <v>624</v>
      </c>
      <c r="H547">
        <v>10.901</v>
      </c>
      <c r="I547" t="s">
        <v>693</v>
      </c>
    </row>
    <row r="548" spans="2:9">
      <c r="B548" t="s">
        <v>30</v>
      </c>
      <c r="C548" s="42">
        <v>42396.892083333332</v>
      </c>
      <c r="D548" t="s">
        <v>624</v>
      </c>
      <c r="E548" t="s">
        <v>98</v>
      </c>
      <c r="F548" s="42">
        <v>42396.893113425926</v>
      </c>
      <c r="G548" t="s">
        <v>624</v>
      </c>
      <c r="H548">
        <v>3.0000000000000001E-3</v>
      </c>
      <c r="I548" t="s">
        <v>419</v>
      </c>
    </row>
    <row r="549" spans="2:9">
      <c r="B549" t="s">
        <v>30</v>
      </c>
      <c r="C549" s="42">
        <v>42396.894363425927</v>
      </c>
      <c r="D549" t="s">
        <v>624</v>
      </c>
      <c r="E549" t="s">
        <v>98</v>
      </c>
      <c r="F549" s="42">
        <v>42396.895219907405</v>
      </c>
      <c r="G549" t="s">
        <v>624</v>
      </c>
      <c r="H549">
        <v>1E-3</v>
      </c>
      <c r="I549" t="s">
        <v>130</v>
      </c>
    </row>
    <row r="550" spans="2:9">
      <c r="B550" t="s">
        <v>30</v>
      </c>
      <c r="C550" s="42">
        <v>42396.90221064815</v>
      </c>
      <c r="D550" t="s">
        <v>624</v>
      </c>
      <c r="E550" t="s">
        <v>98</v>
      </c>
      <c r="F550" s="42">
        <v>42396.90457175926</v>
      </c>
      <c r="G550" t="s">
        <v>624</v>
      </c>
      <c r="H550">
        <v>3.0000000000000001E-3</v>
      </c>
      <c r="I550" t="s">
        <v>176</v>
      </c>
    </row>
    <row r="551" spans="2:9">
      <c r="B551" t="s">
        <v>30</v>
      </c>
      <c r="C551" s="42">
        <v>42396.905787037038</v>
      </c>
      <c r="D551" t="s">
        <v>624</v>
      </c>
      <c r="E551" t="s">
        <v>98</v>
      </c>
      <c r="F551" s="42">
        <v>42396.909780092596</v>
      </c>
      <c r="G551" t="s">
        <v>694</v>
      </c>
      <c r="H551">
        <v>2.8000000000000001E-2</v>
      </c>
      <c r="I551" t="s">
        <v>615</v>
      </c>
    </row>
    <row r="552" spans="2:9">
      <c r="B552" t="s">
        <v>30</v>
      </c>
      <c r="C552" s="42">
        <v>42396.910775462966</v>
      </c>
      <c r="D552" t="s">
        <v>694</v>
      </c>
      <c r="E552" t="s">
        <v>98</v>
      </c>
      <c r="F552" s="42">
        <v>42396.911979166667</v>
      </c>
      <c r="G552" t="s">
        <v>694</v>
      </c>
      <c r="H552">
        <v>3.0000000000000001E-3</v>
      </c>
      <c r="I552" t="s">
        <v>695</v>
      </c>
    </row>
    <row r="553" spans="2:9">
      <c r="B553" t="s">
        <v>30</v>
      </c>
      <c r="C553" s="42">
        <v>42396.912974537037</v>
      </c>
      <c r="D553" t="s">
        <v>694</v>
      </c>
      <c r="E553" t="s">
        <v>98</v>
      </c>
      <c r="F553" s="42">
        <v>42396.914166666669</v>
      </c>
      <c r="G553" t="s">
        <v>696</v>
      </c>
      <c r="H553">
        <v>5.5E-2</v>
      </c>
      <c r="I553" t="s">
        <v>494</v>
      </c>
    </row>
    <row r="554" spans="2:9">
      <c r="B554" t="s">
        <v>30</v>
      </c>
      <c r="C554" s="42">
        <v>42396.950231481482</v>
      </c>
      <c r="D554" t="s">
        <v>696</v>
      </c>
      <c r="E554" t="s">
        <v>98</v>
      </c>
      <c r="F554" s="42">
        <v>42396.953425925924</v>
      </c>
      <c r="G554" t="s">
        <v>696</v>
      </c>
      <c r="H554">
        <v>1.4E-2</v>
      </c>
      <c r="I554" t="s">
        <v>697</v>
      </c>
    </row>
    <row r="555" spans="2:9">
      <c r="B555" t="s">
        <v>30</v>
      </c>
      <c r="C555" s="42">
        <v>42396.953888888886</v>
      </c>
      <c r="D555" t="s">
        <v>696</v>
      </c>
      <c r="E555" t="s">
        <v>98</v>
      </c>
      <c r="F555" s="42">
        <v>42396.959039351852</v>
      </c>
      <c r="G555" t="s">
        <v>698</v>
      </c>
      <c r="H555">
        <v>7.9000000000000001E-2</v>
      </c>
      <c r="I555" t="s">
        <v>185</v>
      </c>
    </row>
    <row r="556" spans="2:9">
      <c r="B556" t="s">
        <v>30</v>
      </c>
      <c r="C556" s="42">
        <v>42396.960196759261</v>
      </c>
      <c r="D556" t="s">
        <v>698</v>
      </c>
      <c r="E556" t="s">
        <v>98</v>
      </c>
      <c r="F556" s="42">
        <v>42396.984629629631</v>
      </c>
      <c r="G556" t="s">
        <v>56</v>
      </c>
      <c r="H556">
        <v>11.09</v>
      </c>
      <c r="I556" t="s">
        <v>207</v>
      </c>
    </row>
    <row r="557" spans="2:9">
      <c r="B557" t="s">
        <v>30</v>
      </c>
      <c r="C557" s="42">
        <v>42397.206493055557</v>
      </c>
      <c r="D557" t="s">
        <v>56</v>
      </c>
      <c r="E557" t="s">
        <v>99</v>
      </c>
      <c r="F557" s="42">
        <v>42397.248761574076</v>
      </c>
      <c r="G557" t="s">
        <v>55</v>
      </c>
      <c r="H557">
        <v>34.387</v>
      </c>
      <c r="I557" t="s">
        <v>699</v>
      </c>
    </row>
    <row r="558" spans="2:9">
      <c r="B558" t="s">
        <v>30</v>
      </c>
      <c r="C558" s="42">
        <v>42397.257013888891</v>
      </c>
      <c r="D558" t="s">
        <v>55</v>
      </c>
      <c r="E558" t="s">
        <v>99</v>
      </c>
      <c r="F558" s="42">
        <v>42397.2577662037</v>
      </c>
      <c r="G558" t="s">
        <v>55</v>
      </c>
      <c r="H558">
        <v>1.4E-2</v>
      </c>
      <c r="I558" t="s">
        <v>364</v>
      </c>
    </row>
    <row r="559" spans="2:9">
      <c r="B559" t="s">
        <v>30</v>
      </c>
      <c r="C559" s="42">
        <v>42397.26390046296</v>
      </c>
      <c r="D559" t="s">
        <v>55</v>
      </c>
      <c r="E559" t="s">
        <v>99</v>
      </c>
      <c r="F559" s="42">
        <v>42397.575231481482</v>
      </c>
      <c r="G559" t="s">
        <v>55</v>
      </c>
      <c r="H559">
        <v>183.94900000000001</v>
      </c>
      <c r="I559" t="s">
        <v>700</v>
      </c>
    </row>
    <row r="560" spans="2:9">
      <c r="B560" t="s">
        <v>30</v>
      </c>
      <c r="C560" s="42">
        <v>42397.590879629628</v>
      </c>
      <c r="D560" t="s">
        <v>55</v>
      </c>
      <c r="E560" t="s">
        <v>99</v>
      </c>
      <c r="F560" s="42">
        <v>42397.670983796299</v>
      </c>
      <c r="G560" t="s">
        <v>58</v>
      </c>
      <c r="H560">
        <v>56.192999999999998</v>
      </c>
      <c r="I560" t="s">
        <v>701</v>
      </c>
    </row>
    <row r="561" spans="2:9">
      <c r="B561" t="s">
        <v>30</v>
      </c>
      <c r="C561" s="42">
        <v>42397.694652777776</v>
      </c>
      <c r="D561" t="s">
        <v>58</v>
      </c>
      <c r="E561" t="s">
        <v>99</v>
      </c>
      <c r="F561" s="42">
        <v>42397.769780092596</v>
      </c>
      <c r="G561" t="s">
        <v>56</v>
      </c>
      <c r="H561">
        <v>22.254000000000001</v>
      </c>
      <c r="I561" t="s">
        <v>702</v>
      </c>
    </row>
    <row r="562" spans="2:9">
      <c r="B562" t="s">
        <v>30</v>
      </c>
      <c r="C562" s="42">
        <v>42398.206400462965</v>
      </c>
      <c r="D562" t="s">
        <v>56</v>
      </c>
      <c r="E562" t="s">
        <v>106</v>
      </c>
      <c r="F562" s="42">
        <v>42398.239108796297</v>
      </c>
      <c r="G562" t="s">
        <v>55</v>
      </c>
      <c r="H562">
        <v>34.381</v>
      </c>
      <c r="I562" t="s">
        <v>703</v>
      </c>
    </row>
    <row r="563" spans="2:9">
      <c r="B563" t="s">
        <v>30</v>
      </c>
      <c r="C563" s="42">
        <v>42398.258252314816</v>
      </c>
      <c r="D563" t="s">
        <v>55</v>
      </c>
      <c r="E563" t="s">
        <v>106</v>
      </c>
      <c r="F563" s="42">
        <v>42398.258946759262</v>
      </c>
      <c r="G563" t="s">
        <v>55</v>
      </c>
      <c r="H563">
        <v>8.0000000000000002E-3</v>
      </c>
      <c r="I563" t="s">
        <v>704</v>
      </c>
    </row>
    <row r="564" spans="2:9">
      <c r="B564" t="s">
        <v>30</v>
      </c>
      <c r="C564" s="42">
        <v>42398.264189814814</v>
      </c>
      <c r="D564" t="s">
        <v>55</v>
      </c>
      <c r="E564" t="s">
        <v>106</v>
      </c>
      <c r="F564" s="42">
        <v>42398.264826388891</v>
      </c>
      <c r="G564" t="s">
        <v>55</v>
      </c>
      <c r="H564">
        <v>1.7000000000000001E-2</v>
      </c>
      <c r="I564" t="s">
        <v>187</v>
      </c>
    </row>
    <row r="565" spans="2:9">
      <c r="B565" t="s">
        <v>30</v>
      </c>
      <c r="C565" s="42">
        <v>42398.266331018516</v>
      </c>
      <c r="D565" t="s">
        <v>55</v>
      </c>
      <c r="E565" t="s">
        <v>106</v>
      </c>
      <c r="F565" s="42">
        <v>42398.26730324074</v>
      </c>
      <c r="G565" t="s">
        <v>55</v>
      </c>
      <c r="H565">
        <v>1.2E-2</v>
      </c>
      <c r="I565" t="s">
        <v>188</v>
      </c>
    </row>
    <row r="566" spans="2:9">
      <c r="B566" t="s">
        <v>30</v>
      </c>
      <c r="C566" s="42">
        <v>42398.2734837963</v>
      </c>
      <c r="D566" t="s">
        <v>55</v>
      </c>
      <c r="E566" t="s">
        <v>106</v>
      </c>
      <c r="F566" s="42">
        <v>42398.689085648148</v>
      </c>
      <c r="G566" t="s">
        <v>56</v>
      </c>
      <c r="H566">
        <v>262.48899999999998</v>
      </c>
      <c r="I566" t="s">
        <v>705</v>
      </c>
    </row>
    <row r="567" spans="2:9">
      <c r="B567" t="s">
        <v>31</v>
      </c>
      <c r="C567" s="42">
        <v>42394.251793981479</v>
      </c>
      <c r="D567" t="s">
        <v>55</v>
      </c>
      <c r="E567" t="s">
        <v>40</v>
      </c>
      <c r="F567" s="42">
        <v>42394.253506944442</v>
      </c>
      <c r="G567" t="s">
        <v>55</v>
      </c>
      <c r="H567">
        <v>1E-3</v>
      </c>
      <c r="I567" t="s">
        <v>108</v>
      </c>
    </row>
    <row r="568" spans="2:9">
      <c r="B568" t="s">
        <v>31</v>
      </c>
      <c r="C568" s="42">
        <v>42394.272569444445</v>
      </c>
      <c r="D568" t="s">
        <v>55</v>
      </c>
      <c r="E568" t="s">
        <v>40</v>
      </c>
      <c r="F568" s="42">
        <v>42394.27853009259</v>
      </c>
      <c r="G568" t="s">
        <v>55</v>
      </c>
      <c r="H568">
        <v>0.373</v>
      </c>
      <c r="I568" t="s">
        <v>706</v>
      </c>
    </row>
    <row r="569" spans="2:9">
      <c r="B569" t="s">
        <v>31</v>
      </c>
      <c r="C569" s="42">
        <v>42394.28398148148</v>
      </c>
      <c r="D569" t="s">
        <v>55</v>
      </c>
      <c r="E569" t="s">
        <v>40</v>
      </c>
      <c r="F569" s="42">
        <v>42394.284641203703</v>
      </c>
      <c r="G569" t="s">
        <v>55</v>
      </c>
      <c r="H569">
        <v>0</v>
      </c>
      <c r="I569" t="s">
        <v>114</v>
      </c>
    </row>
    <row r="570" spans="2:9">
      <c r="B570" t="s">
        <v>31</v>
      </c>
      <c r="C570" s="42">
        <v>42394.286539351851</v>
      </c>
      <c r="D570" t="s">
        <v>55</v>
      </c>
      <c r="E570" t="s">
        <v>40</v>
      </c>
      <c r="F570" s="42">
        <v>42394.296886574077</v>
      </c>
      <c r="G570" t="s">
        <v>55</v>
      </c>
      <c r="H570">
        <v>1.2999999999999999E-2</v>
      </c>
      <c r="I570" t="s">
        <v>707</v>
      </c>
    </row>
    <row r="571" spans="2:9">
      <c r="B571" t="s">
        <v>31</v>
      </c>
      <c r="C571" s="42">
        <v>42394.304375</v>
      </c>
      <c r="D571" t="s">
        <v>55</v>
      </c>
      <c r="E571" t="s">
        <v>40</v>
      </c>
      <c r="F571" s="42">
        <v>42394.489027777781</v>
      </c>
      <c r="G571" t="s">
        <v>163</v>
      </c>
      <c r="H571">
        <v>142.93700000000001</v>
      </c>
      <c r="I571" t="s">
        <v>708</v>
      </c>
    </row>
    <row r="572" spans="2:9">
      <c r="B572" t="s">
        <v>31</v>
      </c>
      <c r="C572" s="42">
        <v>42394.569340277776</v>
      </c>
      <c r="D572" t="s">
        <v>163</v>
      </c>
      <c r="E572" t="s">
        <v>40</v>
      </c>
      <c r="F572" s="42">
        <v>42394.601215277777</v>
      </c>
      <c r="G572" t="s">
        <v>710</v>
      </c>
      <c r="H572">
        <v>22.501000000000001</v>
      </c>
      <c r="I572" t="s">
        <v>709</v>
      </c>
    </row>
    <row r="573" spans="2:9">
      <c r="B573" t="s">
        <v>31</v>
      </c>
      <c r="C573" s="42">
        <v>42394.668668981481</v>
      </c>
      <c r="D573" t="s">
        <v>710</v>
      </c>
      <c r="E573" t="s">
        <v>40</v>
      </c>
      <c r="F573" s="42">
        <v>42394.780717592592</v>
      </c>
      <c r="G573" t="s">
        <v>55</v>
      </c>
      <c r="H573">
        <v>114.654</v>
      </c>
      <c r="I573" t="s">
        <v>711</v>
      </c>
    </row>
    <row r="574" spans="2:9">
      <c r="B574" t="s">
        <v>31</v>
      </c>
      <c r="C574" s="42">
        <v>42395.271238425928</v>
      </c>
      <c r="D574" t="s">
        <v>55</v>
      </c>
      <c r="E574" t="s">
        <v>97</v>
      </c>
      <c r="F574" s="42">
        <v>42395.293275462966</v>
      </c>
      <c r="G574" t="s">
        <v>55</v>
      </c>
      <c r="H574">
        <v>0.44600000000000001</v>
      </c>
      <c r="I574" t="s">
        <v>712</v>
      </c>
    </row>
    <row r="575" spans="2:9">
      <c r="B575" t="s">
        <v>31</v>
      </c>
      <c r="C575" s="42">
        <v>42395.298981481479</v>
      </c>
      <c r="D575" t="s">
        <v>55</v>
      </c>
      <c r="E575" t="s">
        <v>97</v>
      </c>
      <c r="F575" s="42">
        <v>42395.71802083333</v>
      </c>
      <c r="G575" t="s">
        <v>55</v>
      </c>
      <c r="H575">
        <v>279.702</v>
      </c>
      <c r="I575" t="s">
        <v>713</v>
      </c>
    </row>
    <row r="576" spans="2:9">
      <c r="B576" t="s">
        <v>31</v>
      </c>
      <c r="C576" s="42">
        <v>42396.248159722221</v>
      </c>
      <c r="D576" t="s">
        <v>55</v>
      </c>
      <c r="E576" t="s">
        <v>98</v>
      </c>
      <c r="F576" s="42">
        <v>42396.253379629627</v>
      </c>
      <c r="G576" t="s">
        <v>55</v>
      </c>
      <c r="H576">
        <v>0.33400000000000002</v>
      </c>
      <c r="I576" t="s">
        <v>714</v>
      </c>
    </row>
    <row r="577" spans="2:9">
      <c r="B577" t="s">
        <v>31</v>
      </c>
      <c r="C577" s="42">
        <v>42396.254062499997</v>
      </c>
      <c r="D577" t="s">
        <v>55</v>
      </c>
      <c r="E577" t="s">
        <v>98</v>
      </c>
      <c r="F577" s="42">
        <v>42396.281840277778</v>
      </c>
      <c r="G577" t="s">
        <v>55</v>
      </c>
      <c r="H577">
        <v>2.9000000000000001E-2</v>
      </c>
      <c r="I577" t="s">
        <v>715</v>
      </c>
    </row>
    <row r="578" spans="2:9">
      <c r="B578" t="s">
        <v>31</v>
      </c>
      <c r="C578" s="42">
        <v>42396.288599537038</v>
      </c>
      <c r="D578" t="s">
        <v>55</v>
      </c>
      <c r="E578" t="s">
        <v>98</v>
      </c>
      <c r="F578" s="42">
        <v>42396.527141203704</v>
      </c>
      <c r="G578" t="s">
        <v>55</v>
      </c>
      <c r="H578">
        <v>141.22999999999999</v>
      </c>
      <c r="I578" t="s">
        <v>716</v>
      </c>
    </row>
    <row r="579" spans="2:9">
      <c r="B579" t="s">
        <v>31</v>
      </c>
      <c r="C579" s="42">
        <v>42396.536956018521</v>
      </c>
      <c r="D579" t="s">
        <v>55</v>
      </c>
      <c r="E579" t="s">
        <v>98</v>
      </c>
      <c r="F579" s="42">
        <v>42396.538298611114</v>
      </c>
      <c r="G579" t="s">
        <v>55</v>
      </c>
      <c r="H579">
        <v>0</v>
      </c>
      <c r="I579" t="s">
        <v>307</v>
      </c>
    </row>
    <row r="580" spans="2:9">
      <c r="B580" t="s">
        <v>31</v>
      </c>
      <c r="C580" s="42">
        <v>42396.541006944448</v>
      </c>
      <c r="D580" t="s">
        <v>55</v>
      </c>
      <c r="E580" t="s">
        <v>98</v>
      </c>
      <c r="F580" s="42">
        <v>42396.66511574074</v>
      </c>
      <c r="G580" t="s">
        <v>718</v>
      </c>
      <c r="H580">
        <v>54.889000000000003</v>
      </c>
      <c r="I580" t="s">
        <v>717</v>
      </c>
    </row>
    <row r="581" spans="2:9">
      <c r="B581" t="s">
        <v>31</v>
      </c>
      <c r="C581" s="42">
        <v>42396.754687499997</v>
      </c>
      <c r="D581" t="s">
        <v>718</v>
      </c>
      <c r="E581" t="s">
        <v>98</v>
      </c>
      <c r="F581" s="42">
        <v>42396.808946759258</v>
      </c>
      <c r="G581" t="s">
        <v>55</v>
      </c>
      <c r="H581">
        <v>40.631</v>
      </c>
      <c r="I581" t="s">
        <v>719</v>
      </c>
    </row>
    <row r="582" spans="2:9">
      <c r="B582" t="s">
        <v>31</v>
      </c>
      <c r="C582" s="42">
        <v>42397.281099537038</v>
      </c>
      <c r="D582" t="s">
        <v>55</v>
      </c>
      <c r="E582" t="s">
        <v>99</v>
      </c>
      <c r="F582" s="42">
        <v>42397.281284722223</v>
      </c>
      <c r="G582" t="s">
        <v>55</v>
      </c>
      <c r="H582">
        <v>0</v>
      </c>
      <c r="I582" t="s">
        <v>186</v>
      </c>
    </row>
    <row r="583" spans="2:9">
      <c r="B583" t="s">
        <v>31</v>
      </c>
      <c r="C583" s="42">
        <v>42397.32309027778</v>
      </c>
      <c r="D583" t="s">
        <v>55</v>
      </c>
      <c r="E583" t="s">
        <v>99</v>
      </c>
      <c r="F583" s="42">
        <v>42397.328900462962</v>
      </c>
      <c r="G583" t="s">
        <v>55</v>
      </c>
      <c r="H583">
        <v>9.7000000000000003E-2</v>
      </c>
      <c r="I583" t="s">
        <v>720</v>
      </c>
    </row>
    <row r="584" spans="2:9">
      <c r="B584" t="s">
        <v>31</v>
      </c>
      <c r="C584" s="42">
        <v>42397.333113425928</v>
      </c>
      <c r="D584" t="s">
        <v>55</v>
      </c>
      <c r="E584" t="s">
        <v>99</v>
      </c>
      <c r="F584" s="42">
        <v>42397.334918981483</v>
      </c>
      <c r="G584" t="s">
        <v>55</v>
      </c>
      <c r="H584">
        <v>2.3E-2</v>
      </c>
      <c r="I584" t="s">
        <v>570</v>
      </c>
    </row>
    <row r="585" spans="2:9">
      <c r="B585" t="s">
        <v>31</v>
      </c>
      <c r="C585" s="42">
        <v>42397.426527777781</v>
      </c>
      <c r="D585" t="s">
        <v>55</v>
      </c>
      <c r="E585" t="s">
        <v>99</v>
      </c>
      <c r="F585" s="42">
        <v>42397.428182870368</v>
      </c>
      <c r="G585" t="s">
        <v>55</v>
      </c>
      <c r="H585">
        <v>0</v>
      </c>
      <c r="I585" t="s">
        <v>110</v>
      </c>
    </row>
    <row r="586" spans="2:9">
      <c r="B586" t="s">
        <v>31</v>
      </c>
      <c r="C586" s="42">
        <v>42397.429479166669</v>
      </c>
      <c r="D586" t="s">
        <v>55</v>
      </c>
      <c r="E586" t="s">
        <v>99</v>
      </c>
      <c r="F586" s="42">
        <v>42397.435868055552</v>
      </c>
      <c r="G586" t="s">
        <v>55</v>
      </c>
      <c r="H586">
        <v>0.188</v>
      </c>
      <c r="I586" t="s">
        <v>721</v>
      </c>
    </row>
    <row r="587" spans="2:9">
      <c r="B587" t="s">
        <v>31</v>
      </c>
      <c r="C587" s="42">
        <v>42397.437141203707</v>
      </c>
      <c r="D587" t="s">
        <v>55</v>
      </c>
      <c r="E587" t="s">
        <v>99</v>
      </c>
      <c r="F587" s="42">
        <v>42397.443472222221</v>
      </c>
      <c r="G587" t="s">
        <v>55</v>
      </c>
      <c r="H587">
        <v>0.38100000000000001</v>
      </c>
      <c r="I587" t="s">
        <v>722</v>
      </c>
    </row>
    <row r="588" spans="2:9">
      <c r="B588" t="s">
        <v>31</v>
      </c>
      <c r="C588" s="42">
        <v>42397.615451388891</v>
      </c>
      <c r="D588" t="s">
        <v>55</v>
      </c>
      <c r="E588" t="s">
        <v>99</v>
      </c>
      <c r="F588" s="42">
        <v>42397.662800925929</v>
      </c>
      <c r="G588" t="s">
        <v>55</v>
      </c>
      <c r="H588">
        <v>0</v>
      </c>
      <c r="I588" t="s">
        <v>723</v>
      </c>
    </row>
    <row r="589" spans="2:9">
      <c r="B589" t="s">
        <v>31</v>
      </c>
      <c r="C589" s="42">
        <v>42397.724131944444</v>
      </c>
      <c r="D589" t="s">
        <v>55</v>
      </c>
      <c r="E589" t="s">
        <v>99</v>
      </c>
      <c r="F589" s="42">
        <v>42397.726064814815</v>
      </c>
      <c r="G589" t="s">
        <v>55</v>
      </c>
      <c r="H589">
        <v>0.38700000000000001</v>
      </c>
      <c r="I589" t="s">
        <v>145</v>
      </c>
    </row>
    <row r="590" spans="2:9">
      <c r="B590" t="s">
        <v>31</v>
      </c>
      <c r="C590" s="42">
        <v>42397.732997685183</v>
      </c>
      <c r="D590" t="s">
        <v>55</v>
      </c>
      <c r="E590" t="s">
        <v>99</v>
      </c>
      <c r="F590" s="42">
        <v>42397.744375000002</v>
      </c>
      <c r="G590" t="s">
        <v>55</v>
      </c>
      <c r="H590">
        <v>2.9750000000000001</v>
      </c>
      <c r="I590" t="s">
        <v>362</v>
      </c>
    </row>
    <row r="591" spans="2:9">
      <c r="B591" t="s">
        <v>31</v>
      </c>
      <c r="C591" s="42">
        <v>42398.255046296297</v>
      </c>
      <c r="D591" t="s">
        <v>55</v>
      </c>
      <c r="E591" t="s">
        <v>106</v>
      </c>
      <c r="F591" s="42">
        <v>42398.259212962963</v>
      </c>
      <c r="G591" t="s">
        <v>55</v>
      </c>
      <c r="H591">
        <v>0</v>
      </c>
      <c r="I591" t="s">
        <v>724</v>
      </c>
    </row>
    <row r="592" spans="2:9">
      <c r="B592" t="s">
        <v>31</v>
      </c>
      <c r="C592" s="42">
        <v>42398.259641203702</v>
      </c>
      <c r="D592" t="s">
        <v>55</v>
      </c>
      <c r="E592" t="s">
        <v>106</v>
      </c>
      <c r="F592" s="42">
        <v>42398.483738425923</v>
      </c>
      <c r="G592" t="s">
        <v>55</v>
      </c>
      <c r="H592">
        <v>140.02799999999999</v>
      </c>
      <c r="I592" t="s">
        <v>725</v>
      </c>
    </row>
    <row r="593" spans="2:9">
      <c r="B593" t="s">
        <v>31</v>
      </c>
      <c r="C593" s="42">
        <v>42398.488379629627</v>
      </c>
      <c r="D593" t="s">
        <v>55</v>
      </c>
      <c r="E593" t="s">
        <v>106</v>
      </c>
      <c r="F593" s="42">
        <v>42398.492372685185</v>
      </c>
      <c r="G593" t="s">
        <v>55</v>
      </c>
      <c r="H593">
        <v>6.0000000000000001E-3</v>
      </c>
      <c r="I593" t="s">
        <v>615</v>
      </c>
    </row>
    <row r="594" spans="2:9">
      <c r="B594" t="s">
        <v>31</v>
      </c>
      <c r="C594" s="42">
        <v>42398.501030092593</v>
      </c>
      <c r="D594" t="s">
        <v>55</v>
      </c>
      <c r="E594" t="s">
        <v>106</v>
      </c>
      <c r="F594" s="42">
        <v>42398.725706018522</v>
      </c>
      <c r="G594" t="s">
        <v>55</v>
      </c>
      <c r="H594">
        <v>142.49700000000001</v>
      </c>
      <c r="I594" t="s">
        <v>726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0"/>
  <sheetViews>
    <sheetView zoomScale="90" zoomScaleNormal="90" workbookViewId="0">
      <pane ySplit="1" topLeftCell="A486" activePane="bottomLeft" state="frozen"/>
      <selection activeCell="I53" sqref="I53"/>
      <selection pane="bottomLeft" activeCell="I53" sqref="I53"/>
    </sheetView>
  </sheetViews>
  <sheetFormatPr baseColWidth="10" defaultRowHeight="14.4"/>
  <cols>
    <col min="1" max="1" width="11.33203125" bestFit="1" customWidth="1"/>
    <col min="2" max="2" width="29" customWidth="1"/>
    <col min="3" max="3" width="19.33203125" customWidth="1"/>
    <col min="4" max="4" width="21.5546875" customWidth="1"/>
    <col min="5" max="5" width="9.5546875" style="26" customWidth="1"/>
    <col min="6" max="6" width="9.6640625" customWidth="1"/>
    <col min="7" max="7" width="25.33203125" style="31" customWidth="1"/>
    <col min="8" max="8" width="46.5546875" style="18" customWidth="1"/>
    <col min="9" max="9" width="13.88671875" style="34" bestFit="1" customWidth="1"/>
    <col min="10" max="10" width="17.33203125" customWidth="1"/>
    <col min="11" max="11" width="17.5546875" bestFit="1" customWidth="1"/>
    <col min="12" max="12" width="13" customWidth="1"/>
    <col min="13" max="13" width="16.109375" customWidth="1"/>
    <col min="14" max="14" width="51.5546875" customWidth="1"/>
  </cols>
  <sheetData>
    <row r="1" spans="1:14" ht="15" thickBot="1">
      <c r="A1" s="19" t="s">
        <v>34</v>
      </c>
      <c r="B1" s="19" t="s">
        <v>92</v>
      </c>
      <c r="C1" s="19" t="s">
        <v>93</v>
      </c>
      <c r="D1" s="19" t="s">
        <v>94</v>
      </c>
      <c r="E1" s="28" t="s">
        <v>1</v>
      </c>
      <c r="F1" s="20" t="s">
        <v>63</v>
      </c>
      <c r="G1" s="29" t="s">
        <v>101</v>
      </c>
      <c r="H1" s="21" t="s">
        <v>100</v>
      </c>
      <c r="I1" s="32" t="s">
        <v>39</v>
      </c>
      <c r="J1" s="29" t="s">
        <v>201</v>
      </c>
      <c r="K1" s="29" t="s">
        <v>198</v>
      </c>
      <c r="L1" s="29" t="s">
        <v>199</v>
      </c>
      <c r="M1" s="29" t="s">
        <v>200</v>
      </c>
      <c r="N1" s="29" t="s">
        <v>100</v>
      </c>
    </row>
    <row r="2" spans="1:14" s="18" customFormat="1" ht="17.25" customHeight="1">
      <c r="A2" s="16" t="s">
        <v>744</v>
      </c>
      <c r="B2" s="17" t="s">
        <v>745</v>
      </c>
      <c r="C2" s="17" t="s">
        <v>751</v>
      </c>
      <c r="D2" s="22" t="s">
        <v>752</v>
      </c>
      <c r="E2" s="27">
        <f t="shared" ref="E2:E65" si="0">IFERROR(D2-C2, "")</f>
        <v>0.25437499999679858</v>
      </c>
      <c r="F2" s="18" t="s">
        <v>40</v>
      </c>
      <c r="G2" s="30" t="str">
        <f t="shared" ref="G2:G5" si="1">IF(A2=A1, C2-D1, "")</f>
        <v/>
      </c>
      <c r="H2" s="23" t="str">
        <f t="shared" ref="H2:H5" si="2">IF(A2=A1, B1&amp;" - "&amp;B2, "")</f>
        <v/>
      </c>
      <c r="I2" s="33" t="str">
        <f>IF(F1='Données Hebdo'!A2, VLOOKUP(Feuil1!A2, 'Données Hebdo'!B:J, 8, FALSE), "")</f>
        <v/>
      </c>
      <c r="J2" s="27" t="str">
        <f t="shared" ref="J2:J5" si="3">IF(A2=A3, RIGHT(D2, 8)&amp;" à "&amp;RIGHT(C3, 8), "")</f>
        <v>06:48:50 à 17:49:49</v>
      </c>
      <c r="K2" s="27" t="str">
        <f t="shared" ref="K2:K5" si="4">IF(A2=A3, C3, "")</f>
        <v>2016-05-30 17:49:49</v>
      </c>
      <c r="L2" s="27">
        <f t="shared" ref="L2:L5" si="5">IF(A2=A3, G3, "")</f>
        <v>0.45901620370568708</v>
      </c>
      <c r="M2" s="30">
        <f t="shared" ref="M2:M5" si="6">IF(A2=A3, E2, "")</f>
        <v>0.25437499999679858</v>
      </c>
      <c r="N2" s="18" t="str">
        <f t="shared" ref="N2:N5" si="7">IF(A2=A3, H3, "")</f>
        <v>BASE RAZEL BAGANGTE - BASE RAZEL BAGANGTE</v>
      </c>
    </row>
    <row r="3" spans="1:14" s="18" customFormat="1" ht="17.25" customHeight="1">
      <c r="A3" s="16" t="s">
        <v>744</v>
      </c>
      <c r="B3" s="17" t="s">
        <v>745</v>
      </c>
      <c r="C3" s="17" t="s">
        <v>755</v>
      </c>
      <c r="D3" s="22" t="s">
        <v>756</v>
      </c>
      <c r="E3" s="27">
        <f>IFERROR(D3-C3, "")</f>
        <v>0.58115740741050104</v>
      </c>
      <c r="F3" s="18" t="s">
        <v>40</v>
      </c>
      <c r="G3" s="30">
        <f t="shared" si="1"/>
        <v>0.45901620370568708</v>
      </c>
      <c r="H3" s="23" t="str">
        <f t="shared" si="2"/>
        <v>BASE RAZEL BAGANGTE - BASE RAZEL BAGANGTE</v>
      </c>
      <c r="I3" s="33">
        <f>IF(F2='Données Hebdo'!A3, VLOOKUP(Feuil1!A3, 'Données Hebdo'!B:J, 8, FALSE), "")</f>
        <v>0</v>
      </c>
      <c r="J3" s="27" t="str">
        <f t="shared" si="3"/>
        <v/>
      </c>
      <c r="K3" s="27" t="str">
        <f t="shared" si="4"/>
        <v/>
      </c>
      <c r="L3" s="27" t="str">
        <f t="shared" si="5"/>
        <v/>
      </c>
      <c r="M3" s="30" t="str">
        <f t="shared" si="6"/>
        <v/>
      </c>
      <c r="N3" s="18" t="str">
        <f t="shared" si="7"/>
        <v/>
      </c>
    </row>
    <row r="4" spans="1:14" s="18" customFormat="1" ht="17.25" customHeight="1">
      <c r="A4" s="16" t="s">
        <v>746</v>
      </c>
      <c r="B4" s="17" t="s">
        <v>745</v>
      </c>
      <c r="C4" s="17" t="s">
        <v>753</v>
      </c>
      <c r="D4" s="22" t="s">
        <v>754</v>
      </c>
      <c r="E4" s="27">
        <f t="shared" si="0"/>
        <v>0.24781249999796273</v>
      </c>
      <c r="F4" s="18" t="s">
        <v>40</v>
      </c>
      <c r="G4" s="30" t="str">
        <f t="shared" si="1"/>
        <v/>
      </c>
      <c r="H4" s="23" t="str">
        <f t="shared" si="2"/>
        <v/>
      </c>
      <c r="I4" s="33">
        <f>IF(F3='Données Hebdo'!A4, VLOOKUP(Feuil1!A4, 'Données Hebdo'!B:J, 8, FALSE), "")</f>
        <v>0</v>
      </c>
      <c r="J4" s="27" t="str">
        <f t="shared" si="3"/>
        <v>06:48:51 à 17:47:42</v>
      </c>
      <c r="K4" s="27" t="str">
        <f t="shared" si="4"/>
        <v>2016-05-30 17:47:42</v>
      </c>
      <c r="L4" s="27">
        <f t="shared" si="5"/>
        <v>0.45753472221986158</v>
      </c>
      <c r="M4" s="30">
        <f t="shared" si="6"/>
        <v>0.24781249999796273</v>
      </c>
      <c r="N4" s="18" t="str">
        <f t="shared" si="7"/>
        <v>BASE RAZEL BAGANGTE - BASE RAZEL BAGANGTE</v>
      </c>
    </row>
    <row r="5" spans="1:14" s="18" customFormat="1" ht="17.25" customHeight="1">
      <c r="A5" s="16" t="s">
        <v>746</v>
      </c>
      <c r="B5" s="17" t="s">
        <v>745</v>
      </c>
      <c r="C5" s="17" t="s">
        <v>757</v>
      </c>
      <c r="D5" s="22" t="s">
        <v>758</v>
      </c>
      <c r="E5" s="27">
        <f t="shared" si="0"/>
        <v>0.57402777778042946</v>
      </c>
      <c r="F5" s="18" t="s">
        <v>40</v>
      </c>
      <c r="G5" s="30">
        <f t="shared" si="1"/>
        <v>0.45753472221986158</v>
      </c>
      <c r="H5" s="23" t="str">
        <f t="shared" si="2"/>
        <v>BASE RAZEL BAGANGTE - BASE RAZEL BAGANGTE</v>
      </c>
      <c r="I5" s="33">
        <f>IF(F4='Données Hebdo'!A5, VLOOKUP(Feuil1!A5, 'Données Hebdo'!B:J, 8, FALSE), "")</f>
        <v>0</v>
      </c>
      <c r="J5" s="27" t="str">
        <f t="shared" si="3"/>
        <v/>
      </c>
      <c r="K5" s="27" t="str">
        <f t="shared" si="4"/>
        <v/>
      </c>
      <c r="L5" s="27" t="str">
        <f t="shared" si="5"/>
        <v/>
      </c>
      <c r="M5" s="30" t="str">
        <f t="shared" si="6"/>
        <v/>
      </c>
      <c r="N5" s="18" t="str">
        <f t="shared" si="7"/>
        <v/>
      </c>
    </row>
    <row r="6" spans="1:14" s="18" customFormat="1" ht="17.25" customHeight="1">
      <c r="A6" s="16" t="s">
        <v>747</v>
      </c>
      <c r="B6" s="17" t="s">
        <v>745</v>
      </c>
      <c r="C6" s="17" t="s">
        <v>759</v>
      </c>
      <c r="D6" s="22" t="s">
        <v>760</v>
      </c>
      <c r="E6" s="27">
        <f t="shared" si="0"/>
        <v>0.32571759259008104</v>
      </c>
      <c r="F6" s="18" t="s">
        <v>40</v>
      </c>
      <c r="G6" s="30" t="str">
        <f t="shared" ref="G6" si="8">IF(A6=A5, C6-D5, "")</f>
        <v/>
      </c>
      <c r="H6" s="23" t="str">
        <f t="shared" ref="H6" si="9">IF(A6=A5, B5&amp;" - "&amp;B6, "")</f>
        <v/>
      </c>
      <c r="I6" s="33">
        <f>IF(F5='Données Hebdo'!A6, VLOOKUP(Feuil1!A6, 'Données Hebdo'!B:J, 8, FALSE), "")</f>
        <v>0</v>
      </c>
      <c r="J6" s="27" t="str">
        <f t="shared" ref="J6" si="10">IF(A6=A7, RIGHT(D6, 8)&amp;" à "&amp;RIGHT(C7, 8), "")</f>
        <v>08:21:54 à 08:40:54</v>
      </c>
      <c r="K6" s="27" t="str">
        <f t="shared" ref="K6" si="11">IF(A6=A7, C7, "")</f>
        <v>2016-05-30 08:40:54</v>
      </c>
      <c r="L6" s="27">
        <f t="shared" ref="L6" si="12">IF(A6=A7, G7, "")</f>
        <v>1.3194444443797693E-2</v>
      </c>
      <c r="M6" s="30">
        <f t="shared" ref="M6" si="13">IF(A6=A7, E6, "")</f>
        <v>0.32571759259008104</v>
      </c>
      <c r="N6" s="18" t="str">
        <f t="shared" ref="N6" si="14">IF(A6=A7, H7, "")</f>
        <v>BASE RAZEL BAGANGTE - CARRIERE RAZEL BAGANGTE</v>
      </c>
    </row>
    <row r="7" spans="1:14" s="18" customFormat="1" ht="17.25" customHeight="1">
      <c r="A7" s="16" t="s">
        <v>747</v>
      </c>
      <c r="B7" s="17" t="s">
        <v>761</v>
      </c>
      <c r="C7" s="17" t="s">
        <v>762</v>
      </c>
      <c r="D7" s="22" t="s">
        <v>763</v>
      </c>
      <c r="E7" s="27">
        <f t="shared" si="0"/>
        <v>6.6666666680248454E-3</v>
      </c>
      <c r="F7" s="18" t="s">
        <v>40</v>
      </c>
      <c r="G7" s="30">
        <f t="shared" ref="G7:G9" si="15">IF(A7=A6, C7-D6, "")</f>
        <v>1.3194444443797693E-2</v>
      </c>
      <c r="H7" s="23" t="str">
        <f t="shared" ref="H7:H10" si="16">IF(A7=A6, B6&amp;" - "&amp;B7, "")</f>
        <v>BASE RAZEL BAGANGTE - CARRIERE RAZEL BAGANGTE</v>
      </c>
      <c r="I7" s="33">
        <f>IF(F6='Données Hebdo'!A7, VLOOKUP(Feuil1!A7, 'Données Hebdo'!B:J, 8, FALSE), "")</f>
        <v>0</v>
      </c>
      <c r="J7" s="27" t="str">
        <f t="shared" ref="J7:J10" si="17">IF(A7=A8, RIGHT(D7, 8)&amp;" à "&amp;RIGHT(C8, 8), "")</f>
        <v>08:50:30 à 08:53:30</v>
      </c>
      <c r="K7" s="27" t="str">
        <f t="shared" ref="K7:K10" si="18">IF(A7=A8, C8, "")</f>
        <v>2016-05-30 08:53:30</v>
      </c>
      <c r="L7" s="27">
        <f t="shared" ref="L7:L10" si="19">IF(A7=A8, G8, "")</f>
        <v>2.0833333328482695E-3</v>
      </c>
      <c r="M7" s="30">
        <f t="shared" ref="M7:M10" si="20">IF(A7=A8, E7, "")</f>
        <v>6.6666666680248454E-3</v>
      </c>
      <c r="N7" s="18" t="str">
        <f t="shared" ref="N7:N10" si="21">IF(A7=A8, H8, "")</f>
        <v>CARRIERE RAZEL BAGANGTE - CARRIERE RAZEL BAGANGTE</v>
      </c>
    </row>
    <row r="8" spans="1:14" s="18" customFormat="1" ht="17.25" customHeight="1">
      <c r="A8" s="16" t="s">
        <v>747</v>
      </c>
      <c r="B8" s="17" t="s">
        <v>761</v>
      </c>
      <c r="C8" s="17" t="s">
        <v>764</v>
      </c>
      <c r="D8" s="22" t="s">
        <v>765</v>
      </c>
      <c r="E8" s="27">
        <f t="shared" si="0"/>
        <v>6.2499999985448085E-3</v>
      </c>
      <c r="F8" s="18" t="s">
        <v>40</v>
      </c>
      <c r="G8" s="30">
        <f t="shared" si="15"/>
        <v>2.0833333328482695E-3</v>
      </c>
      <c r="H8" s="23" t="str">
        <f t="shared" si="16"/>
        <v>CARRIERE RAZEL BAGANGTE - CARRIERE RAZEL BAGANGTE</v>
      </c>
      <c r="I8" s="33">
        <f>IF(F7='Données Hebdo'!A8, VLOOKUP(Feuil1!A8, 'Données Hebdo'!B:J, 8, FALSE), "")</f>
        <v>0</v>
      </c>
      <c r="J8" s="27" t="str">
        <f t="shared" si="17"/>
        <v/>
      </c>
      <c r="K8" s="27" t="str">
        <f t="shared" si="18"/>
        <v/>
      </c>
      <c r="L8" s="27" t="str">
        <f t="shared" si="19"/>
        <v/>
      </c>
      <c r="M8" s="30" t="str">
        <f t="shared" si="20"/>
        <v/>
      </c>
      <c r="N8" s="18" t="str">
        <f t="shared" si="21"/>
        <v/>
      </c>
    </row>
    <row r="9" spans="1:14" s="18" customFormat="1" ht="17.25" customHeight="1">
      <c r="A9" s="16" t="s">
        <v>727</v>
      </c>
      <c r="B9" s="17" t="s">
        <v>745</v>
      </c>
      <c r="C9" s="17" t="s">
        <v>766</v>
      </c>
      <c r="D9" s="22" t="s">
        <v>767</v>
      </c>
      <c r="E9" s="27">
        <f t="shared" si="0"/>
        <v>0.33037037037138361</v>
      </c>
      <c r="F9" s="18" t="s">
        <v>40</v>
      </c>
      <c r="G9" s="30" t="str">
        <f t="shared" si="15"/>
        <v/>
      </c>
      <c r="H9" s="23" t="str">
        <f t="shared" si="16"/>
        <v/>
      </c>
      <c r="I9" s="33" t="str">
        <f>IF(F8='Données Hebdo'!A9, VLOOKUP(Feuil1!A9, 'Données Hebdo'!B:J, 8, FALSE), "")</f>
        <v/>
      </c>
      <c r="J9" s="27" t="str">
        <f t="shared" si="17"/>
        <v>08:26:58 à 11:40:58</v>
      </c>
      <c r="K9" s="27" t="str">
        <f t="shared" si="18"/>
        <v>2016-05-30 11:40:58</v>
      </c>
      <c r="L9" s="27">
        <f t="shared" si="19"/>
        <v>0.13472222222480923</v>
      </c>
      <c r="M9" s="30">
        <f t="shared" si="20"/>
        <v>0.33037037037138361</v>
      </c>
      <c r="N9" s="18" t="str">
        <f t="shared" si="21"/>
        <v>BASE RAZEL BAGANGTE - CARRIERE RAZEL BAGANGTE</v>
      </c>
    </row>
    <row r="10" spans="1:14" s="18" customFormat="1" ht="17.25" customHeight="1">
      <c r="A10" s="16" t="s">
        <v>727</v>
      </c>
      <c r="B10" s="17" t="s">
        <v>761</v>
      </c>
      <c r="C10" s="17" t="s">
        <v>768</v>
      </c>
      <c r="D10" s="22" t="s">
        <v>769</v>
      </c>
      <c r="E10" s="27">
        <f t="shared" si="0"/>
        <v>9.7337962943129241E-3</v>
      </c>
      <c r="F10" s="18" t="s">
        <v>40</v>
      </c>
      <c r="G10" s="30">
        <f t="shared" ref="G10" si="22">IF(A10=A9, C10-D9, "")</f>
        <v>0.13472222222480923</v>
      </c>
      <c r="H10" s="23" t="str">
        <f t="shared" si="16"/>
        <v>BASE RAZEL BAGANGTE - CARRIERE RAZEL BAGANGTE</v>
      </c>
      <c r="I10" s="33" t="str">
        <f>IF(F9='Données Hebdo'!A10, VLOOKUP(Feuil1!A10, 'Données Hebdo'!B:J, 8, FALSE), "")</f>
        <v/>
      </c>
      <c r="J10" s="27" t="str">
        <f t="shared" si="17"/>
        <v>11:54:59 à 13:25:59</v>
      </c>
      <c r="K10" s="27" t="str">
        <f t="shared" si="18"/>
        <v>2016-05-30 13:25:59</v>
      </c>
      <c r="L10" s="27">
        <f t="shared" si="19"/>
        <v>6.3194444446708076E-2</v>
      </c>
      <c r="M10" s="30">
        <f t="shared" si="20"/>
        <v>9.7337962943129241E-3</v>
      </c>
      <c r="N10" s="18" t="str">
        <f t="shared" si="21"/>
        <v>CARRIERE RAZEL BAGANGTE - BASE RAZEL BAGANGTE</v>
      </c>
    </row>
    <row r="11" spans="1:14" s="18" customFormat="1" ht="17.25" customHeight="1">
      <c r="A11" s="16" t="s">
        <v>727</v>
      </c>
      <c r="B11" s="17" t="s">
        <v>745</v>
      </c>
      <c r="C11" s="17" t="s">
        <v>770</v>
      </c>
      <c r="D11" s="22" t="s">
        <v>771</v>
      </c>
      <c r="E11" s="27">
        <f t="shared" si="0"/>
        <v>0.75565972222102573</v>
      </c>
      <c r="F11" s="18" t="s">
        <v>40</v>
      </c>
      <c r="G11" s="30">
        <f t="shared" ref="G11:G74" si="23">IF(A11=A10, C11-D10, "")</f>
        <v>6.3194444446708076E-2</v>
      </c>
      <c r="H11" s="23" t="str">
        <f t="shared" ref="H11:H74" si="24">IF(A11=A10, B10&amp;" - "&amp;B11, "")</f>
        <v>CARRIERE RAZEL BAGANGTE - BASE RAZEL BAGANGTE</v>
      </c>
      <c r="I11" s="33" t="str">
        <f>IF(F10='Données Hebdo'!A11, VLOOKUP(Feuil1!A11, 'Données Hebdo'!B:J, 8, FALSE), "")</f>
        <v/>
      </c>
      <c r="J11" s="27" t="str">
        <f t="shared" ref="J11:J74" si="25">IF(A11=A12, RIGHT(D11, 8)&amp;" à "&amp;RIGHT(C12, 8), "")</f>
        <v/>
      </c>
      <c r="K11" s="27" t="str">
        <f t="shared" ref="K11:K74" si="26">IF(A11=A12, C12, "")</f>
        <v/>
      </c>
      <c r="L11" s="27" t="str">
        <f t="shared" ref="L11:L74" si="27">IF(A11=A12, G12, "")</f>
        <v/>
      </c>
      <c r="M11" s="30" t="str">
        <f t="shared" ref="M11:M74" si="28">IF(A11=A12, E11, "")</f>
        <v/>
      </c>
      <c r="N11" s="18" t="str">
        <f t="shared" ref="N11:N74" si="29">IF(A11=A12, H12, "")</f>
        <v/>
      </c>
    </row>
    <row r="12" spans="1:14" s="18" customFormat="1" ht="17.25" customHeight="1">
      <c r="A12" s="16" t="s">
        <v>77</v>
      </c>
      <c r="B12" s="17" t="s">
        <v>197</v>
      </c>
      <c r="C12" s="17" t="s">
        <v>772</v>
      </c>
      <c r="D12" s="22" t="s">
        <v>773</v>
      </c>
      <c r="E12" s="27">
        <f t="shared" si="0"/>
        <v>6.8275462966994382E-2</v>
      </c>
      <c r="F12" s="18" t="s">
        <v>40</v>
      </c>
      <c r="G12" s="30" t="str">
        <f t="shared" si="23"/>
        <v/>
      </c>
      <c r="H12" s="23" t="str">
        <f t="shared" si="24"/>
        <v/>
      </c>
      <c r="I12" s="33">
        <f>IF(F11='Données Hebdo'!A12, VLOOKUP(Feuil1!A12, 'Données Hebdo'!B:J, 8, FALSE), "")</f>
        <v>0</v>
      </c>
      <c r="J12" s="27" t="str">
        <f t="shared" si="25"/>
        <v>08:35:30 à 08:36:30</v>
      </c>
      <c r="K12" s="27" t="str">
        <f t="shared" si="26"/>
        <v>2016-05-30 08:36:30</v>
      </c>
      <c r="L12" s="27">
        <f t="shared" si="27"/>
        <v>6.9444443943211809E-4</v>
      </c>
      <c r="M12" s="30">
        <f t="shared" si="28"/>
        <v>6.8275462966994382E-2</v>
      </c>
      <c r="N12" s="18" t="str">
        <f t="shared" si="29"/>
        <v>BASE RAZEL PREFECTURE - BASE RAZEL PREFECTURE</v>
      </c>
    </row>
    <row r="13" spans="1:14" s="18" customFormat="1" ht="17.25" customHeight="1">
      <c r="A13" s="16" t="s">
        <v>77</v>
      </c>
      <c r="B13" s="17" t="s">
        <v>197</v>
      </c>
      <c r="C13" s="17" t="s">
        <v>774</v>
      </c>
      <c r="D13" s="22" t="s">
        <v>775</v>
      </c>
      <c r="E13" s="27">
        <f t="shared" si="0"/>
        <v>0.34465277777781012</v>
      </c>
      <c r="F13" s="18" t="s">
        <v>40</v>
      </c>
      <c r="G13" s="30">
        <f t="shared" si="23"/>
        <v>6.9444443943211809E-4</v>
      </c>
      <c r="H13" s="23" t="str">
        <f t="shared" si="24"/>
        <v>BASE RAZEL PREFECTURE - BASE RAZEL PREFECTURE</v>
      </c>
      <c r="I13" s="33">
        <f>IF(F12='Données Hebdo'!A13, VLOOKUP(Feuil1!A13, 'Données Hebdo'!B:J, 8, FALSE), "")</f>
        <v>0</v>
      </c>
      <c r="J13" s="27" t="str">
        <f t="shared" si="25"/>
        <v/>
      </c>
      <c r="K13" s="27" t="str">
        <f t="shared" si="26"/>
        <v/>
      </c>
      <c r="L13" s="27" t="str">
        <f t="shared" si="27"/>
        <v/>
      </c>
      <c r="M13" s="30" t="str">
        <f t="shared" si="28"/>
        <v/>
      </c>
      <c r="N13" s="18" t="str">
        <f t="shared" si="29"/>
        <v/>
      </c>
    </row>
    <row r="14" spans="1:14" s="18" customFormat="1" ht="17.25" customHeight="1">
      <c r="A14" s="16" t="s">
        <v>90</v>
      </c>
      <c r="B14" s="17" t="s">
        <v>197</v>
      </c>
      <c r="C14" s="17" t="s">
        <v>776</v>
      </c>
      <c r="D14" s="22" t="s">
        <v>777</v>
      </c>
      <c r="E14" s="27">
        <f t="shared" si="0"/>
        <v>0.22641203703824431</v>
      </c>
      <c r="F14" s="18" t="s">
        <v>40</v>
      </c>
      <c r="G14" s="30" t="str">
        <f t="shared" si="23"/>
        <v/>
      </c>
      <c r="H14" s="23" t="str">
        <f t="shared" si="24"/>
        <v/>
      </c>
      <c r="I14" s="33" t="str">
        <f>IF(F13='Données Hebdo'!A14, VLOOKUP(Feuil1!A14, 'Données Hebdo'!B:J, 8, FALSE), "")</f>
        <v/>
      </c>
      <c r="J14" s="27" t="str">
        <f t="shared" si="25"/>
        <v>05:54:59 à 06:32:59</v>
      </c>
      <c r="K14" s="27" t="str">
        <f t="shared" si="26"/>
        <v>2016-05-30 06:32:59</v>
      </c>
      <c r="L14" s="27">
        <f t="shared" si="27"/>
        <v>2.6388888887595385E-2</v>
      </c>
      <c r="M14" s="30">
        <f t="shared" si="28"/>
        <v>0.22641203703824431</v>
      </c>
      <c r="N14" s="18" t="str">
        <f t="shared" si="29"/>
        <v>BASE RAZEL PREFECTURE - CARRIERE RAZEL NKOMETOU</v>
      </c>
    </row>
    <row r="15" spans="1:14" s="18" customFormat="1" ht="17.25" customHeight="1">
      <c r="A15" s="16" t="s">
        <v>90</v>
      </c>
      <c r="B15" s="17" t="s">
        <v>42</v>
      </c>
      <c r="C15" s="17" t="s">
        <v>778</v>
      </c>
      <c r="D15" s="22" t="s">
        <v>779</v>
      </c>
      <c r="E15" s="27">
        <f t="shared" si="0"/>
        <v>4.8530092593864538E-2</v>
      </c>
      <c r="F15" s="18" t="s">
        <v>40</v>
      </c>
      <c r="G15" s="30">
        <f t="shared" si="23"/>
        <v>2.6388888887595385E-2</v>
      </c>
      <c r="H15" s="23" t="str">
        <f t="shared" si="24"/>
        <v>BASE RAZEL PREFECTURE - CARRIERE RAZEL NKOMETOU</v>
      </c>
      <c r="I15" s="33" t="str">
        <f>IF(F14='Données Hebdo'!A15, VLOOKUP(Feuil1!A15, 'Données Hebdo'!B:J, 8, FALSE), "")</f>
        <v/>
      </c>
      <c r="J15" s="27" t="str">
        <f t="shared" si="25"/>
        <v>07:42:52 à 08:33:52</v>
      </c>
      <c r="K15" s="27" t="str">
        <f t="shared" si="26"/>
        <v>2016-05-30 08:33:52</v>
      </c>
      <c r="L15" s="27">
        <f t="shared" si="27"/>
        <v>3.5416666665696539E-2</v>
      </c>
      <c r="M15" s="30">
        <f t="shared" si="28"/>
        <v>4.8530092593864538E-2</v>
      </c>
      <c r="N15" s="18" t="str">
        <f t="shared" si="29"/>
        <v>CARRIERE RAZEL NKOMETOU - BASE RAZEL PREFECTURE</v>
      </c>
    </row>
    <row r="16" spans="1:14" s="18" customFormat="1" ht="17.25" customHeight="1">
      <c r="A16" s="16" t="s">
        <v>90</v>
      </c>
      <c r="B16" s="17" t="s">
        <v>197</v>
      </c>
      <c r="C16" s="17" t="s">
        <v>780</v>
      </c>
      <c r="D16" s="22" t="s">
        <v>781</v>
      </c>
      <c r="E16" s="27">
        <f t="shared" si="0"/>
        <v>3.4722222262644209E-3</v>
      </c>
      <c r="F16" s="18" t="s">
        <v>40</v>
      </c>
      <c r="G16" s="30">
        <f t="shared" si="23"/>
        <v>3.5416666665696539E-2</v>
      </c>
      <c r="H16" s="23" t="str">
        <f t="shared" si="24"/>
        <v>CARRIERE RAZEL NKOMETOU - BASE RAZEL PREFECTURE</v>
      </c>
      <c r="I16" s="33" t="str">
        <f>IF(F15='Données Hebdo'!A16, VLOOKUP(Feuil1!A16, 'Données Hebdo'!B:J, 8, FALSE), "")</f>
        <v/>
      </c>
      <c r="J16" s="27" t="str">
        <f t="shared" si="25"/>
        <v>08:38:52 à 09:15:52</v>
      </c>
      <c r="K16" s="27" t="str">
        <f t="shared" si="26"/>
        <v>2016-05-30 09:15:52</v>
      </c>
      <c r="L16" s="27">
        <f t="shared" si="27"/>
        <v>2.569444444088731E-2</v>
      </c>
      <c r="M16" s="30">
        <f t="shared" si="28"/>
        <v>3.4722222262644209E-3</v>
      </c>
      <c r="N16" s="18" t="str">
        <f t="shared" si="29"/>
        <v>BASE RAZEL PREFECTURE - CARRIERE RAZEL NKOMETOU</v>
      </c>
    </row>
    <row r="17" spans="1:14" s="18" customFormat="1" ht="17.25" customHeight="1">
      <c r="A17" s="16" t="s">
        <v>90</v>
      </c>
      <c r="B17" s="17" t="s">
        <v>42</v>
      </c>
      <c r="C17" s="17" t="s">
        <v>782</v>
      </c>
      <c r="D17" s="22" t="s">
        <v>783</v>
      </c>
      <c r="E17" s="27">
        <f t="shared" si="0"/>
        <v>1.4606481483497191E-2</v>
      </c>
      <c r="F17" s="18" t="s">
        <v>40</v>
      </c>
      <c r="G17" s="30">
        <f t="shared" si="23"/>
        <v>2.569444444088731E-2</v>
      </c>
      <c r="H17" s="23" t="str">
        <f t="shared" si="24"/>
        <v>BASE RAZEL PREFECTURE - CARRIERE RAZEL NKOMETOU</v>
      </c>
      <c r="I17" s="33" t="str">
        <f>IF(F16='Données Hebdo'!A17, VLOOKUP(Feuil1!A17, 'Données Hebdo'!B:J, 8, FALSE), "")</f>
        <v/>
      </c>
      <c r="J17" s="27" t="str">
        <f t="shared" si="25"/>
        <v>09:36:54 à 11:09:26</v>
      </c>
      <c r="K17" s="27" t="str">
        <f t="shared" si="26"/>
        <v>2016-05-30 11:09:26</v>
      </c>
      <c r="L17" s="27">
        <f t="shared" si="27"/>
        <v>6.4259259255777579E-2</v>
      </c>
      <c r="M17" s="30">
        <f t="shared" si="28"/>
        <v>1.4606481483497191E-2</v>
      </c>
      <c r="N17" s="18" t="str">
        <f t="shared" si="29"/>
        <v>CARRIERE RAZEL NKOMETOU - BASE RAZEL PREFECTURE</v>
      </c>
    </row>
    <row r="18" spans="1:14" s="18" customFormat="1" ht="17.25" customHeight="1">
      <c r="A18" s="16" t="s">
        <v>90</v>
      </c>
      <c r="B18" s="17" t="s">
        <v>197</v>
      </c>
      <c r="C18" s="17" t="s">
        <v>784</v>
      </c>
      <c r="D18" s="22" t="s">
        <v>785</v>
      </c>
      <c r="E18" s="27">
        <f t="shared" si="0"/>
        <v>3.1018518566270359E-3</v>
      </c>
      <c r="F18" s="18" t="s">
        <v>40</v>
      </c>
      <c r="G18" s="30">
        <f t="shared" si="23"/>
        <v>6.4259259255777579E-2</v>
      </c>
      <c r="H18" s="23" t="str">
        <f t="shared" si="24"/>
        <v>CARRIERE RAZEL NKOMETOU - BASE RAZEL PREFECTURE</v>
      </c>
      <c r="I18" s="33" t="str">
        <f>IF(F17='Données Hebdo'!A18, VLOOKUP(Feuil1!A18, 'Données Hebdo'!B:J, 8, FALSE), "")</f>
        <v/>
      </c>
      <c r="J18" s="27" t="str">
        <f t="shared" si="25"/>
        <v>11:13:54 à 11:56:54</v>
      </c>
      <c r="K18" s="27" t="str">
        <f t="shared" si="26"/>
        <v>2016-05-30 11:56:54</v>
      </c>
      <c r="L18" s="27">
        <f t="shared" si="27"/>
        <v>2.9861111106583849E-2</v>
      </c>
      <c r="M18" s="30">
        <f t="shared" si="28"/>
        <v>3.1018518566270359E-3</v>
      </c>
      <c r="N18" s="18" t="str">
        <f t="shared" si="29"/>
        <v>BASE RAZEL PREFECTURE - CARRIERE RAZEL NKOMETOU</v>
      </c>
    </row>
    <row r="19" spans="1:14" s="18" customFormat="1" ht="17.25" customHeight="1">
      <c r="A19" s="16" t="s">
        <v>90</v>
      </c>
      <c r="B19" s="17" t="s">
        <v>42</v>
      </c>
      <c r="C19" s="17" t="s">
        <v>786</v>
      </c>
      <c r="D19" s="22" t="s">
        <v>787</v>
      </c>
      <c r="E19" s="27">
        <f t="shared" si="0"/>
        <v>5.1388888889050577E-2</v>
      </c>
      <c r="F19" s="18" t="s">
        <v>40</v>
      </c>
      <c r="G19" s="30">
        <f t="shared" si="23"/>
        <v>2.9861111106583849E-2</v>
      </c>
      <c r="H19" s="23" t="str">
        <f t="shared" si="24"/>
        <v>BASE RAZEL PREFECTURE - CARRIERE RAZEL NKOMETOU</v>
      </c>
      <c r="I19" s="33" t="str">
        <f>IF(F18='Données Hebdo'!A19, VLOOKUP(Feuil1!A19, 'Données Hebdo'!B:J, 8, FALSE), "")</f>
        <v/>
      </c>
      <c r="J19" s="27" t="str">
        <f t="shared" si="25"/>
        <v>13:10:54 à 14:15:54</v>
      </c>
      <c r="K19" s="27" t="str">
        <f t="shared" si="26"/>
        <v>2016-05-30 14:15:54</v>
      </c>
      <c r="L19" s="27">
        <f t="shared" si="27"/>
        <v>4.5138888890505768E-2</v>
      </c>
      <c r="M19" s="30">
        <f t="shared" si="28"/>
        <v>5.1388888889050577E-2</v>
      </c>
      <c r="N19" s="18" t="str">
        <f t="shared" si="29"/>
        <v>CARRIERE RAZEL NKOMETOU - BASE RAZEL PREFECTURE</v>
      </c>
    </row>
    <row r="20" spans="1:14" s="18" customFormat="1" ht="17.25" customHeight="1">
      <c r="A20" s="16" t="s">
        <v>90</v>
      </c>
      <c r="B20" s="17" t="s">
        <v>197</v>
      </c>
      <c r="C20" s="17" t="s">
        <v>788</v>
      </c>
      <c r="D20" s="22" t="s">
        <v>789</v>
      </c>
      <c r="E20" s="27">
        <f t="shared" si="0"/>
        <v>6.9444444452528842E-3</v>
      </c>
      <c r="F20" s="18" t="s">
        <v>40</v>
      </c>
      <c r="G20" s="30">
        <f t="shared" si="23"/>
        <v>4.5138888890505768E-2</v>
      </c>
      <c r="H20" s="23" t="str">
        <f t="shared" si="24"/>
        <v>CARRIERE RAZEL NKOMETOU - BASE RAZEL PREFECTURE</v>
      </c>
      <c r="I20" s="33" t="str">
        <f>IF(F19='Données Hebdo'!A20, VLOOKUP(Feuil1!A20, 'Données Hebdo'!B:J, 8, FALSE), "")</f>
        <v/>
      </c>
      <c r="J20" s="27" t="str">
        <f t="shared" si="25"/>
        <v>14:25:54 à 15:02:54</v>
      </c>
      <c r="K20" s="27" t="str">
        <f t="shared" si="26"/>
        <v>2016-05-30 15:02:54</v>
      </c>
      <c r="L20" s="27">
        <f t="shared" si="27"/>
        <v>2.569444444088731E-2</v>
      </c>
      <c r="M20" s="30">
        <f t="shared" si="28"/>
        <v>6.9444444452528842E-3</v>
      </c>
      <c r="N20" s="18" t="str">
        <f t="shared" si="29"/>
        <v>BASE RAZEL PREFECTURE - CARRIERE RAZEL NKOMETOU</v>
      </c>
    </row>
    <row r="21" spans="1:14" s="18" customFormat="1" ht="17.25" customHeight="1">
      <c r="A21" s="16" t="s">
        <v>90</v>
      </c>
      <c r="B21" s="17" t="s">
        <v>42</v>
      </c>
      <c r="C21" s="17" t="s">
        <v>790</v>
      </c>
      <c r="D21" s="22" t="s">
        <v>791</v>
      </c>
      <c r="E21" s="27">
        <f t="shared" si="0"/>
        <v>2.2222222221898846E-2</v>
      </c>
      <c r="F21" s="18" t="s">
        <v>40</v>
      </c>
      <c r="G21" s="30">
        <f t="shared" si="23"/>
        <v>2.569444444088731E-2</v>
      </c>
      <c r="H21" s="23" t="str">
        <f t="shared" si="24"/>
        <v>BASE RAZEL PREFECTURE - CARRIERE RAZEL NKOMETOU</v>
      </c>
      <c r="I21" s="33" t="str">
        <f>IF(F20='Données Hebdo'!A21, VLOOKUP(Feuil1!A21, 'Données Hebdo'!B:J, 8, FALSE), "")</f>
        <v/>
      </c>
      <c r="J21" s="27" t="str">
        <f t="shared" si="25"/>
        <v>15:34:54 à 16:46:54</v>
      </c>
      <c r="K21" s="27" t="str">
        <f t="shared" si="26"/>
        <v>2016-05-30 16:46:54</v>
      </c>
      <c r="L21" s="27">
        <f t="shared" si="27"/>
        <v>5.0000000002910383E-2</v>
      </c>
      <c r="M21" s="30">
        <f t="shared" si="28"/>
        <v>2.2222222221898846E-2</v>
      </c>
      <c r="N21" s="18" t="str">
        <f t="shared" si="29"/>
        <v>CARRIERE RAZEL NKOMETOU - BASE RAZEL PREFECTURE</v>
      </c>
    </row>
    <row r="22" spans="1:14" s="18" customFormat="1" ht="17.25" customHeight="1">
      <c r="A22" s="16" t="s">
        <v>90</v>
      </c>
      <c r="B22" s="17" t="s">
        <v>197</v>
      </c>
      <c r="C22" s="17" t="s">
        <v>792</v>
      </c>
      <c r="D22" s="22" t="s">
        <v>793</v>
      </c>
      <c r="E22" s="27">
        <f t="shared" si="0"/>
        <v>3.3333333340124227E-3</v>
      </c>
      <c r="F22" s="18" t="s">
        <v>40</v>
      </c>
      <c r="G22" s="30">
        <f t="shared" si="23"/>
        <v>5.0000000002910383E-2</v>
      </c>
      <c r="H22" s="23" t="str">
        <f t="shared" si="24"/>
        <v>CARRIERE RAZEL NKOMETOU - BASE RAZEL PREFECTURE</v>
      </c>
      <c r="I22" s="33" t="str">
        <f>IF(F21='Données Hebdo'!A22, VLOOKUP(Feuil1!A22, 'Données Hebdo'!B:J, 8, FALSE), "")</f>
        <v/>
      </c>
      <c r="J22" s="27" t="str">
        <f t="shared" si="25"/>
        <v>16:51:42 à 17:31:54</v>
      </c>
      <c r="K22" s="27" t="str">
        <f t="shared" si="26"/>
        <v>2016-05-30 17:31:54</v>
      </c>
      <c r="L22" s="27">
        <f t="shared" si="27"/>
        <v>2.7916666665987577E-2</v>
      </c>
      <c r="M22" s="30">
        <f t="shared" si="28"/>
        <v>3.3333333340124227E-3</v>
      </c>
      <c r="N22" s="18" t="str">
        <f t="shared" si="29"/>
        <v>BASE RAZEL PREFECTURE - CARRIERE RAZEL NKOMETOU</v>
      </c>
    </row>
    <row r="23" spans="1:14" s="18" customFormat="1" ht="17.25" customHeight="1">
      <c r="A23" s="16" t="s">
        <v>90</v>
      </c>
      <c r="B23" s="17" t="s">
        <v>42</v>
      </c>
      <c r="C23" s="17" t="s">
        <v>794</v>
      </c>
      <c r="D23" s="22" t="s">
        <v>795</v>
      </c>
      <c r="E23" s="27">
        <f t="shared" si="0"/>
        <v>0.59686342592613073</v>
      </c>
      <c r="F23" s="18" t="s">
        <v>40</v>
      </c>
      <c r="G23" s="30">
        <f t="shared" si="23"/>
        <v>2.7916666665987577E-2</v>
      </c>
      <c r="H23" s="23" t="str">
        <f t="shared" si="24"/>
        <v>BASE RAZEL PREFECTURE - CARRIERE RAZEL NKOMETOU</v>
      </c>
      <c r="I23" s="33" t="str">
        <f>IF(F22='Données Hebdo'!A23, VLOOKUP(Feuil1!A23, 'Données Hebdo'!B:J, 8, FALSE), "")</f>
        <v/>
      </c>
      <c r="J23" s="27" t="str">
        <f t="shared" si="25"/>
        <v/>
      </c>
      <c r="K23" s="27" t="str">
        <f t="shared" si="26"/>
        <v/>
      </c>
      <c r="L23" s="27" t="str">
        <f t="shared" si="27"/>
        <v/>
      </c>
      <c r="M23" s="30" t="str">
        <f t="shared" si="28"/>
        <v/>
      </c>
      <c r="N23" s="18" t="str">
        <f t="shared" si="29"/>
        <v/>
      </c>
    </row>
    <row r="24" spans="1:14" s="18" customFormat="1" ht="17.25" customHeight="1">
      <c r="A24" s="16" t="s">
        <v>91</v>
      </c>
      <c r="B24" s="17" t="s">
        <v>796</v>
      </c>
      <c r="C24" s="17" t="s">
        <v>797</v>
      </c>
      <c r="D24" s="22" t="s">
        <v>798</v>
      </c>
      <c r="E24" s="27">
        <f t="shared" si="0"/>
        <v>5.0972222226846498E-2</v>
      </c>
      <c r="F24" s="18" t="s">
        <v>40</v>
      </c>
      <c r="G24" s="30" t="str">
        <f t="shared" si="23"/>
        <v/>
      </c>
      <c r="H24" s="23" t="str">
        <f t="shared" si="24"/>
        <v/>
      </c>
      <c r="I24" s="33" t="str">
        <f>IF(F23='Données Hebdo'!A24, VLOOKUP(Feuil1!A24, 'Données Hebdo'!B:J, 8, FALSE), "")</f>
        <v>03:24:50</v>
      </c>
      <c r="J24" s="27" t="str">
        <f t="shared" si="25"/>
        <v>07:42:47 à 08:35:47</v>
      </c>
      <c r="K24" s="27" t="str">
        <f t="shared" si="26"/>
        <v>2016-05-30 08:35:47</v>
      </c>
      <c r="L24" s="27">
        <f t="shared" si="27"/>
        <v>3.6805555551836733E-2</v>
      </c>
      <c r="M24" s="30">
        <f t="shared" si="28"/>
        <v>5.0972222226846498E-2</v>
      </c>
      <c r="N24" s="18" t="str">
        <f t="shared" si="29"/>
        <v>CARRIERE RAZEL LOGBADJECK - DEPOT RAZEL YASSA</v>
      </c>
    </row>
    <row r="25" spans="1:14" s="18" customFormat="1" ht="17.25" customHeight="1">
      <c r="A25" s="16" t="s">
        <v>91</v>
      </c>
      <c r="B25" s="17" t="s">
        <v>56</v>
      </c>
      <c r="C25" s="17" t="s">
        <v>799</v>
      </c>
      <c r="D25" s="22" t="s">
        <v>800</v>
      </c>
      <c r="E25" s="27">
        <f t="shared" si="0"/>
        <v>6.2500000058207661E-3</v>
      </c>
      <c r="F25" s="18" t="s">
        <v>40</v>
      </c>
      <c r="G25" s="30">
        <f t="shared" si="23"/>
        <v>3.6805555551836733E-2</v>
      </c>
      <c r="H25" s="23" t="str">
        <f t="shared" si="24"/>
        <v>CARRIERE RAZEL LOGBADJECK - DEPOT RAZEL YASSA</v>
      </c>
      <c r="I25" s="33" t="str">
        <f>IF(F24='Données Hebdo'!A25, VLOOKUP(Feuil1!A25, 'Données Hebdo'!B:J, 8, FALSE), "")</f>
        <v>03:24:50</v>
      </c>
      <c r="J25" s="27" t="str">
        <f t="shared" si="25"/>
        <v>08:44:47 à 10:19:47</v>
      </c>
      <c r="K25" s="27" t="str">
        <f t="shared" si="26"/>
        <v>2016-05-30 10:19:47</v>
      </c>
      <c r="L25" s="27">
        <f t="shared" si="27"/>
        <v>6.5972222218988463E-2</v>
      </c>
      <c r="M25" s="30">
        <f t="shared" si="28"/>
        <v>6.2500000058207661E-3</v>
      </c>
      <c r="N25" s="18" t="str">
        <f t="shared" si="29"/>
        <v>DEPOT RAZEL YASSA - CARRIERE RAZEL LOGBADJECK</v>
      </c>
    </row>
    <row r="26" spans="1:14" s="18" customFormat="1" ht="17.25" customHeight="1">
      <c r="A26" s="16" t="s">
        <v>91</v>
      </c>
      <c r="B26" s="17" t="s">
        <v>796</v>
      </c>
      <c r="C26" s="17" t="s">
        <v>801</v>
      </c>
      <c r="D26" s="22" t="s">
        <v>802</v>
      </c>
      <c r="E26" s="27">
        <f t="shared" si="0"/>
        <v>5.2106481482042E-2</v>
      </c>
      <c r="F26" s="18" t="s">
        <v>40</v>
      </c>
      <c r="G26" s="30">
        <f t="shared" si="23"/>
        <v>6.5972222218988463E-2</v>
      </c>
      <c r="H26" s="23" t="str">
        <f t="shared" si="24"/>
        <v>DEPOT RAZEL YASSA - CARRIERE RAZEL LOGBADJECK</v>
      </c>
      <c r="I26" s="33" t="str">
        <f>IF(F25='Données Hebdo'!A26, VLOOKUP(Feuil1!A26, 'Données Hebdo'!B:J, 8, FALSE), "")</f>
        <v>03:24:50</v>
      </c>
      <c r="J26" s="27" t="str">
        <f t="shared" si="25"/>
        <v>11:34:49 à 12:27:49</v>
      </c>
      <c r="K26" s="27" t="str">
        <f t="shared" si="26"/>
        <v>2016-05-30 12:27:49</v>
      </c>
      <c r="L26" s="27">
        <f t="shared" si="27"/>
        <v>3.6805555551836733E-2</v>
      </c>
      <c r="M26" s="30">
        <f t="shared" si="28"/>
        <v>5.2106481482042E-2</v>
      </c>
      <c r="N26" s="18" t="str">
        <f t="shared" si="29"/>
        <v>CARRIERE RAZEL LOGBADJECK - DEPOT RAZEL YASSA</v>
      </c>
    </row>
    <row r="27" spans="1:14" s="18" customFormat="1" ht="17.25" customHeight="1">
      <c r="A27" s="16" t="s">
        <v>91</v>
      </c>
      <c r="B27" s="17" t="s">
        <v>56</v>
      </c>
      <c r="C27" s="17" t="s">
        <v>803</v>
      </c>
      <c r="D27" s="22" t="s">
        <v>804</v>
      </c>
      <c r="E27" s="27">
        <f t="shared" si="0"/>
        <v>1.3194444443797693E-2</v>
      </c>
      <c r="F27" s="18" t="s">
        <v>40</v>
      </c>
      <c r="G27" s="30">
        <f t="shared" si="23"/>
        <v>3.6805555551836733E-2</v>
      </c>
      <c r="H27" s="23" t="str">
        <f t="shared" si="24"/>
        <v>CARRIERE RAZEL LOGBADJECK - DEPOT RAZEL YASSA</v>
      </c>
      <c r="I27" s="33" t="str">
        <f>IF(F26='Données Hebdo'!A27, VLOOKUP(Feuil1!A27, 'Données Hebdo'!B:J, 8, FALSE), "")</f>
        <v>03:24:50</v>
      </c>
      <c r="J27" s="27" t="str">
        <f t="shared" si="25"/>
        <v>12:46:49 à 14:39:49</v>
      </c>
      <c r="K27" s="27" t="str">
        <f t="shared" si="26"/>
        <v>2016-05-30 14:39:49</v>
      </c>
      <c r="L27" s="27">
        <f t="shared" si="27"/>
        <v>7.8472222223354038E-2</v>
      </c>
      <c r="M27" s="30">
        <f t="shared" si="28"/>
        <v>1.3194444443797693E-2</v>
      </c>
      <c r="N27" s="18" t="str">
        <f t="shared" si="29"/>
        <v>DEPOT RAZEL YASSA - CARRIERE RAZEL LOGBADJECK</v>
      </c>
    </row>
    <row r="28" spans="1:14" s="18" customFormat="1" ht="17.25" customHeight="1">
      <c r="A28" s="16" t="s">
        <v>91</v>
      </c>
      <c r="B28" s="17" t="s">
        <v>796</v>
      </c>
      <c r="C28" s="17" t="s">
        <v>805</v>
      </c>
      <c r="D28" s="22" t="s">
        <v>806</v>
      </c>
      <c r="E28" s="27">
        <f t="shared" si="0"/>
        <v>3.6111111112404615E-2</v>
      </c>
      <c r="F28" s="18" t="s">
        <v>40</v>
      </c>
      <c r="G28" s="30">
        <f t="shared" si="23"/>
        <v>7.8472222223354038E-2</v>
      </c>
      <c r="H28" s="23" t="str">
        <f t="shared" si="24"/>
        <v>DEPOT RAZEL YASSA - CARRIERE RAZEL LOGBADJECK</v>
      </c>
      <c r="I28" s="33" t="str">
        <f>IF(F27='Données Hebdo'!A28, VLOOKUP(Feuil1!A28, 'Données Hebdo'!B:J, 8, FALSE), "")</f>
        <v>03:24:50</v>
      </c>
      <c r="J28" s="27" t="str">
        <f t="shared" si="25"/>
        <v>15:31:49 à 16:24:49</v>
      </c>
      <c r="K28" s="27" t="str">
        <f t="shared" si="26"/>
        <v>2016-05-30 16:24:49</v>
      </c>
      <c r="L28" s="27">
        <f t="shared" si="27"/>
        <v>3.680555555911269E-2</v>
      </c>
      <c r="M28" s="30">
        <f t="shared" si="28"/>
        <v>3.6111111112404615E-2</v>
      </c>
      <c r="N28" s="18" t="str">
        <f t="shared" si="29"/>
        <v>CARRIERE RAZEL LOGBADJECK - DEPOT RAZEL YASSA</v>
      </c>
    </row>
    <row r="29" spans="1:14" s="18" customFormat="1" ht="17.25" customHeight="1">
      <c r="A29" s="16" t="s">
        <v>91</v>
      </c>
      <c r="B29" s="17" t="s">
        <v>56</v>
      </c>
      <c r="C29" s="17" t="s">
        <v>807</v>
      </c>
      <c r="D29" s="22" t="s">
        <v>808</v>
      </c>
      <c r="E29" s="27">
        <f t="shared" si="0"/>
        <v>4.166666665696539E-3</v>
      </c>
      <c r="F29" s="18" t="s">
        <v>40</v>
      </c>
      <c r="G29" s="30">
        <f t="shared" si="23"/>
        <v>3.680555555911269E-2</v>
      </c>
      <c r="H29" s="23" t="str">
        <f t="shared" si="24"/>
        <v>CARRIERE RAZEL LOGBADJECK - DEPOT RAZEL YASSA</v>
      </c>
      <c r="I29" s="33" t="str">
        <f>IF(F28='Données Hebdo'!A29, VLOOKUP(Feuil1!A29, 'Données Hebdo'!B:J, 8, FALSE), "")</f>
        <v>03:24:50</v>
      </c>
      <c r="J29" s="27" t="str">
        <f t="shared" si="25"/>
        <v>16:30:49 à 17:32:49</v>
      </c>
      <c r="K29" s="27" t="str">
        <f t="shared" si="26"/>
        <v>2016-05-30 17:32:49</v>
      </c>
      <c r="L29" s="27">
        <f t="shared" si="27"/>
        <v>4.3055555550381541E-2</v>
      </c>
      <c r="M29" s="30">
        <f t="shared" si="28"/>
        <v>4.166666665696539E-3</v>
      </c>
      <c r="N29" s="18" t="str">
        <f t="shared" si="29"/>
        <v>DEPOT RAZEL YASSA - CARRIERE RAZEL LOGBADJECK</v>
      </c>
    </row>
    <row r="30" spans="1:14" s="18" customFormat="1" ht="17.25" customHeight="1">
      <c r="A30" s="16" t="s">
        <v>91</v>
      </c>
      <c r="B30" s="17" t="s">
        <v>796</v>
      </c>
      <c r="C30" s="17" t="s">
        <v>809</v>
      </c>
      <c r="D30" s="22" t="s">
        <v>810</v>
      </c>
      <c r="E30" s="27">
        <f t="shared" si="0"/>
        <v>0.57755787037604023</v>
      </c>
      <c r="F30" s="18" t="s">
        <v>40</v>
      </c>
      <c r="G30" s="30">
        <f t="shared" si="23"/>
        <v>4.3055555550381541E-2</v>
      </c>
      <c r="H30" s="23" t="str">
        <f t="shared" si="24"/>
        <v>DEPOT RAZEL YASSA - CARRIERE RAZEL LOGBADJECK</v>
      </c>
      <c r="I30" s="33" t="str">
        <f>IF(F29='Données Hebdo'!A30, VLOOKUP(Feuil1!A30, 'Données Hebdo'!B:J, 8, FALSE), "")</f>
        <v>03:24:50</v>
      </c>
      <c r="J30" s="27" t="str">
        <f t="shared" si="25"/>
        <v/>
      </c>
      <c r="K30" s="27" t="str">
        <f t="shared" si="26"/>
        <v/>
      </c>
      <c r="L30" s="27" t="str">
        <f t="shared" si="27"/>
        <v/>
      </c>
      <c r="M30" s="30" t="str">
        <f t="shared" si="28"/>
        <v/>
      </c>
      <c r="N30" s="18" t="str">
        <f t="shared" si="29"/>
        <v/>
      </c>
    </row>
    <row r="31" spans="1:14" s="18" customFormat="1" ht="17.25" customHeight="1">
      <c r="A31" s="16" t="s">
        <v>748</v>
      </c>
      <c r="B31" s="17" t="s">
        <v>42</v>
      </c>
      <c r="C31" s="17" t="s">
        <v>811</v>
      </c>
      <c r="D31" s="22" t="s">
        <v>812</v>
      </c>
      <c r="E31" s="27">
        <f t="shared" si="0"/>
        <v>3.662037036701804E-2</v>
      </c>
      <c r="F31" s="18" t="s">
        <v>40</v>
      </c>
      <c r="G31" s="30" t="str">
        <f t="shared" si="23"/>
        <v/>
      </c>
      <c r="H31" s="23" t="str">
        <f t="shared" si="24"/>
        <v/>
      </c>
      <c r="I31" s="33" t="str">
        <f>IF(F30='Données Hebdo'!A31, VLOOKUP(Feuil1!A31, 'Données Hebdo'!B:J, 8, FALSE), "")</f>
        <v/>
      </c>
      <c r="J31" s="27" t="str">
        <f t="shared" si="25"/>
        <v>08:45:25 à 10:10:25</v>
      </c>
      <c r="K31" s="27" t="str">
        <f t="shared" si="26"/>
        <v>2016-05-30 10:10:25</v>
      </c>
      <c r="L31" s="27">
        <f t="shared" si="27"/>
        <v>5.9027777781011537E-2</v>
      </c>
      <c r="M31" s="30">
        <f t="shared" si="28"/>
        <v>3.662037036701804E-2</v>
      </c>
      <c r="N31" s="18" t="str">
        <f t="shared" si="29"/>
        <v>CARRIERE RAZEL NKOMETOU - BASE RAZEL PADY 2</v>
      </c>
    </row>
    <row r="32" spans="1:14" s="18" customFormat="1" ht="17.25" customHeight="1">
      <c r="A32" s="16" t="s">
        <v>748</v>
      </c>
      <c r="B32" s="17" t="s">
        <v>813</v>
      </c>
      <c r="C32" s="17" t="s">
        <v>814</v>
      </c>
      <c r="D32" s="22" t="s">
        <v>815</v>
      </c>
      <c r="E32" s="27">
        <f t="shared" si="0"/>
        <v>1.4386574075615499E-2</v>
      </c>
      <c r="F32" s="18" t="s">
        <v>40</v>
      </c>
      <c r="G32" s="30">
        <f t="shared" si="23"/>
        <v>5.9027777781011537E-2</v>
      </c>
      <c r="H32" s="23" t="str">
        <f t="shared" si="24"/>
        <v>CARRIERE RAZEL NKOMETOU - BASE RAZEL PADY 2</v>
      </c>
      <c r="I32" s="33" t="str">
        <f>IF(F31='Données Hebdo'!A32, VLOOKUP(Feuil1!A32, 'Données Hebdo'!B:J, 8, FALSE), "")</f>
        <v/>
      </c>
      <c r="J32" s="27" t="str">
        <f t="shared" si="25"/>
        <v>10:31:08 à 11:42:56</v>
      </c>
      <c r="K32" s="27" t="str">
        <f t="shared" si="26"/>
        <v>2016-05-30 11:42:56</v>
      </c>
      <c r="L32" s="27">
        <f t="shared" si="27"/>
        <v>4.9861111110658385E-2</v>
      </c>
      <c r="M32" s="30">
        <f t="shared" si="28"/>
        <v>1.4386574075615499E-2</v>
      </c>
      <c r="N32" s="18" t="str">
        <f t="shared" si="29"/>
        <v>BASE RAZEL PADY 2 - CARRIERE RAZEL NKOMETOU</v>
      </c>
    </row>
    <row r="33" spans="1:14" s="18" customFormat="1" ht="17.25" customHeight="1">
      <c r="A33" s="16" t="s">
        <v>748</v>
      </c>
      <c r="B33" s="17" t="s">
        <v>42</v>
      </c>
      <c r="C33" s="17" t="s">
        <v>816</v>
      </c>
      <c r="D33" s="22" t="s">
        <v>817</v>
      </c>
      <c r="E33" s="27">
        <f t="shared" si="0"/>
        <v>3.8391203699575271E-2</v>
      </c>
      <c r="F33" s="18" t="s">
        <v>40</v>
      </c>
      <c r="G33" s="30">
        <f t="shared" si="23"/>
        <v>4.9861111110658385E-2</v>
      </c>
      <c r="H33" s="23" t="str">
        <f t="shared" si="24"/>
        <v>BASE RAZEL PADY 2 - CARRIERE RAZEL NKOMETOU</v>
      </c>
      <c r="I33" s="33" t="str">
        <f>IF(F32='Données Hebdo'!A33, VLOOKUP(Feuil1!A33, 'Données Hebdo'!B:J, 8, FALSE), "")</f>
        <v/>
      </c>
      <c r="J33" s="27" t="str">
        <f t="shared" si="25"/>
        <v>12:38:13 à 13:49:13</v>
      </c>
      <c r="K33" s="27" t="str">
        <f t="shared" si="26"/>
        <v>2016-05-30 13:49:13</v>
      </c>
      <c r="L33" s="27">
        <f t="shared" si="27"/>
        <v>4.9305555556202307E-2</v>
      </c>
      <c r="M33" s="30">
        <f t="shared" si="28"/>
        <v>3.8391203699575271E-2</v>
      </c>
      <c r="N33" s="18" t="str">
        <f t="shared" si="29"/>
        <v>CARRIERE RAZEL NKOMETOU - BASE RAZEL PADY 2</v>
      </c>
    </row>
    <row r="34" spans="1:14" s="18" customFormat="1" ht="17.25" customHeight="1">
      <c r="A34" s="16" t="s">
        <v>748</v>
      </c>
      <c r="B34" s="17" t="s">
        <v>813</v>
      </c>
      <c r="C34" s="17" t="s">
        <v>818</v>
      </c>
      <c r="D34" s="22" t="s">
        <v>819</v>
      </c>
      <c r="E34" s="27">
        <f t="shared" si="0"/>
        <v>6.944444467080757E-4</v>
      </c>
      <c r="F34" s="18" t="s">
        <v>40</v>
      </c>
      <c r="G34" s="30">
        <f t="shared" si="23"/>
        <v>4.9305555556202307E-2</v>
      </c>
      <c r="H34" s="23" t="str">
        <f t="shared" si="24"/>
        <v>CARRIERE RAZEL NKOMETOU - BASE RAZEL PADY 2</v>
      </c>
      <c r="I34" s="33" t="str">
        <f>IF(F33='Données Hebdo'!A34, VLOOKUP(Feuil1!A34, 'Données Hebdo'!B:J, 8, FALSE), "")</f>
        <v/>
      </c>
      <c r="J34" s="27" t="str">
        <f t="shared" ref="J34:J36" si="30">IF(A34=A35, RIGHT(D34, 8)&amp;" à "&amp;RIGHT(C35, 8), "")</f>
        <v>13:50:13 à 14:56:13</v>
      </c>
      <c r="K34" s="27" t="str">
        <f t="shared" ref="K34:K36" si="31">IF(A34=A35, C35, "")</f>
        <v>2016-05-30 14:56:13</v>
      </c>
      <c r="L34" s="27">
        <f t="shared" ref="L34:L36" si="32">IF(A34=A35, G35, "")</f>
        <v>4.5833333329937886E-2</v>
      </c>
      <c r="M34" s="30">
        <f t="shared" ref="M34:M36" si="33">IF(A34=A35, E34, "")</f>
        <v>6.944444467080757E-4</v>
      </c>
      <c r="N34" s="18" t="str">
        <f t="shared" ref="N34:N36" si="34">IF(A34=A35, H35, "")</f>
        <v>BASE RAZEL PADY 2 - CARRIERE RAZEL NKOMETOU</v>
      </c>
    </row>
    <row r="35" spans="1:14" s="18" customFormat="1" ht="17.25" customHeight="1">
      <c r="A35" s="16" t="s">
        <v>748</v>
      </c>
      <c r="B35" s="17" t="s">
        <v>42</v>
      </c>
      <c r="C35" s="17" t="s">
        <v>820</v>
      </c>
      <c r="D35" s="22" t="s">
        <v>821</v>
      </c>
      <c r="E35" s="27">
        <f>IFERROR(D35-C35, "")</f>
        <v>2.5000000001455192E-2</v>
      </c>
      <c r="F35" s="18" t="s">
        <v>40</v>
      </c>
      <c r="G35" s="30">
        <f>IF(A35=A34, C35-D34, "")</f>
        <v>4.5833333329937886E-2</v>
      </c>
      <c r="H35" s="23" t="str">
        <f t="shared" ref="H35:H36" si="35">IF(A35=A34, B34&amp;" - "&amp;B35, "")</f>
        <v>BASE RAZEL PADY 2 - CARRIERE RAZEL NKOMETOU</v>
      </c>
      <c r="I35" s="33" t="str">
        <f>IF(F34='Données Hebdo'!A35, VLOOKUP(Feuil1!A35, 'Données Hebdo'!B:J, 8, FALSE), "")</f>
        <v/>
      </c>
      <c r="J35" s="27" t="str">
        <f t="shared" si="30"/>
        <v>15:32:13 à 08:08:51</v>
      </c>
      <c r="K35" s="27" t="str">
        <f t="shared" si="31"/>
        <v>2016-05-31 08:08:51</v>
      </c>
      <c r="L35" s="27">
        <f t="shared" si="32"/>
        <v>0.69210648148145992</v>
      </c>
      <c r="M35" s="30">
        <f t="shared" si="33"/>
        <v>2.5000000001455192E-2</v>
      </c>
      <c r="N35" s="18" t="str">
        <f t="shared" si="34"/>
        <v>CARRIERE RAZEL NKOMETOU - BASE RAZEL PADY 2</v>
      </c>
    </row>
    <row r="36" spans="1:14" s="18" customFormat="1" ht="17.25" customHeight="1">
      <c r="A36" s="16" t="s">
        <v>748</v>
      </c>
      <c r="B36" s="17" t="s">
        <v>813</v>
      </c>
      <c r="C36" s="17" t="s">
        <v>874</v>
      </c>
      <c r="D36" s="22" t="s">
        <v>875</v>
      </c>
      <c r="E36" s="27">
        <f>IFERROR(D36-C36, "")</f>
        <v>0.32046296296175569</v>
      </c>
      <c r="F36" s="18" t="s">
        <v>97</v>
      </c>
      <c r="G36" s="30">
        <f>IF(A36=A35, C36-D35, "")</f>
        <v>0.69210648148145992</v>
      </c>
      <c r="H36" s="23" t="str">
        <f t="shared" si="35"/>
        <v>CARRIERE RAZEL NKOMETOU - BASE RAZEL PADY 2</v>
      </c>
      <c r="I36" s="33" t="str">
        <f>IF(F35='Données Hebdo'!A36, VLOOKUP(Feuil1!A36, 'Données Hebdo'!B:J, 8, FALSE), "")</f>
        <v/>
      </c>
      <c r="J36" s="27" t="str">
        <f t="shared" si="30"/>
        <v/>
      </c>
      <c r="K36" s="27" t="str">
        <f t="shared" si="31"/>
        <v/>
      </c>
      <c r="L36" s="27" t="str">
        <f t="shared" si="32"/>
        <v/>
      </c>
      <c r="M36" s="30" t="str">
        <f t="shared" si="33"/>
        <v/>
      </c>
      <c r="N36" s="18" t="str">
        <f t="shared" si="34"/>
        <v/>
      </c>
    </row>
    <row r="37" spans="1:14" s="18" customFormat="1" ht="17.25" customHeight="1">
      <c r="A37" s="16" t="s">
        <v>750</v>
      </c>
      <c r="B37" s="17" t="s">
        <v>42</v>
      </c>
      <c r="C37" s="17" t="s">
        <v>822</v>
      </c>
      <c r="D37" s="22" t="s">
        <v>823</v>
      </c>
      <c r="E37" s="27">
        <f t="shared" si="0"/>
        <v>2.9861111113859806E-2</v>
      </c>
      <c r="F37" s="18" t="s">
        <v>40</v>
      </c>
      <c r="G37" s="30" t="str">
        <f t="shared" ref="G37:G38" si="36">IF(A37=A36, C37-D36, "")</f>
        <v/>
      </c>
      <c r="H37" s="23" t="str">
        <f t="shared" ref="H37:H38" si="37">IF(A37=A36, B36&amp;" - "&amp;B37, "")</f>
        <v/>
      </c>
      <c r="I37" s="33">
        <f>IF(F36='Données Hebdo'!A37, VLOOKUP(Feuil1!A37, 'Données Hebdo'!B:J, 8, FALSE), "")</f>
        <v>0</v>
      </c>
      <c r="J37" s="27" t="str">
        <f t="shared" ref="J37" si="38">IF(A37=A38, RIGHT(D37, 8)&amp;" à "&amp;RIGHT(C38, 8), "")</f>
        <v>09:52:27 à 11:32:27</v>
      </c>
      <c r="K37" s="27" t="str">
        <f t="shared" ref="K37" si="39">IF(A37=A38, C38, "")</f>
        <v>2016-05-30 11:32:27</v>
      </c>
      <c r="L37" s="27">
        <f t="shared" ref="L37" si="40">IF(A37=A38, G38, "")</f>
        <v>6.9444444445252884E-2</v>
      </c>
      <c r="M37" s="30">
        <f t="shared" ref="M37" si="41">IF(A37=A38, E37, "")</f>
        <v>2.9861111113859806E-2</v>
      </c>
      <c r="N37" s="18" t="str">
        <f t="shared" ref="N37" si="42">IF(A37=A38, H38, "")</f>
        <v>CARRIERE RAZEL NKOMETOU - BASE RAZEL PADY 2</v>
      </c>
    </row>
    <row r="38" spans="1:14" s="18" customFormat="1" ht="17.25" customHeight="1">
      <c r="A38" s="16" t="s">
        <v>750</v>
      </c>
      <c r="B38" s="17" t="s">
        <v>813</v>
      </c>
      <c r="C38" s="17" t="s">
        <v>824</v>
      </c>
      <c r="D38" s="22" t="s">
        <v>825</v>
      </c>
      <c r="E38" s="27">
        <f t="shared" si="0"/>
        <v>7.0833333302289248E-3</v>
      </c>
      <c r="F38" s="18" t="s">
        <v>40</v>
      </c>
      <c r="G38" s="30">
        <f t="shared" si="36"/>
        <v>6.9444444445252884E-2</v>
      </c>
      <c r="H38" s="23" t="str">
        <f t="shared" si="37"/>
        <v>CARRIERE RAZEL NKOMETOU - BASE RAZEL PADY 2</v>
      </c>
      <c r="I38" s="33" t="str">
        <f>IF(F37='Données Hebdo'!A37, VLOOKUP(Feuil1!A38, 'Données Hebdo'!B:J, 8, FALSE), "")</f>
        <v/>
      </c>
      <c r="J38" s="27" t="str">
        <f t="shared" si="25"/>
        <v>11:42:39 à 12:50:41</v>
      </c>
      <c r="K38" s="27" t="str">
        <f t="shared" si="26"/>
        <v>2016-05-30 12:50:41</v>
      </c>
      <c r="L38" s="27">
        <f t="shared" si="27"/>
        <v>4.7245370369637385E-2</v>
      </c>
      <c r="M38" s="30">
        <f t="shared" si="28"/>
        <v>7.0833333302289248E-3</v>
      </c>
      <c r="N38" s="18" t="str">
        <f t="shared" si="29"/>
        <v>BASE RAZEL PADY 2 - CARRIERE RAZEL NKOMETOU</v>
      </c>
    </row>
    <row r="39" spans="1:14" s="18" customFormat="1" ht="17.25" customHeight="1">
      <c r="A39" s="16" t="s">
        <v>750</v>
      </c>
      <c r="B39" s="17" t="s">
        <v>42</v>
      </c>
      <c r="C39" s="17" t="s">
        <v>826</v>
      </c>
      <c r="D39" s="22" t="s">
        <v>827</v>
      </c>
      <c r="E39" s="27">
        <f t="shared" si="0"/>
        <v>3.3333333332848269E-2</v>
      </c>
      <c r="F39" s="18" t="s">
        <v>40</v>
      </c>
      <c r="G39" s="30">
        <f t="shared" si="23"/>
        <v>4.7245370369637385E-2</v>
      </c>
      <c r="H39" s="23" t="str">
        <f t="shared" si="24"/>
        <v>BASE RAZEL PADY 2 - CARRIERE RAZEL NKOMETOU</v>
      </c>
      <c r="I39" s="33" t="str">
        <f>IF(F38='Données Hebdo'!A38, VLOOKUP(Feuil1!A39, 'Données Hebdo'!B:J, 8, FALSE), "")</f>
        <v/>
      </c>
      <c r="J39" s="27" t="str">
        <f t="shared" si="25"/>
        <v>13:38:41 à 15:41:41</v>
      </c>
      <c r="K39" s="27" t="str">
        <f t="shared" si="26"/>
        <v>2016-05-30 15:41:41</v>
      </c>
      <c r="L39" s="27">
        <f t="shared" si="27"/>
        <v>8.5416666668606922E-2</v>
      </c>
      <c r="M39" s="30">
        <f t="shared" si="28"/>
        <v>3.3333333332848269E-2</v>
      </c>
      <c r="N39" s="18" t="str">
        <f t="shared" si="29"/>
        <v>CARRIERE RAZEL NKOMETOU - CARRIERE RAZEL NKOMETOU</v>
      </c>
    </row>
    <row r="40" spans="1:14" s="18" customFormat="1" ht="17.25" customHeight="1">
      <c r="A40" s="16" t="s">
        <v>750</v>
      </c>
      <c r="B40" s="17" t="s">
        <v>42</v>
      </c>
      <c r="C40" s="17" t="s">
        <v>828</v>
      </c>
      <c r="D40" s="22" t="s">
        <v>829</v>
      </c>
      <c r="E40" s="27">
        <f t="shared" si="0"/>
        <v>3.2638888886140194E-2</v>
      </c>
      <c r="F40" s="18" t="s">
        <v>40</v>
      </c>
      <c r="G40" s="30">
        <f t="shared" si="23"/>
        <v>8.5416666668606922E-2</v>
      </c>
      <c r="H40" s="23" t="str">
        <f t="shared" si="24"/>
        <v>CARRIERE RAZEL NKOMETOU - CARRIERE RAZEL NKOMETOU</v>
      </c>
      <c r="I40" s="33" t="str">
        <f>IF(F39='Données Hebdo'!A39, VLOOKUP(Feuil1!A40, 'Données Hebdo'!B:J, 8, FALSE), "")</f>
        <v/>
      </c>
      <c r="J40" s="27" t="str">
        <f t="shared" si="25"/>
        <v/>
      </c>
      <c r="K40" s="27" t="str">
        <f t="shared" si="26"/>
        <v/>
      </c>
      <c r="L40" s="27" t="str">
        <f t="shared" si="27"/>
        <v/>
      </c>
      <c r="M40" s="30" t="str">
        <f t="shared" si="28"/>
        <v/>
      </c>
      <c r="N40" s="18" t="str">
        <f t="shared" si="29"/>
        <v/>
      </c>
    </row>
    <row r="41" spans="1:14" s="18" customFormat="1" ht="17.25" customHeight="1">
      <c r="A41" s="16" t="s">
        <v>749</v>
      </c>
      <c r="B41" s="17" t="s">
        <v>813</v>
      </c>
      <c r="C41" s="17" t="s">
        <v>830</v>
      </c>
      <c r="D41" s="22" t="s">
        <v>831</v>
      </c>
      <c r="E41" s="27">
        <f t="shared" si="0"/>
        <v>1.1782407404098194E-2</v>
      </c>
      <c r="F41" s="18" t="s">
        <v>40</v>
      </c>
      <c r="G41" s="30" t="str">
        <f t="shared" si="23"/>
        <v/>
      </c>
      <c r="H41" s="23" t="str">
        <f t="shared" si="24"/>
        <v/>
      </c>
      <c r="I41" s="33" t="str">
        <f>IF(F40='Données Hebdo'!A40, VLOOKUP(Feuil1!A41, 'Données Hebdo'!B:J, 8, FALSE), "")</f>
        <v/>
      </c>
      <c r="J41" s="27" t="str">
        <f t="shared" si="25"/>
        <v>07:20:56 à 08:14:56</v>
      </c>
      <c r="K41" s="27" t="str">
        <f t="shared" si="26"/>
        <v>2016-05-30 08:14:56</v>
      </c>
      <c r="L41" s="27">
        <f t="shared" si="27"/>
        <v>3.7499999998544808E-2</v>
      </c>
      <c r="M41" s="30">
        <f t="shared" si="28"/>
        <v>1.1782407404098194E-2</v>
      </c>
      <c r="N41" s="18" t="str">
        <f t="shared" si="29"/>
        <v>BASE RAZEL PADY 2 - CARRIERE RAZEL NKOMETOU</v>
      </c>
    </row>
    <row r="42" spans="1:14" s="18" customFormat="1" ht="17.25" customHeight="1">
      <c r="A42" s="16" t="s">
        <v>749</v>
      </c>
      <c r="B42" s="17" t="s">
        <v>42</v>
      </c>
      <c r="C42" s="17" t="s">
        <v>832</v>
      </c>
      <c r="D42" s="22" t="s">
        <v>833</v>
      </c>
      <c r="E42" s="27">
        <f t="shared" si="0"/>
        <v>2.0879629635601304E-2</v>
      </c>
      <c r="F42" s="18" t="s">
        <v>40</v>
      </c>
      <c r="G42" s="30">
        <f t="shared" si="23"/>
        <v>3.7499999998544808E-2</v>
      </c>
      <c r="H42" s="23" t="str">
        <f t="shared" si="24"/>
        <v>BASE RAZEL PADY 2 - CARRIERE RAZEL NKOMETOU</v>
      </c>
      <c r="I42" s="33" t="str">
        <f>IF(F41='Données Hebdo'!A41, VLOOKUP(Feuil1!A42, 'Données Hebdo'!B:J, 8, FALSE), "")</f>
        <v/>
      </c>
      <c r="J42" s="27" t="str">
        <f t="shared" si="25"/>
        <v>08:45:00 à 10:04:00</v>
      </c>
      <c r="K42" s="27" t="str">
        <f t="shared" si="26"/>
        <v>2016-05-30 10:04:00</v>
      </c>
      <c r="L42" s="27">
        <f t="shared" si="27"/>
        <v>5.486111110803904E-2</v>
      </c>
      <c r="M42" s="30">
        <f t="shared" si="28"/>
        <v>2.0879629635601304E-2</v>
      </c>
      <c r="N42" s="18" t="str">
        <f t="shared" si="29"/>
        <v>CARRIERE RAZEL NKOMETOU - BASE RAZEL PADY 2</v>
      </c>
    </row>
    <row r="43" spans="1:14" s="18" customFormat="1" ht="17.25" customHeight="1">
      <c r="A43" s="16" t="s">
        <v>749</v>
      </c>
      <c r="B43" s="17" t="s">
        <v>813</v>
      </c>
      <c r="C43" s="17" t="s">
        <v>834</v>
      </c>
      <c r="D43" s="22" t="s">
        <v>835</v>
      </c>
      <c r="E43" s="27">
        <f t="shared" si="0"/>
        <v>0.29046296296291985</v>
      </c>
      <c r="F43" s="18" t="s">
        <v>40</v>
      </c>
      <c r="G43" s="30">
        <f t="shared" si="23"/>
        <v>5.486111110803904E-2</v>
      </c>
      <c r="H43" s="23" t="str">
        <f t="shared" si="24"/>
        <v>CARRIERE RAZEL NKOMETOU - BASE RAZEL PADY 2</v>
      </c>
      <c r="I43" s="33" t="str">
        <f>IF(F42='Données Hebdo'!A42, VLOOKUP(Feuil1!A43, 'Données Hebdo'!B:J, 8, FALSE), "")</f>
        <v/>
      </c>
      <c r="J43" s="27" t="str">
        <f t="shared" si="25"/>
        <v/>
      </c>
      <c r="K43" s="27" t="str">
        <f t="shared" si="26"/>
        <v/>
      </c>
      <c r="L43" s="27" t="str">
        <f t="shared" si="27"/>
        <v/>
      </c>
      <c r="M43" s="30" t="str">
        <f t="shared" si="28"/>
        <v/>
      </c>
      <c r="N43" s="18" t="str">
        <f t="shared" si="29"/>
        <v/>
      </c>
    </row>
    <row r="44" spans="1:14" s="18" customFormat="1" ht="17.25" customHeight="1">
      <c r="A44" s="16" t="s">
        <v>744</v>
      </c>
      <c r="B44" s="17" t="s">
        <v>745</v>
      </c>
      <c r="C44" s="17" t="s">
        <v>836</v>
      </c>
      <c r="D44" s="22" t="s">
        <v>837</v>
      </c>
      <c r="E44" s="27">
        <f t="shared" si="0"/>
        <v>0.55282407407503342</v>
      </c>
      <c r="F44" s="18" t="s">
        <v>40</v>
      </c>
      <c r="G44" s="30" t="str">
        <f t="shared" si="23"/>
        <v/>
      </c>
      <c r="H44" s="23" t="str">
        <f t="shared" si="24"/>
        <v/>
      </c>
      <c r="I44" s="33" t="str">
        <f>IF(F43='Données Hebdo'!A43, VLOOKUP(Feuil1!A44, 'Données Hebdo'!B:J, 8, FALSE), "")</f>
        <v/>
      </c>
      <c r="J44" s="27" t="str">
        <f t="shared" si="25"/>
        <v/>
      </c>
      <c r="K44" s="27" t="str">
        <f t="shared" si="26"/>
        <v/>
      </c>
      <c r="L44" s="27" t="str">
        <f t="shared" si="27"/>
        <v/>
      </c>
      <c r="M44" s="30" t="str">
        <f t="shared" si="28"/>
        <v/>
      </c>
      <c r="N44" s="18" t="str">
        <f t="shared" si="29"/>
        <v/>
      </c>
    </row>
    <row r="45" spans="1:14" s="18" customFormat="1" ht="17.25" customHeight="1">
      <c r="A45" s="16" t="s">
        <v>746</v>
      </c>
      <c r="B45" s="17" t="s">
        <v>745</v>
      </c>
      <c r="C45" s="17" t="s">
        <v>838</v>
      </c>
      <c r="D45" s="22" t="s">
        <v>839</v>
      </c>
      <c r="E45" s="27">
        <f t="shared" si="0"/>
        <v>0.5702893518464407</v>
      </c>
      <c r="F45" s="18" t="s">
        <v>40</v>
      </c>
      <c r="G45" s="30" t="str">
        <f t="shared" si="23"/>
        <v/>
      </c>
      <c r="H45" s="23" t="str">
        <f t="shared" si="24"/>
        <v/>
      </c>
      <c r="I45" s="33" t="str">
        <f>IF(F44='Données Hebdo'!A44, VLOOKUP(Feuil1!A45, 'Données Hebdo'!B:J, 8, FALSE), "")</f>
        <v/>
      </c>
      <c r="J45" s="27" t="str">
        <f t="shared" si="25"/>
        <v/>
      </c>
      <c r="K45" s="27" t="str">
        <f t="shared" si="26"/>
        <v/>
      </c>
      <c r="L45" s="27" t="str">
        <f t="shared" si="27"/>
        <v/>
      </c>
      <c r="M45" s="30" t="str">
        <f t="shared" si="28"/>
        <v/>
      </c>
      <c r="N45" s="18" t="str">
        <f t="shared" si="29"/>
        <v/>
      </c>
    </row>
    <row r="46" spans="1:14" s="18" customFormat="1" ht="17.25" customHeight="1">
      <c r="A46" s="16" t="s">
        <v>747</v>
      </c>
      <c r="B46" s="17" t="s">
        <v>745</v>
      </c>
      <c r="C46" s="17" t="s">
        <v>840</v>
      </c>
      <c r="D46" s="22" t="s">
        <v>841</v>
      </c>
      <c r="E46" s="27">
        <f t="shared" si="0"/>
        <v>0.62548611111560604</v>
      </c>
      <c r="F46" s="18" t="s">
        <v>40</v>
      </c>
      <c r="G46" s="30" t="str">
        <f t="shared" si="23"/>
        <v/>
      </c>
      <c r="H46" s="23" t="str">
        <f t="shared" si="24"/>
        <v/>
      </c>
      <c r="I46" s="33" t="str">
        <f>IF(F45='Données Hebdo'!A45, VLOOKUP(Feuil1!A46, 'Données Hebdo'!B:J, 8, FALSE), "")</f>
        <v/>
      </c>
      <c r="J46" s="27" t="str">
        <f t="shared" si="25"/>
        <v/>
      </c>
      <c r="K46" s="27" t="str">
        <f t="shared" si="26"/>
        <v/>
      </c>
      <c r="L46" s="27" t="str">
        <f t="shared" si="27"/>
        <v/>
      </c>
      <c r="M46" s="30" t="str">
        <f t="shared" si="28"/>
        <v/>
      </c>
      <c r="N46" s="18" t="str">
        <f t="shared" si="29"/>
        <v/>
      </c>
    </row>
    <row r="47" spans="1:14" s="18" customFormat="1" ht="17.25" customHeight="1">
      <c r="A47" s="16" t="s">
        <v>727</v>
      </c>
      <c r="B47" s="17" t="s">
        <v>761</v>
      </c>
      <c r="C47" s="17" t="s">
        <v>842</v>
      </c>
      <c r="D47" s="22" t="s">
        <v>843</v>
      </c>
      <c r="E47" s="27">
        <f t="shared" si="0"/>
        <v>1.3888888861401938E-3</v>
      </c>
      <c r="F47" s="18" t="s">
        <v>40</v>
      </c>
      <c r="G47" s="30" t="str">
        <f t="shared" si="23"/>
        <v/>
      </c>
      <c r="H47" s="23" t="str">
        <f t="shared" si="24"/>
        <v/>
      </c>
      <c r="I47" s="33" t="str">
        <f>IF(F46='Données Hebdo'!A46, VLOOKUP(Feuil1!A47, 'Données Hebdo'!B:J, 8, FALSE), "")</f>
        <v/>
      </c>
      <c r="J47" s="27" t="str">
        <f t="shared" si="25"/>
        <v>08:53:59 à 12:13:58</v>
      </c>
      <c r="K47" s="27" t="str">
        <f t="shared" si="26"/>
        <v>2016-05-31 12:13:58</v>
      </c>
      <c r="L47" s="27">
        <f t="shared" si="27"/>
        <v>0.13887731481372612</v>
      </c>
      <c r="M47" s="30">
        <f t="shared" si="28"/>
        <v>1.3888888861401938E-3</v>
      </c>
      <c r="N47" s="18" t="str">
        <f t="shared" si="29"/>
        <v>CARRIERE RAZEL BAGANGTE - CARRIERE RAZEL BAGANGTE</v>
      </c>
    </row>
    <row r="48" spans="1:14" s="18" customFormat="1" ht="17.25" customHeight="1">
      <c r="A48" s="16" t="s">
        <v>727</v>
      </c>
      <c r="B48" s="17" t="s">
        <v>761</v>
      </c>
      <c r="C48" s="17" t="s">
        <v>844</v>
      </c>
      <c r="D48" s="22" t="s">
        <v>845</v>
      </c>
      <c r="E48" s="27">
        <f t="shared" si="0"/>
        <v>1.0416666671517305E-2</v>
      </c>
      <c r="F48" s="18" t="s">
        <v>40</v>
      </c>
      <c r="G48" s="30">
        <f t="shared" si="23"/>
        <v>0.13887731481372612</v>
      </c>
      <c r="H48" s="23" t="str">
        <f t="shared" si="24"/>
        <v>CARRIERE RAZEL BAGANGTE - CARRIERE RAZEL BAGANGTE</v>
      </c>
      <c r="I48" s="33" t="str">
        <f>IF(F47='Données Hebdo'!A47, VLOOKUP(Feuil1!A48, 'Données Hebdo'!B:J, 8, FALSE), "")</f>
        <v/>
      </c>
      <c r="J48" s="27" t="str">
        <f t="shared" si="25"/>
        <v>12:28:58 à 13:23:58</v>
      </c>
      <c r="K48" s="27" t="str">
        <f t="shared" si="26"/>
        <v>2016-05-31 13:23:58</v>
      </c>
      <c r="L48" s="27">
        <f t="shared" si="27"/>
        <v>3.8194444445252884E-2</v>
      </c>
      <c r="M48" s="30">
        <f t="shared" si="28"/>
        <v>1.0416666671517305E-2</v>
      </c>
      <c r="N48" s="18" t="str">
        <f t="shared" si="29"/>
        <v>CARRIERE RAZEL BAGANGTE - BASE RAZEL BAGANGTE</v>
      </c>
    </row>
    <row r="49" spans="1:14" s="18" customFormat="1" ht="17.25" customHeight="1">
      <c r="A49" s="16" t="s">
        <v>727</v>
      </c>
      <c r="B49" s="17" t="s">
        <v>745</v>
      </c>
      <c r="C49" s="17" t="s">
        <v>846</v>
      </c>
      <c r="D49" s="22" t="s">
        <v>847</v>
      </c>
      <c r="E49" s="27">
        <f t="shared" si="0"/>
        <v>0.12581018518540077</v>
      </c>
      <c r="F49" s="18" t="s">
        <v>40</v>
      </c>
      <c r="G49" s="30">
        <f t="shared" si="23"/>
        <v>3.8194444445252884E-2</v>
      </c>
      <c r="H49" s="23" t="str">
        <f t="shared" si="24"/>
        <v>CARRIERE RAZEL BAGANGTE - BASE RAZEL BAGANGTE</v>
      </c>
      <c r="I49" s="33" t="str">
        <f>IF(F48='Données Hebdo'!A48, VLOOKUP(Feuil1!A49, 'Données Hebdo'!B:J, 8, FALSE), "")</f>
        <v/>
      </c>
      <c r="J49" s="27" t="str">
        <f t="shared" si="25"/>
        <v>16:25:08 à 17:10:58</v>
      </c>
      <c r="K49" s="27" t="str">
        <f t="shared" si="26"/>
        <v>2016-05-31 17:10:58</v>
      </c>
      <c r="L49" s="27">
        <f t="shared" si="27"/>
        <v>3.1828703700739425E-2</v>
      </c>
      <c r="M49" s="30">
        <f t="shared" si="28"/>
        <v>0.12581018518540077</v>
      </c>
      <c r="N49" s="18" t="str">
        <f t="shared" si="29"/>
        <v>BASE RAZEL BAGANGTE - BASE RAZEL BAGANGTE</v>
      </c>
    </row>
    <row r="50" spans="1:14" s="18" customFormat="1" ht="17.25" customHeight="1">
      <c r="A50" s="16" t="s">
        <v>727</v>
      </c>
      <c r="B50" s="17" t="s">
        <v>745</v>
      </c>
      <c r="C50" s="17" t="s">
        <v>848</v>
      </c>
      <c r="D50" s="22" t="s">
        <v>849</v>
      </c>
      <c r="E50" s="27">
        <f t="shared" si="0"/>
        <v>0.63206018518394558</v>
      </c>
      <c r="F50" s="18" t="s">
        <v>40</v>
      </c>
      <c r="G50" s="30">
        <f t="shared" si="23"/>
        <v>3.1828703700739425E-2</v>
      </c>
      <c r="H50" s="23" t="str">
        <f t="shared" si="24"/>
        <v>BASE RAZEL BAGANGTE - BASE RAZEL BAGANGTE</v>
      </c>
      <c r="I50" s="33" t="str">
        <f>IF(F49='Données Hebdo'!A49, VLOOKUP(Feuil1!A50, 'Données Hebdo'!B:J, 8, FALSE), "")</f>
        <v/>
      </c>
      <c r="J50" s="27" t="str">
        <f t="shared" si="25"/>
        <v/>
      </c>
      <c r="K50" s="27" t="str">
        <f t="shared" si="26"/>
        <v/>
      </c>
      <c r="L50" s="27" t="str">
        <f t="shared" si="27"/>
        <v/>
      </c>
      <c r="M50" s="30" t="str">
        <f t="shared" si="28"/>
        <v/>
      </c>
      <c r="N50" s="18" t="str">
        <f t="shared" si="29"/>
        <v/>
      </c>
    </row>
    <row r="51" spans="1:14" s="18" customFormat="1" ht="17.25" customHeight="1">
      <c r="A51" s="16" t="s">
        <v>77</v>
      </c>
      <c r="B51" s="17" t="s">
        <v>813</v>
      </c>
      <c r="C51" s="17" t="s">
        <v>850</v>
      </c>
      <c r="D51" s="22" t="s">
        <v>851</v>
      </c>
      <c r="E51" s="27">
        <f t="shared" si="0"/>
        <v>1.3888888934161514E-3</v>
      </c>
      <c r="F51" s="18" t="s">
        <v>40</v>
      </c>
      <c r="G51" s="30" t="str">
        <f t="shared" si="23"/>
        <v/>
      </c>
      <c r="H51" s="23" t="str">
        <f t="shared" si="24"/>
        <v/>
      </c>
      <c r="I51" s="33" t="str">
        <f>IF(F50='Données Hebdo'!A50, VLOOKUP(Feuil1!A51, 'Données Hebdo'!B:J, 8, FALSE), "")</f>
        <v/>
      </c>
      <c r="J51" s="27" t="str">
        <f t="shared" si="25"/>
        <v>07:21:30 à 08:32:30</v>
      </c>
      <c r="K51" s="27" t="str">
        <f t="shared" si="26"/>
        <v>2016-05-31 08:32:30</v>
      </c>
      <c r="L51" s="27">
        <f t="shared" si="27"/>
        <v>4.9305555556202307E-2</v>
      </c>
      <c r="M51" s="30">
        <f t="shared" si="28"/>
        <v>1.3888888934161514E-3</v>
      </c>
      <c r="N51" s="18" t="str">
        <f t="shared" si="29"/>
        <v>BASE RAZEL PADY 2 - CARRIERE RAZEL NKOMETOU</v>
      </c>
    </row>
    <row r="52" spans="1:14" s="18" customFormat="1" ht="17.25" customHeight="1">
      <c r="A52" s="16" t="s">
        <v>77</v>
      </c>
      <c r="B52" s="17" t="s">
        <v>42</v>
      </c>
      <c r="C52" s="17" t="s">
        <v>852</v>
      </c>
      <c r="D52" s="22" t="s">
        <v>853</v>
      </c>
      <c r="E52" s="27">
        <f t="shared" si="0"/>
        <v>4.4444444443797693E-2</v>
      </c>
      <c r="F52" s="18" t="s">
        <v>40</v>
      </c>
      <c r="G52" s="30">
        <f t="shared" si="23"/>
        <v>4.9305555556202307E-2</v>
      </c>
      <c r="H52" s="23" t="str">
        <f t="shared" si="24"/>
        <v>BASE RAZEL PADY 2 - CARRIERE RAZEL NKOMETOU</v>
      </c>
      <c r="I52" s="33" t="str">
        <f>IF(F51='Données Hebdo'!A51, VLOOKUP(Feuil1!A52, 'Données Hebdo'!B:J, 8, FALSE), "")</f>
        <v/>
      </c>
      <c r="J52" s="27" t="str">
        <f t="shared" si="25"/>
        <v>09:36:30 à 10:57:31</v>
      </c>
      <c r="K52" s="27" t="str">
        <f t="shared" si="26"/>
        <v>2016-05-31 10:57:31</v>
      </c>
      <c r="L52" s="27">
        <f t="shared" si="27"/>
        <v>5.6261574070958886E-2</v>
      </c>
      <c r="M52" s="30">
        <f t="shared" si="28"/>
        <v>4.4444444443797693E-2</v>
      </c>
      <c r="N52" s="18" t="str">
        <f t="shared" si="29"/>
        <v>CARRIERE RAZEL NKOMETOU - BASE RAZEL PADY 2</v>
      </c>
    </row>
    <row r="53" spans="1:14" s="18" customFormat="1" ht="17.25" customHeight="1">
      <c r="A53" s="16" t="s">
        <v>77</v>
      </c>
      <c r="B53" s="17" t="s">
        <v>813</v>
      </c>
      <c r="C53" s="17" t="s">
        <v>854</v>
      </c>
      <c r="D53" s="22" t="s">
        <v>855</v>
      </c>
      <c r="E53" s="27">
        <f t="shared" si="0"/>
        <v>6.944444467080757E-4</v>
      </c>
      <c r="F53" s="18" t="s">
        <v>40</v>
      </c>
      <c r="G53" s="30">
        <f t="shared" si="23"/>
        <v>5.6261574070958886E-2</v>
      </c>
      <c r="H53" s="23" t="str">
        <f t="shared" si="24"/>
        <v>CARRIERE RAZEL NKOMETOU - BASE RAZEL PADY 2</v>
      </c>
      <c r="I53" s="33" t="str">
        <f>IF(F52='Données Hebdo'!A52, VLOOKUP(Feuil1!A53, 'Données Hebdo'!B:J, 8, FALSE), "")</f>
        <v/>
      </c>
      <c r="J53" s="27" t="str">
        <f t="shared" si="25"/>
        <v/>
      </c>
      <c r="K53" s="27" t="str">
        <f t="shared" si="26"/>
        <v/>
      </c>
      <c r="L53" s="27" t="str">
        <f t="shared" si="27"/>
        <v/>
      </c>
      <c r="M53" s="30" t="str">
        <f t="shared" si="28"/>
        <v/>
      </c>
      <c r="N53" s="18" t="str">
        <f t="shared" si="29"/>
        <v/>
      </c>
    </row>
    <row r="54" spans="1:14" s="18" customFormat="1" ht="17.25" customHeight="1">
      <c r="A54" s="16" t="s">
        <v>90</v>
      </c>
      <c r="B54" s="17" t="s">
        <v>197</v>
      </c>
      <c r="C54" s="17" t="s">
        <v>856</v>
      </c>
      <c r="D54" s="22" t="s">
        <v>857</v>
      </c>
      <c r="E54" s="27">
        <f t="shared" si="0"/>
        <v>3.4722222189884633E-3</v>
      </c>
      <c r="F54" s="18" t="s">
        <v>40</v>
      </c>
      <c r="G54" s="30" t="str">
        <f t="shared" si="23"/>
        <v/>
      </c>
      <c r="H54" s="23" t="str">
        <f t="shared" si="24"/>
        <v/>
      </c>
      <c r="I54" s="33" t="str">
        <f>IF(F53='Données Hebdo'!A53, VLOOKUP(Feuil1!A54, 'Données Hebdo'!B:J, 8, FALSE), "")</f>
        <v/>
      </c>
      <c r="J54" s="27" t="str">
        <f t="shared" si="25"/>
        <v>08:49:24 à 09:35:24</v>
      </c>
      <c r="K54" s="27" t="str">
        <f t="shared" si="26"/>
        <v>2016-05-31 09:35:24</v>
      </c>
      <c r="L54" s="27">
        <f t="shared" si="27"/>
        <v>3.1944444446708076E-2</v>
      </c>
      <c r="M54" s="30">
        <f t="shared" si="28"/>
        <v>3.4722222189884633E-3</v>
      </c>
      <c r="N54" s="18" t="str">
        <f t="shared" si="29"/>
        <v>BASE RAZEL PREFECTURE - CARRIERE RAZEL NKOMETOU</v>
      </c>
    </row>
    <row r="55" spans="1:14" s="18" customFormat="1" ht="17.25" customHeight="1">
      <c r="A55" s="16" t="s">
        <v>90</v>
      </c>
      <c r="B55" s="17" t="s">
        <v>42</v>
      </c>
      <c r="C55" s="17" t="s">
        <v>858</v>
      </c>
      <c r="D55" s="22" t="s">
        <v>859</v>
      </c>
      <c r="E55" s="27">
        <f t="shared" si="0"/>
        <v>2.0138888889050577E-2</v>
      </c>
      <c r="F55" s="18" t="s">
        <v>40</v>
      </c>
      <c r="G55" s="30">
        <f t="shared" si="23"/>
        <v>3.1944444446708076E-2</v>
      </c>
      <c r="H55" s="23" t="str">
        <f t="shared" si="24"/>
        <v>BASE RAZEL PREFECTURE - CARRIERE RAZEL NKOMETOU</v>
      </c>
      <c r="I55" s="33" t="str">
        <f>IF(F54='Données Hebdo'!A54, VLOOKUP(Feuil1!A55, 'Données Hebdo'!B:J, 8, FALSE), "")</f>
        <v/>
      </c>
      <c r="J55" s="27" t="str">
        <f t="shared" si="25"/>
        <v>10:04:24 à 11:06:24</v>
      </c>
      <c r="K55" s="27" t="str">
        <f t="shared" si="26"/>
        <v>2016-05-31 11:06:24</v>
      </c>
      <c r="L55" s="27">
        <f t="shared" si="27"/>
        <v>4.3055555557657499E-2</v>
      </c>
      <c r="M55" s="30">
        <f t="shared" si="28"/>
        <v>2.0138888889050577E-2</v>
      </c>
      <c r="N55" s="18" t="str">
        <f t="shared" si="29"/>
        <v>CARRIERE RAZEL NKOMETOU - BASE RAZEL PREFECTURE</v>
      </c>
    </row>
    <row r="56" spans="1:14" s="18" customFormat="1" ht="17.25" customHeight="1">
      <c r="A56" s="16" t="s">
        <v>90</v>
      </c>
      <c r="B56" s="17" t="s">
        <v>197</v>
      </c>
      <c r="C56" s="17" t="s">
        <v>860</v>
      </c>
      <c r="D56" s="22" t="s">
        <v>861</v>
      </c>
      <c r="E56" s="27">
        <f t="shared" si="0"/>
        <v>4.8611111124046147E-3</v>
      </c>
      <c r="F56" s="18" t="s">
        <v>40</v>
      </c>
      <c r="G56" s="30">
        <f t="shared" si="23"/>
        <v>4.3055555557657499E-2</v>
      </c>
      <c r="H56" s="23" t="str">
        <f t="shared" si="24"/>
        <v>CARRIERE RAZEL NKOMETOU - BASE RAZEL PREFECTURE</v>
      </c>
      <c r="I56" s="33" t="str">
        <f>IF(F55='Données Hebdo'!A55, VLOOKUP(Feuil1!A56, 'Données Hebdo'!B:J, 8, FALSE), "")</f>
        <v/>
      </c>
      <c r="J56" s="27" t="str">
        <f t="shared" si="25"/>
        <v>11:13:24 à 11:51:24</v>
      </c>
      <c r="K56" s="27" t="str">
        <f t="shared" si="26"/>
        <v>2016-05-31 11:51:24</v>
      </c>
      <c r="L56" s="27">
        <f t="shared" si="27"/>
        <v>2.6388888887595385E-2</v>
      </c>
      <c r="M56" s="30">
        <f t="shared" si="28"/>
        <v>4.8611111124046147E-3</v>
      </c>
      <c r="N56" s="18" t="str">
        <f t="shared" si="29"/>
        <v>BASE RAZEL PREFECTURE - CARRIERE RAZEL NKOMETOU</v>
      </c>
    </row>
    <row r="57" spans="1:14" s="18" customFormat="1" ht="17.25" customHeight="1">
      <c r="A57" s="16" t="s">
        <v>90</v>
      </c>
      <c r="B57" s="17" t="s">
        <v>42</v>
      </c>
      <c r="C57" s="17" t="s">
        <v>862</v>
      </c>
      <c r="D57" s="22" t="s">
        <v>863</v>
      </c>
      <c r="E57" s="27">
        <f t="shared" si="0"/>
        <v>7.9270833331975155E-2</v>
      </c>
      <c r="F57" s="18" t="s">
        <v>40</v>
      </c>
      <c r="G57" s="30">
        <f t="shared" si="23"/>
        <v>2.6388888887595385E-2</v>
      </c>
      <c r="H57" s="23" t="str">
        <f t="shared" si="24"/>
        <v>BASE RAZEL PREFECTURE - CARRIERE RAZEL NKOMETOU</v>
      </c>
      <c r="I57" s="33" t="str">
        <f>IF(F56='Données Hebdo'!A56, VLOOKUP(Feuil1!A57, 'Données Hebdo'!B:J, 8, FALSE), "")</f>
        <v/>
      </c>
      <c r="J57" s="27" t="str">
        <f t="shared" si="25"/>
        <v>13:45:33 à 18:31:33</v>
      </c>
      <c r="K57" s="27" t="str">
        <f t="shared" si="26"/>
        <v>2016-05-31 18:31:33</v>
      </c>
      <c r="L57" s="27">
        <f t="shared" si="27"/>
        <v>0.19861111111094942</v>
      </c>
      <c r="M57" s="30">
        <f t="shared" si="28"/>
        <v>7.9270833331975155E-2</v>
      </c>
      <c r="N57" s="18" t="str">
        <f t="shared" si="29"/>
        <v>CARRIERE RAZEL NKOMETOU - BASE RAZEL PREFECTURE</v>
      </c>
    </row>
    <row r="58" spans="1:14" s="18" customFormat="1" ht="17.25" customHeight="1">
      <c r="A58" s="16" t="s">
        <v>90</v>
      </c>
      <c r="B58" s="17" t="s">
        <v>197</v>
      </c>
      <c r="C58" s="17" t="s">
        <v>864</v>
      </c>
      <c r="D58" s="22" t="s">
        <v>865</v>
      </c>
      <c r="E58" s="27">
        <f t="shared" si="0"/>
        <v>0.49965277777664596</v>
      </c>
      <c r="F58" s="18" t="s">
        <v>40</v>
      </c>
      <c r="G58" s="30">
        <f t="shared" si="23"/>
        <v>0.19861111111094942</v>
      </c>
      <c r="H58" s="23" t="str">
        <f t="shared" si="24"/>
        <v>CARRIERE RAZEL NKOMETOU - BASE RAZEL PREFECTURE</v>
      </c>
      <c r="I58" s="33" t="str">
        <f>IF(F57='Données Hebdo'!A57, VLOOKUP(Feuil1!A58, 'Données Hebdo'!B:J, 8, FALSE), "")</f>
        <v/>
      </c>
      <c r="J58" s="27" t="str">
        <f t="shared" si="25"/>
        <v/>
      </c>
      <c r="K58" s="27" t="str">
        <f t="shared" si="26"/>
        <v/>
      </c>
      <c r="L58" s="27" t="str">
        <f t="shared" si="27"/>
        <v/>
      </c>
      <c r="M58" s="30" t="str">
        <f t="shared" si="28"/>
        <v/>
      </c>
      <c r="N58" s="18" t="str">
        <f t="shared" si="29"/>
        <v/>
      </c>
    </row>
    <row r="59" spans="1:14" s="18" customFormat="1" ht="17.25" customHeight="1">
      <c r="A59" s="16" t="s">
        <v>91</v>
      </c>
      <c r="B59" s="17" t="s">
        <v>56</v>
      </c>
      <c r="C59" s="17" t="s">
        <v>866</v>
      </c>
      <c r="D59" s="22" t="s">
        <v>867</v>
      </c>
      <c r="E59" s="27">
        <f t="shared" si="0"/>
        <v>6.9444444379769266E-3</v>
      </c>
      <c r="F59" s="18" t="s">
        <v>40</v>
      </c>
      <c r="G59" s="30" t="str">
        <f t="shared" si="23"/>
        <v/>
      </c>
      <c r="H59" s="23" t="str">
        <f t="shared" si="24"/>
        <v/>
      </c>
      <c r="I59" s="33" t="str">
        <f>IF(F58='Données Hebdo'!A58, VLOOKUP(Feuil1!A59, 'Données Hebdo'!B:J, 8, FALSE), "")</f>
        <v/>
      </c>
      <c r="J59" s="27" t="str">
        <f t="shared" si="25"/>
        <v>08:26:30 à 09:29:30</v>
      </c>
      <c r="K59" s="27" t="str">
        <f t="shared" si="26"/>
        <v>2016-05-31 09:29:30</v>
      </c>
      <c r="L59" s="27">
        <f t="shared" si="27"/>
        <v>4.3750000004365575E-2</v>
      </c>
      <c r="M59" s="30">
        <f t="shared" si="28"/>
        <v>6.9444444379769266E-3</v>
      </c>
      <c r="N59" s="18" t="str">
        <f t="shared" si="29"/>
        <v>DEPOT RAZEL YASSA - CARRIERE RAZEL LOGBADJECK</v>
      </c>
    </row>
    <row r="60" spans="1:14" s="18" customFormat="1" ht="17.25" customHeight="1">
      <c r="A60" s="16" t="s">
        <v>91</v>
      </c>
      <c r="B60" s="17" t="s">
        <v>796</v>
      </c>
      <c r="C60" s="17" t="s">
        <v>868</v>
      </c>
      <c r="D60" s="22" t="s">
        <v>869</v>
      </c>
      <c r="E60" s="27">
        <f t="shared" si="0"/>
        <v>3.7499999998544808E-2</v>
      </c>
      <c r="F60" s="18" t="s">
        <v>40</v>
      </c>
      <c r="G60" s="30">
        <f t="shared" si="23"/>
        <v>4.3750000004365575E-2</v>
      </c>
      <c r="H60" s="23" t="str">
        <f t="shared" si="24"/>
        <v>DEPOT RAZEL YASSA - CARRIERE RAZEL LOGBADJECK</v>
      </c>
      <c r="I60" s="33" t="str">
        <f>IF(F59='Données Hebdo'!A59, VLOOKUP(Feuil1!A60, 'Données Hebdo'!B:J, 8, FALSE), "")</f>
        <v/>
      </c>
      <c r="J60" s="27" t="str">
        <f t="shared" si="25"/>
        <v>10:23:30 à 16:34:30</v>
      </c>
      <c r="K60" s="27" t="str">
        <f t="shared" si="26"/>
        <v>2016-05-31 16:34:30</v>
      </c>
      <c r="L60" s="27">
        <f t="shared" si="27"/>
        <v>0.25763888889196096</v>
      </c>
      <c r="M60" s="30">
        <f t="shared" si="28"/>
        <v>3.7499999998544808E-2</v>
      </c>
      <c r="N60" s="18" t="str">
        <f t="shared" si="29"/>
        <v>CARRIERE RAZEL LOGBADJECK - CARRIERE RAZEL LOGBADJECK</v>
      </c>
    </row>
    <row r="61" spans="1:14" s="18" customFormat="1" ht="17.25" customHeight="1">
      <c r="A61" s="16" t="s">
        <v>91</v>
      </c>
      <c r="B61" s="17" t="s">
        <v>796</v>
      </c>
      <c r="C61" s="17" t="s">
        <v>870</v>
      </c>
      <c r="D61" s="22" t="s">
        <v>871</v>
      </c>
      <c r="E61" s="27">
        <f t="shared" si="0"/>
        <v>2.7777777773735579E-2</v>
      </c>
      <c r="F61" s="18" t="s">
        <v>40</v>
      </c>
      <c r="G61" s="30">
        <f t="shared" si="23"/>
        <v>0.25763888889196096</v>
      </c>
      <c r="H61" s="23" t="str">
        <f t="shared" si="24"/>
        <v>CARRIERE RAZEL LOGBADJECK - CARRIERE RAZEL LOGBADJECK</v>
      </c>
      <c r="I61" s="33" t="str">
        <f>IF(F60='Données Hebdo'!A60, VLOOKUP(Feuil1!A61, 'Données Hebdo'!B:J, 8, FALSE), "")</f>
        <v/>
      </c>
      <c r="J61" s="27" t="str">
        <f t="shared" si="25"/>
        <v>17:14:30 à 18:12:30</v>
      </c>
      <c r="K61" s="27" t="str">
        <f t="shared" si="26"/>
        <v>2016-05-31 18:12:30</v>
      </c>
      <c r="L61" s="27">
        <f t="shared" si="27"/>
        <v>4.0277777778101154E-2</v>
      </c>
      <c r="M61" s="30">
        <f t="shared" si="28"/>
        <v>2.7777777773735579E-2</v>
      </c>
      <c r="N61" s="18" t="str">
        <f t="shared" si="29"/>
        <v>CARRIERE RAZEL LOGBADJECK - DEPOT RAZEL YASSA</v>
      </c>
    </row>
    <row r="62" spans="1:14" s="18" customFormat="1" ht="17.25" customHeight="1">
      <c r="A62" s="16" t="s">
        <v>91</v>
      </c>
      <c r="B62" s="17" t="s">
        <v>56</v>
      </c>
      <c r="C62" s="17" t="s">
        <v>872</v>
      </c>
      <c r="D62" s="22" t="s">
        <v>873</v>
      </c>
      <c r="E62" s="27">
        <f t="shared" si="0"/>
        <v>0.47811342592467554</v>
      </c>
      <c r="F62" s="18" t="s">
        <v>40</v>
      </c>
      <c r="G62" s="30">
        <f t="shared" si="23"/>
        <v>4.0277777778101154E-2</v>
      </c>
      <c r="H62" s="23" t="str">
        <f t="shared" si="24"/>
        <v>CARRIERE RAZEL LOGBADJECK - DEPOT RAZEL YASSA</v>
      </c>
      <c r="I62" s="33" t="str">
        <f>IF(F61='Données Hebdo'!A61, VLOOKUP(Feuil1!A62, 'Données Hebdo'!B:J, 8, FALSE), "")</f>
        <v/>
      </c>
      <c r="J62" s="27" t="str">
        <f>IF(A62=A36, RIGHT(D62, 8)&amp;" à "&amp;RIGHT(C36, 8), "")</f>
        <v/>
      </c>
      <c r="K62" s="27" t="str">
        <f>IF(A62=A36, C36, "")</f>
        <v/>
      </c>
      <c r="L62" s="27" t="str">
        <f>IF(A62=A36, G36, "")</f>
        <v/>
      </c>
      <c r="M62" s="30" t="str">
        <f>IF(A62=A36, E62, "")</f>
        <v/>
      </c>
      <c r="N62" s="18" t="str">
        <f>IF(A62=A36, H36, "")</f>
        <v/>
      </c>
    </row>
    <row r="63" spans="1:14" s="18" customFormat="1" ht="17.25" customHeight="1">
      <c r="A63" s="16" t="s">
        <v>750</v>
      </c>
      <c r="B63" s="17" t="s">
        <v>42</v>
      </c>
      <c r="C63" s="17" t="s">
        <v>876</v>
      </c>
      <c r="D63" s="22" t="s">
        <v>877</v>
      </c>
      <c r="E63" s="27">
        <f t="shared" si="0"/>
        <v>2.9861111106583849E-2</v>
      </c>
      <c r="F63" s="18" t="s">
        <v>40</v>
      </c>
      <c r="G63" s="30" t="str">
        <f>IF(A63=A36, C63-D36, "")</f>
        <v/>
      </c>
      <c r="H63" s="23" t="str">
        <f>IF(A63=A36, B36&amp;" - "&amp;B63, "")</f>
        <v/>
      </c>
      <c r="I63" s="33" t="str">
        <f>IF(F36='Données Hebdo'!A63, VLOOKUP(Feuil1!A63, 'Données Hebdo'!B:J, 8, FALSE), "")</f>
        <v/>
      </c>
      <c r="J63" s="27" t="str">
        <f t="shared" si="25"/>
        <v/>
      </c>
      <c r="K63" s="27" t="str">
        <f t="shared" si="26"/>
        <v/>
      </c>
      <c r="L63" s="27" t="str">
        <f t="shared" si="27"/>
        <v/>
      </c>
      <c r="M63" s="30" t="str">
        <f t="shared" si="28"/>
        <v/>
      </c>
      <c r="N63" s="18" t="str">
        <f t="shared" si="29"/>
        <v/>
      </c>
    </row>
    <row r="64" spans="1:14" s="18" customFormat="1" ht="17.25" customHeight="1">
      <c r="A64" s="16" t="s">
        <v>749</v>
      </c>
      <c r="B64" s="17" t="s">
        <v>52</v>
      </c>
      <c r="C64" s="17" t="s">
        <v>878</v>
      </c>
      <c r="D64" s="22" t="s">
        <v>879</v>
      </c>
      <c r="E64" s="27">
        <f t="shared" si="0"/>
        <v>4.166666665696539E-3</v>
      </c>
      <c r="F64" s="18" t="s">
        <v>40</v>
      </c>
      <c r="G64" s="30" t="str">
        <f t="shared" si="23"/>
        <v/>
      </c>
      <c r="H64" s="23" t="str">
        <f t="shared" si="24"/>
        <v/>
      </c>
      <c r="I64" s="33" t="str">
        <f>IF(F63='Données Hebdo'!A64, VLOOKUP(Feuil1!A64, 'Données Hebdo'!B:J, 8, FALSE), "")</f>
        <v/>
      </c>
      <c r="J64" s="27" t="str">
        <f t="shared" si="25"/>
        <v>08:30:01 à 09:32:01</v>
      </c>
      <c r="K64" s="27" t="str">
        <f t="shared" si="26"/>
        <v>2016-05-31 09:32:01</v>
      </c>
      <c r="L64" s="27">
        <f t="shared" si="27"/>
        <v>4.3055555557657499E-2</v>
      </c>
      <c r="M64" s="30">
        <f t="shared" si="28"/>
        <v>4.166666665696539E-3</v>
      </c>
      <c r="N64" s="18" t="str">
        <f t="shared" si="29"/>
        <v>BASE RAZEL OLEMBE - BASE RAZEL PADY 2</v>
      </c>
    </row>
    <row r="65" spans="1:14" s="18" customFormat="1" ht="17.25" customHeight="1">
      <c r="A65" s="16" t="s">
        <v>749</v>
      </c>
      <c r="B65" s="17" t="s">
        <v>813</v>
      </c>
      <c r="C65" s="17" t="s">
        <v>880</v>
      </c>
      <c r="D65" s="22" t="s">
        <v>881</v>
      </c>
      <c r="E65" s="27">
        <f t="shared" si="0"/>
        <v>1.1354166665114462E-2</v>
      </c>
      <c r="F65" s="18" t="s">
        <v>40</v>
      </c>
      <c r="G65" s="30">
        <f t="shared" si="23"/>
        <v>4.3055555557657499E-2</v>
      </c>
      <c r="H65" s="23" t="str">
        <f t="shared" si="24"/>
        <v>BASE RAZEL OLEMBE - BASE RAZEL PADY 2</v>
      </c>
      <c r="I65" s="33" t="str">
        <f>IF(F64='Données Hebdo'!A65, VLOOKUP(Feuil1!A65, 'Données Hebdo'!B:J, 8, FALSE), "")</f>
        <v/>
      </c>
      <c r="J65" s="27" t="str">
        <f t="shared" si="25"/>
        <v/>
      </c>
      <c r="K65" s="27" t="str">
        <f t="shared" si="26"/>
        <v/>
      </c>
      <c r="L65" s="27" t="str">
        <f t="shared" si="27"/>
        <v/>
      </c>
      <c r="M65" s="30" t="str">
        <f t="shared" si="28"/>
        <v/>
      </c>
      <c r="N65" s="18" t="str">
        <f t="shared" si="29"/>
        <v/>
      </c>
    </row>
    <row r="66" spans="1:14" s="18" customFormat="1" ht="17.25" customHeight="1">
      <c r="A66" s="16" t="s">
        <v>744</v>
      </c>
      <c r="B66" s="17" t="s">
        <v>745</v>
      </c>
      <c r="C66" s="17" t="s">
        <v>882</v>
      </c>
      <c r="D66" s="22" t="s">
        <v>883</v>
      </c>
      <c r="E66" s="27">
        <f t="shared" ref="E66:E129" si="43">IFERROR(D66-C66, "")</f>
        <v>0.54622685185313458</v>
      </c>
      <c r="F66" s="18" t="s">
        <v>40</v>
      </c>
      <c r="G66" s="30" t="str">
        <f t="shared" si="23"/>
        <v/>
      </c>
      <c r="H66" s="23" t="str">
        <f t="shared" si="24"/>
        <v/>
      </c>
      <c r="I66" s="33" t="str">
        <f>IF(F65='Données Hebdo'!A66, VLOOKUP(Feuil1!A66, 'Données Hebdo'!B:J, 8, FALSE), "")</f>
        <v/>
      </c>
      <c r="J66" s="27" t="str">
        <f t="shared" si="25"/>
        <v/>
      </c>
      <c r="K66" s="27" t="str">
        <f t="shared" si="26"/>
        <v/>
      </c>
      <c r="L66" s="27" t="str">
        <f t="shared" si="27"/>
        <v/>
      </c>
      <c r="M66" s="30" t="str">
        <f t="shared" si="28"/>
        <v/>
      </c>
      <c r="N66" s="18" t="str">
        <f t="shared" si="29"/>
        <v/>
      </c>
    </row>
    <row r="67" spans="1:14" s="18" customFormat="1" ht="17.25" customHeight="1">
      <c r="A67" s="16" t="s">
        <v>746</v>
      </c>
      <c r="B67" s="17" t="s">
        <v>745</v>
      </c>
      <c r="C67" s="17" t="s">
        <v>884</v>
      </c>
      <c r="D67" s="22" t="s">
        <v>885</v>
      </c>
      <c r="E67" s="27">
        <f t="shared" si="43"/>
        <v>0.58753472222451819</v>
      </c>
      <c r="F67" s="18" t="s">
        <v>40</v>
      </c>
      <c r="G67" s="30" t="str">
        <f t="shared" si="23"/>
        <v/>
      </c>
      <c r="H67" s="23" t="str">
        <f t="shared" si="24"/>
        <v/>
      </c>
      <c r="I67" s="33" t="str">
        <f>IF(F66='Données Hebdo'!A67, VLOOKUP(Feuil1!A67, 'Données Hebdo'!B:J, 8, FALSE), "")</f>
        <v/>
      </c>
      <c r="J67" s="27" t="str">
        <f t="shared" si="25"/>
        <v/>
      </c>
      <c r="K67" s="27" t="str">
        <f t="shared" si="26"/>
        <v/>
      </c>
      <c r="L67" s="27" t="str">
        <f t="shared" si="27"/>
        <v/>
      </c>
      <c r="M67" s="30" t="str">
        <f t="shared" si="28"/>
        <v/>
      </c>
      <c r="N67" s="18" t="str">
        <f t="shared" si="29"/>
        <v/>
      </c>
    </row>
    <row r="68" spans="1:14" s="18" customFormat="1" ht="17.25" customHeight="1">
      <c r="A68" s="16" t="s">
        <v>747</v>
      </c>
      <c r="B68" s="17" t="s">
        <v>745</v>
      </c>
      <c r="C68" s="17" t="s">
        <v>886</v>
      </c>
      <c r="D68" s="22" t="s">
        <v>887</v>
      </c>
      <c r="E68" s="27">
        <f t="shared" si="43"/>
        <v>0.58709490740875481</v>
      </c>
      <c r="F68" s="18" t="s">
        <v>40</v>
      </c>
      <c r="G68" s="30" t="str">
        <f t="shared" si="23"/>
        <v/>
      </c>
      <c r="H68" s="23" t="str">
        <f t="shared" si="24"/>
        <v/>
      </c>
      <c r="I68" s="33" t="str">
        <f>IF(F67='Données Hebdo'!A68, VLOOKUP(Feuil1!A68, 'Données Hebdo'!B:J, 8, FALSE), "")</f>
        <v/>
      </c>
      <c r="J68" s="27" t="str">
        <f t="shared" si="25"/>
        <v/>
      </c>
      <c r="K68" s="27" t="str">
        <f t="shared" si="26"/>
        <v/>
      </c>
      <c r="L68" s="27" t="str">
        <f t="shared" si="27"/>
        <v/>
      </c>
      <c r="M68" s="30" t="str">
        <f t="shared" si="28"/>
        <v/>
      </c>
      <c r="N68" s="18" t="str">
        <f t="shared" si="29"/>
        <v/>
      </c>
    </row>
    <row r="69" spans="1:14" s="18" customFormat="1" ht="17.25" customHeight="1">
      <c r="A69" s="16" t="s">
        <v>727</v>
      </c>
      <c r="B69" s="17" t="s">
        <v>745</v>
      </c>
      <c r="C69" s="17" t="s">
        <v>888</v>
      </c>
      <c r="D69" s="22" t="s">
        <v>889</v>
      </c>
      <c r="E69" s="27">
        <f t="shared" si="43"/>
        <v>0.10069444444525288</v>
      </c>
      <c r="F69" s="18" t="s">
        <v>40</v>
      </c>
      <c r="G69" s="30" t="str">
        <f t="shared" si="23"/>
        <v/>
      </c>
      <c r="H69" s="23" t="str">
        <f t="shared" si="24"/>
        <v/>
      </c>
      <c r="I69" s="33" t="str">
        <f>IF(F68='Données Hebdo'!A69, VLOOKUP(Feuil1!A69, 'Données Hebdo'!B:J, 8, FALSE), "")</f>
        <v/>
      </c>
      <c r="J69" s="27" t="str">
        <f t="shared" si="25"/>
        <v>12:28:58 à 15:19:58</v>
      </c>
      <c r="K69" s="27" t="str">
        <f t="shared" si="26"/>
        <v>2016-06-01 15:19:58</v>
      </c>
      <c r="L69" s="27">
        <f t="shared" si="27"/>
        <v>0.11875000000145519</v>
      </c>
      <c r="M69" s="30">
        <f t="shared" si="28"/>
        <v>0.10069444444525288</v>
      </c>
      <c r="N69" s="18" t="str">
        <f t="shared" si="29"/>
        <v>BASE RAZEL BAGANGTE - BASE RAZEL BAGANGTE</v>
      </c>
    </row>
    <row r="70" spans="1:14" s="18" customFormat="1" ht="17.25" customHeight="1">
      <c r="A70" s="16" t="s">
        <v>727</v>
      </c>
      <c r="B70" s="17" t="s">
        <v>745</v>
      </c>
      <c r="C70" s="17" t="s">
        <v>890</v>
      </c>
      <c r="D70" s="22" t="s">
        <v>891</v>
      </c>
      <c r="E70" s="27">
        <f t="shared" si="43"/>
        <v>0.677071759258979</v>
      </c>
      <c r="F70" s="18" t="s">
        <v>40</v>
      </c>
      <c r="G70" s="30">
        <f t="shared" si="23"/>
        <v>0.11875000000145519</v>
      </c>
      <c r="H70" s="23" t="str">
        <f t="shared" si="24"/>
        <v>BASE RAZEL BAGANGTE - BASE RAZEL BAGANGTE</v>
      </c>
      <c r="I70" s="33" t="str">
        <f>IF(F69='Données Hebdo'!A70, VLOOKUP(Feuil1!A70, 'Données Hebdo'!B:J, 8, FALSE), "")</f>
        <v/>
      </c>
      <c r="J70" s="27" t="str">
        <f t="shared" si="25"/>
        <v/>
      </c>
      <c r="K70" s="27" t="str">
        <f t="shared" si="26"/>
        <v/>
      </c>
      <c r="L70" s="27" t="str">
        <f t="shared" si="27"/>
        <v/>
      </c>
      <c r="M70" s="30" t="str">
        <f t="shared" si="28"/>
        <v/>
      </c>
      <c r="N70" s="18" t="str">
        <f t="shared" si="29"/>
        <v/>
      </c>
    </row>
    <row r="71" spans="1:14" s="18" customFormat="1" ht="17.25" customHeight="1">
      <c r="A71" s="16" t="s">
        <v>77</v>
      </c>
      <c r="B71" s="17" t="s">
        <v>813</v>
      </c>
      <c r="C71" s="17" t="s">
        <v>892</v>
      </c>
      <c r="D71" s="22" t="s">
        <v>893</v>
      </c>
      <c r="E71" s="27">
        <f t="shared" si="43"/>
        <v>6.944444467080757E-4</v>
      </c>
      <c r="F71" s="18" t="s">
        <v>40</v>
      </c>
      <c r="G71" s="30" t="str">
        <f t="shared" si="23"/>
        <v/>
      </c>
      <c r="H71" s="23" t="str">
        <f t="shared" si="24"/>
        <v/>
      </c>
      <c r="I71" s="33" t="str">
        <f>IF(F70='Données Hebdo'!A71, VLOOKUP(Feuil1!A71, 'Données Hebdo'!B:J, 8, FALSE), "")</f>
        <v/>
      </c>
      <c r="J71" s="27" t="str">
        <f t="shared" si="25"/>
        <v>09:13:56 à 11:18:58</v>
      </c>
      <c r="K71" s="27" t="str">
        <f t="shared" si="26"/>
        <v>2016-06-01 11:18:58</v>
      </c>
      <c r="L71" s="27">
        <f t="shared" si="27"/>
        <v>8.6828703701030463E-2</v>
      </c>
      <c r="M71" s="30">
        <f t="shared" si="28"/>
        <v>6.944444467080757E-4</v>
      </c>
      <c r="N71" s="18" t="str">
        <f t="shared" si="29"/>
        <v>BASE RAZEL PADY 2 - BASE RAZEL PREFECTURE</v>
      </c>
    </row>
    <row r="72" spans="1:14" s="18" customFormat="1" ht="17.25" customHeight="1">
      <c r="A72" s="16" t="s">
        <v>77</v>
      </c>
      <c r="B72" s="17" t="s">
        <v>197</v>
      </c>
      <c r="C72" s="17" t="s">
        <v>894</v>
      </c>
      <c r="D72" s="22" t="s">
        <v>895</v>
      </c>
      <c r="E72" s="27">
        <f t="shared" si="43"/>
        <v>0.10377314814832062</v>
      </c>
      <c r="F72" s="18" t="s">
        <v>40</v>
      </c>
      <c r="G72" s="30">
        <f t="shared" si="23"/>
        <v>8.6828703701030463E-2</v>
      </c>
      <c r="H72" s="23" t="str">
        <f t="shared" si="24"/>
        <v>BASE RAZEL PADY 2 - BASE RAZEL PREFECTURE</v>
      </c>
      <c r="I72" s="33" t="str">
        <f>IF(F71='Données Hebdo'!A72, VLOOKUP(Feuil1!A72, 'Données Hebdo'!B:J, 8, FALSE), "")</f>
        <v/>
      </c>
      <c r="J72" s="27" t="str">
        <f t="shared" si="25"/>
        <v>13:48:24 à 14:29:59</v>
      </c>
      <c r="K72" s="27" t="str">
        <f t="shared" si="26"/>
        <v>2016-06-01 14:29:59</v>
      </c>
      <c r="L72" s="27">
        <f t="shared" si="27"/>
        <v>2.8877314820419997E-2</v>
      </c>
      <c r="M72" s="30">
        <f t="shared" si="28"/>
        <v>0.10377314814832062</v>
      </c>
      <c r="N72" s="18" t="str">
        <f t="shared" si="29"/>
        <v>BASE RAZEL PREFECTURE - BASE RAZEL OLEMBE</v>
      </c>
    </row>
    <row r="73" spans="1:14" s="18" customFormat="1" ht="17.25" customHeight="1">
      <c r="A73" s="16" t="s">
        <v>77</v>
      </c>
      <c r="B73" s="17" t="s">
        <v>52</v>
      </c>
      <c r="C73" s="17" t="s">
        <v>896</v>
      </c>
      <c r="D73" s="22" t="s">
        <v>897</v>
      </c>
      <c r="E73" s="27">
        <f t="shared" si="43"/>
        <v>8.1053240741312038E-2</v>
      </c>
      <c r="F73" s="18" t="s">
        <v>40</v>
      </c>
      <c r="G73" s="30">
        <f t="shared" si="23"/>
        <v>2.8877314820419997E-2</v>
      </c>
      <c r="H73" s="23" t="str">
        <f t="shared" si="24"/>
        <v>BASE RAZEL PREFECTURE - BASE RAZEL OLEMBE</v>
      </c>
      <c r="I73" s="33" t="str">
        <f>IF(F72='Données Hebdo'!A73, VLOOKUP(Feuil1!A73, 'Données Hebdo'!B:J, 8, FALSE), "")</f>
        <v/>
      </c>
      <c r="J73" s="27" t="str">
        <f t="shared" si="25"/>
        <v>16:26:42 à 17:01:05</v>
      </c>
      <c r="K73" s="27" t="str">
        <f t="shared" si="26"/>
        <v>2016-06-01 17:01:05</v>
      </c>
      <c r="L73" s="27">
        <f t="shared" si="27"/>
        <v>2.3877314808487426E-2</v>
      </c>
      <c r="M73" s="30">
        <f t="shared" si="28"/>
        <v>8.1053240741312038E-2</v>
      </c>
      <c r="N73" s="18" t="str">
        <f t="shared" si="29"/>
        <v>BASE RAZEL OLEMBE - BASE RAZEL PREFECTURE</v>
      </c>
    </row>
    <row r="74" spans="1:14" s="18" customFormat="1" ht="17.25" customHeight="1">
      <c r="A74" s="16" t="s">
        <v>77</v>
      </c>
      <c r="B74" s="17" t="s">
        <v>197</v>
      </c>
      <c r="C74" s="17" t="s">
        <v>898</v>
      </c>
      <c r="D74" s="22" t="s">
        <v>899</v>
      </c>
      <c r="E74" s="27">
        <f t="shared" si="43"/>
        <v>0.59432870370801538</v>
      </c>
      <c r="F74" s="18" t="s">
        <v>40</v>
      </c>
      <c r="G74" s="30">
        <f t="shared" si="23"/>
        <v>2.3877314808487426E-2</v>
      </c>
      <c r="H74" s="23" t="str">
        <f t="shared" si="24"/>
        <v>BASE RAZEL OLEMBE - BASE RAZEL PREFECTURE</v>
      </c>
      <c r="I74" s="33" t="str">
        <f>IF(F73='Données Hebdo'!A74, VLOOKUP(Feuil1!A74, 'Données Hebdo'!B:J, 8, FALSE), "")</f>
        <v/>
      </c>
      <c r="J74" s="27" t="str">
        <f t="shared" si="25"/>
        <v/>
      </c>
      <c r="K74" s="27" t="str">
        <f t="shared" si="26"/>
        <v/>
      </c>
      <c r="L74" s="27" t="str">
        <f t="shared" si="27"/>
        <v/>
      </c>
      <c r="M74" s="30" t="str">
        <f t="shared" si="28"/>
        <v/>
      </c>
      <c r="N74" s="18" t="str">
        <f t="shared" si="29"/>
        <v/>
      </c>
    </row>
    <row r="75" spans="1:14" s="18" customFormat="1" ht="17.25" customHeight="1">
      <c r="A75" s="16" t="s">
        <v>90</v>
      </c>
      <c r="B75" s="17" t="s">
        <v>42</v>
      </c>
      <c r="C75" s="17" t="s">
        <v>900</v>
      </c>
      <c r="D75" s="22" t="s">
        <v>901</v>
      </c>
      <c r="E75" s="27">
        <f t="shared" si="43"/>
        <v>4.0717592593864538E-2</v>
      </c>
      <c r="F75" s="18" t="s">
        <v>40</v>
      </c>
      <c r="G75" s="30" t="str">
        <f t="shared" ref="G75:G138" si="44">IF(A75=A74, C75-D74, "")</f>
        <v/>
      </c>
      <c r="H75" s="23" t="str">
        <f t="shared" ref="H75:H138" si="45">IF(A75=A74, B74&amp;" - "&amp;B75, "")</f>
        <v/>
      </c>
      <c r="I75" s="33" t="str">
        <f>IF(F74='Données Hebdo'!A75, VLOOKUP(Feuil1!A75, 'Données Hebdo'!B:J, 8, FALSE), "")</f>
        <v/>
      </c>
      <c r="J75" s="27" t="str">
        <f t="shared" ref="J75:J138" si="46">IF(A75=A76, RIGHT(D75, 8)&amp;" à "&amp;RIGHT(C76, 8), "")</f>
        <v>08:07:41 à 08:58:41</v>
      </c>
      <c r="K75" s="27" t="str">
        <f t="shared" ref="K75:K138" si="47">IF(A75=A76, C76, "")</f>
        <v>2016-06-01 08:58:41</v>
      </c>
      <c r="L75" s="27">
        <f t="shared" ref="L75:L138" si="48">IF(A75=A76, G76, "")</f>
        <v>3.5416666665696539E-2</v>
      </c>
      <c r="M75" s="30">
        <f t="shared" ref="M75:M138" si="49">IF(A75=A76, E75, "")</f>
        <v>4.0717592593864538E-2</v>
      </c>
      <c r="N75" s="18" t="str">
        <f t="shared" ref="N75:N138" si="50">IF(A75=A76, H76, "")</f>
        <v>CARRIERE RAZEL NKOMETOU - BASE RAZEL PREFECTURE</v>
      </c>
    </row>
    <row r="76" spans="1:14" s="18" customFormat="1" ht="17.25" customHeight="1">
      <c r="A76" s="16" t="s">
        <v>90</v>
      </c>
      <c r="B76" s="17" t="s">
        <v>197</v>
      </c>
      <c r="C76" s="17" t="s">
        <v>902</v>
      </c>
      <c r="D76" s="22" t="s">
        <v>903</v>
      </c>
      <c r="E76" s="27">
        <f t="shared" si="43"/>
        <v>5.4166666668606922E-3</v>
      </c>
      <c r="F76" s="18" t="s">
        <v>40</v>
      </c>
      <c r="G76" s="30">
        <f t="shared" si="44"/>
        <v>3.5416666665696539E-2</v>
      </c>
      <c r="H76" s="23" t="str">
        <f t="shared" si="45"/>
        <v>CARRIERE RAZEL NKOMETOU - BASE RAZEL PREFECTURE</v>
      </c>
      <c r="I76" s="33" t="str">
        <f>IF(F75='Données Hebdo'!A76, VLOOKUP(Feuil1!A76, 'Données Hebdo'!B:J, 8, FALSE), "")</f>
        <v/>
      </c>
      <c r="J76" s="27" t="str">
        <f t="shared" si="46"/>
        <v>09:06:29 à 09:42:41</v>
      </c>
      <c r="K76" s="27" t="str">
        <f t="shared" si="47"/>
        <v>2016-06-01 09:42:41</v>
      </c>
      <c r="L76" s="27">
        <f t="shared" si="48"/>
        <v>2.513888889370719E-2</v>
      </c>
      <c r="M76" s="30">
        <f t="shared" si="49"/>
        <v>5.4166666668606922E-3</v>
      </c>
      <c r="N76" s="18" t="str">
        <f t="shared" si="50"/>
        <v>BASE RAZEL PREFECTURE - CARRIERE RAZEL NKOMETOU</v>
      </c>
    </row>
    <row r="77" spans="1:14" s="18" customFormat="1" ht="17.25" customHeight="1">
      <c r="A77" s="16" t="s">
        <v>90</v>
      </c>
      <c r="B77" s="17" t="s">
        <v>42</v>
      </c>
      <c r="C77" s="17" t="s">
        <v>904</v>
      </c>
      <c r="D77" s="22" t="s">
        <v>905</v>
      </c>
      <c r="E77" s="27">
        <f t="shared" si="43"/>
        <v>2.2222222221898846E-2</v>
      </c>
      <c r="F77" s="18" t="s">
        <v>40</v>
      </c>
      <c r="G77" s="30">
        <f t="shared" si="44"/>
        <v>2.513888889370719E-2</v>
      </c>
      <c r="H77" s="23" t="str">
        <f t="shared" si="45"/>
        <v>BASE RAZEL PREFECTURE - CARRIERE RAZEL NKOMETOU</v>
      </c>
      <c r="I77" s="33" t="str">
        <f>IF(F76='Données Hebdo'!A77, VLOOKUP(Feuil1!A77, 'Données Hebdo'!B:J, 8, FALSE), "")</f>
        <v/>
      </c>
      <c r="J77" s="27" t="str">
        <f t="shared" si="46"/>
        <v>10:14:41 à 11:05:41</v>
      </c>
      <c r="K77" s="27" t="str">
        <f t="shared" si="47"/>
        <v>2016-06-01 11:05:41</v>
      </c>
      <c r="L77" s="27">
        <f t="shared" si="48"/>
        <v>3.5416666665696539E-2</v>
      </c>
      <c r="M77" s="30">
        <f t="shared" si="49"/>
        <v>2.2222222221898846E-2</v>
      </c>
      <c r="N77" s="18" t="str">
        <f t="shared" si="50"/>
        <v>CARRIERE RAZEL NKOMETOU - BASE RAZEL PREFECTURE</v>
      </c>
    </row>
    <row r="78" spans="1:14" s="18" customFormat="1" ht="17.25" customHeight="1">
      <c r="A78" s="16" t="s">
        <v>90</v>
      </c>
      <c r="B78" s="17" t="s">
        <v>197</v>
      </c>
      <c r="C78" s="17" t="s">
        <v>906</v>
      </c>
      <c r="D78" s="22" t="s">
        <v>907</v>
      </c>
      <c r="E78" s="27">
        <f t="shared" si="43"/>
        <v>4.166666665696539E-3</v>
      </c>
      <c r="F78" s="18" t="s">
        <v>40</v>
      </c>
      <c r="G78" s="30">
        <f t="shared" si="44"/>
        <v>3.5416666665696539E-2</v>
      </c>
      <c r="H78" s="23" t="str">
        <f t="shared" si="45"/>
        <v>CARRIERE RAZEL NKOMETOU - BASE RAZEL PREFECTURE</v>
      </c>
      <c r="I78" s="33" t="str">
        <f>IF(F77='Données Hebdo'!A78, VLOOKUP(Feuil1!A78, 'Données Hebdo'!B:J, 8, FALSE), "")</f>
        <v/>
      </c>
      <c r="J78" s="27" t="str">
        <f t="shared" si="46"/>
        <v>11:11:41 à 11:48:41</v>
      </c>
      <c r="K78" s="27" t="str">
        <f t="shared" si="47"/>
        <v>2016-06-01 11:48:41</v>
      </c>
      <c r="L78" s="27">
        <f t="shared" si="48"/>
        <v>2.569444444088731E-2</v>
      </c>
      <c r="M78" s="30">
        <f t="shared" si="49"/>
        <v>4.166666665696539E-3</v>
      </c>
      <c r="N78" s="18" t="str">
        <f t="shared" si="50"/>
        <v>BASE RAZEL PREFECTURE - CARRIERE RAZEL NKOMETOU</v>
      </c>
    </row>
    <row r="79" spans="1:14" s="18" customFormat="1" ht="17.25" customHeight="1">
      <c r="A79" s="16" t="s">
        <v>90</v>
      </c>
      <c r="B79" s="17" t="s">
        <v>42</v>
      </c>
      <c r="C79" s="17" t="s">
        <v>908</v>
      </c>
      <c r="D79" s="22" t="s">
        <v>909</v>
      </c>
      <c r="E79" s="27">
        <f t="shared" si="43"/>
        <v>6.1527777783339843E-2</v>
      </c>
      <c r="F79" s="18" t="s">
        <v>40</v>
      </c>
      <c r="G79" s="30">
        <f t="shared" si="44"/>
        <v>2.569444444088731E-2</v>
      </c>
      <c r="H79" s="23" t="str">
        <f t="shared" si="45"/>
        <v>BASE RAZEL PREFECTURE - CARRIERE RAZEL NKOMETOU</v>
      </c>
      <c r="I79" s="33" t="str">
        <f>IF(F78='Données Hebdo'!A79, VLOOKUP(Feuil1!A79, 'Données Hebdo'!B:J, 8, FALSE), "")</f>
        <v/>
      </c>
      <c r="J79" s="27" t="str">
        <f t="shared" si="46"/>
        <v>13:17:17 à 18:15:23</v>
      </c>
      <c r="K79" s="27" t="str">
        <f t="shared" si="47"/>
        <v>2016-06-01 18:15:23</v>
      </c>
      <c r="L79" s="27">
        <f t="shared" si="48"/>
        <v>0.2070138888884685</v>
      </c>
      <c r="M79" s="30">
        <f t="shared" si="49"/>
        <v>6.1527777783339843E-2</v>
      </c>
      <c r="N79" s="18" t="str">
        <f t="shared" si="50"/>
        <v>CARRIERE RAZEL NKOMETOU - BASE RAZEL PREFECTURE</v>
      </c>
    </row>
    <row r="80" spans="1:14" s="18" customFormat="1" ht="17.25" customHeight="1">
      <c r="A80" s="16" t="s">
        <v>90</v>
      </c>
      <c r="B80" s="17" t="s">
        <v>197</v>
      </c>
      <c r="C80" s="17" t="s">
        <v>910</v>
      </c>
      <c r="D80" s="22" t="s">
        <v>911</v>
      </c>
      <c r="E80" s="27">
        <f t="shared" si="43"/>
        <v>0.50870370370103046</v>
      </c>
      <c r="F80" s="18" t="s">
        <v>40</v>
      </c>
      <c r="G80" s="30">
        <f t="shared" si="44"/>
        <v>0.2070138888884685</v>
      </c>
      <c r="H80" s="23" t="str">
        <f t="shared" si="45"/>
        <v>CARRIERE RAZEL NKOMETOU - BASE RAZEL PREFECTURE</v>
      </c>
      <c r="I80" s="33" t="str">
        <f>IF(F79='Données Hebdo'!A80, VLOOKUP(Feuil1!A80, 'Données Hebdo'!B:J, 8, FALSE), "")</f>
        <v/>
      </c>
      <c r="J80" s="27" t="str">
        <f t="shared" si="46"/>
        <v/>
      </c>
      <c r="K80" s="27" t="str">
        <f t="shared" si="47"/>
        <v/>
      </c>
      <c r="L80" s="27" t="str">
        <f t="shared" si="48"/>
        <v/>
      </c>
      <c r="M80" s="30" t="str">
        <f t="shared" si="49"/>
        <v/>
      </c>
      <c r="N80" s="18" t="str">
        <f t="shared" si="50"/>
        <v/>
      </c>
    </row>
    <row r="81" spans="1:14" s="18" customFormat="1" ht="17.25" customHeight="1">
      <c r="A81" s="16" t="s">
        <v>91</v>
      </c>
      <c r="B81" s="17" t="s">
        <v>796</v>
      </c>
      <c r="C81" s="17" t="s">
        <v>912</v>
      </c>
      <c r="D81" s="22" t="s">
        <v>913</v>
      </c>
      <c r="E81" s="27">
        <f t="shared" si="43"/>
        <v>4.6643518522614613E-2</v>
      </c>
      <c r="F81" s="18" t="s">
        <v>40</v>
      </c>
      <c r="G81" s="30" t="str">
        <f t="shared" si="44"/>
        <v/>
      </c>
      <c r="H81" s="23" t="str">
        <f t="shared" si="45"/>
        <v/>
      </c>
      <c r="I81" s="33" t="str">
        <f>IF(F80='Données Hebdo'!A81, VLOOKUP(Feuil1!A81, 'Données Hebdo'!B:J, 8, FALSE), "")</f>
        <v/>
      </c>
      <c r="J81" s="27" t="str">
        <f t="shared" si="46"/>
        <v>10:07:09 à 14:03:12</v>
      </c>
      <c r="K81" s="27" t="str">
        <f t="shared" si="47"/>
        <v>2016-06-01 14:03:12</v>
      </c>
      <c r="L81" s="27">
        <f t="shared" si="48"/>
        <v>0.163923611107748</v>
      </c>
      <c r="M81" s="30">
        <f t="shared" si="49"/>
        <v>4.6643518522614613E-2</v>
      </c>
      <c r="N81" s="18" t="str">
        <f t="shared" si="50"/>
        <v>CARRIERE RAZEL LOGBADJECK - DEPOT RAZEL YASSA</v>
      </c>
    </row>
    <row r="82" spans="1:14" s="18" customFormat="1" ht="17.25" customHeight="1">
      <c r="A82" s="16" t="s">
        <v>91</v>
      </c>
      <c r="B82" s="17" t="s">
        <v>56</v>
      </c>
      <c r="C82" s="17" t="s">
        <v>914</v>
      </c>
      <c r="D82" s="22" t="s">
        <v>915</v>
      </c>
      <c r="E82" s="27">
        <f t="shared" si="43"/>
        <v>1.8287037091795355E-3</v>
      </c>
      <c r="F82" s="18" t="s">
        <v>40</v>
      </c>
      <c r="G82" s="30">
        <f t="shared" si="44"/>
        <v>0.163923611107748</v>
      </c>
      <c r="H82" s="23" t="str">
        <f t="shared" si="45"/>
        <v>CARRIERE RAZEL LOGBADJECK - DEPOT RAZEL YASSA</v>
      </c>
      <c r="I82" s="33" t="str">
        <f>IF(F81='Données Hebdo'!A82, VLOOKUP(Feuil1!A82, 'Données Hebdo'!B:J, 8, FALSE), "")</f>
        <v/>
      </c>
      <c r="J82" s="27" t="str">
        <f t="shared" si="46"/>
        <v>14:05:50 à 15:38:48</v>
      </c>
      <c r="K82" s="27" t="str">
        <f t="shared" si="47"/>
        <v>2016-06-01 15:38:48</v>
      </c>
      <c r="L82" s="27">
        <f t="shared" si="48"/>
        <v>6.4560185179288965E-2</v>
      </c>
      <c r="M82" s="30">
        <f t="shared" si="49"/>
        <v>1.8287037091795355E-3</v>
      </c>
      <c r="N82" s="18" t="str">
        <f t="shared" si="50"/>
        <v>DEPOT RAZEL YASSA - CARRIERE RAZEL LOGBADJECK</v>
      </c>
    </row>
    <row r="83" spans="1:14" s="18" customFormat="1" ht="17.25" customHeight="1">
      <c r="A83" s="16" t="s">
        <v>91</v>
      </c>
      <c r="B83" s="17" t="s">
        <v>796</v>
      </c>
      <c r="C83" s="17" t="s">
        <v>916</v>
      </c>
      <c r="D83" s="22" t="s">
        <v>917</v>
      </c>
      <c r="E83" s="27">
        <f t="shared" si="43"/>
        <v>0.64244212963239988</v>
      </c>
      <c r="F83" s="18" t="s">
        <v>40</v>
      </c>
      <c r="G83" s="30">
        <f t="shared" si="44"/>
        <v>6.4560185179288965E-2</v>
      </c>
      <c r="H83" s="23" t="str">
        <f t="shared" si="45"/>
        <v>DEPOT RAZEL YASSA - CARRIERE RAZEL LOGBADJECK</v>
      </c>
      <c r="I83" s="33" t="str">
        <f>IF(F82='Données Hebdo'!A83, VLOOKUP(Feuil1!A83, 'Données Hebdo'!B:J, 8, FALSE), "")</f>
        <v/>
      </c>
      <c r="J83" s="27" t="str">
        <f t="shared" si="46"/>
        <v/>
      </c>
      <c r="K83" s="27" t="str">
        <f t="shared" si="47"/>
        <v/>
      </c>
      <c r="L83" s="27" t="str">
        <f t="shared" si="48"/>
        <v/>
      </c>
      <c r="M83" s="30" t="str">
        <f t="shared" si="49"/>
        <v/>
      </c>
      <c r="N83" s="18" t="str">
        <f t="shared" si="50"/>
        <v/>
      </c>
    </row>
    <row r="84" spans="1:14" s="18" customFormat="1" ht="17.25" customHeight="1">
      <c r="A84" s="16" t="s">
        <v>749</v>
      </c>
      <c r="B84" s="17" t="s">
        <v>52</v>
      </c>
      <c r="C84" s="17" t="s">
        <v>918</v>
      </c>
      <c r="D84" s="22" t="s">
        <v>919</v>
      </c>
      <c r="E84" s="27">
        <f t="shared" si="43"/>
        <v>0.23042824074218515</v>
      </c>
      <c r="F84" s="18" t="s">
        <v>40</v>
      </c>
      <c r="G84" s="30" t="str">
        <f t="shared" si="44"/>
        <v/>
      </c>
      <c r="H84" s="23" t="str">
        <f t="shared" si="45"/>
        <v/>
      </c>
      <c r="I84" s="33" t="str">
        <f>IF(F83='Données Hebdo'!A84, VLOOKUP(Feuil1!A84, 'Données Hebdo'!B:J, 8, FALSE), "")</f>
        <v/>
      </c>
      <c r="J84" s="27" t="str">
        <f t="shared" si="46"/>
        <v>13:40:11 à 15:42:07</v>
      </c>
      <c r="K84" s="27" t="str">
        <f t="shared" si="47"/>
        <v>2016-06-01 15:42:07</v>
      </c>
      <c r="L84" s="27">
        <f t="shared" si="48"/>
        <v>8.4675925922056194E-2</v>
      </c>
      <c r="M84" s="30">
        <f t="shared" si="49"/>
        <v>0.23042824074218515</v>
      </c>
      <c r="N84" s="18" t="str">
        <f t="shared" si="50"/>
        <v>BASE RAZEL OLEMBE - BASE RAZEL OLEMBE</v>
      </c>
    </row>
    <row r="85" spans="1:14" s="18" customFormat="1" ht="17.25" customHeight="1">
      <c r="A85" s="16" t="s">
        <v>749</v>
      </c>
      <c r="B85" s="17" t="s">
        <v>52</v>
      </c>
      <c r="C85" s="17" t="s">
        <v>920</v>
      </c>
      <c r="D85" s="22" t="s">
        <v>921</v>
      </c>
      <c r="E85" s="27">
        <f t="shared" si="43"/>
        <v>1.2384259316604584E-3</v>
      </c>
      <c r="F85" s="18" t="s">
        <v>40</v>
      </c>
      <c r="G85" s="30">
        <f t="shared" si="44"/>
        <v>8.4675925922056194E-2</v>
      </c>
      <c r="H85" s="23" t="str">
        <f t="shared" si="45"/>
        <v>BASE RAZEL OLEMBE - BASE RAZEL OLEMBE</v>
      </c>
      <c r="I85" s="33" t="str">
        <f>IF(F84='Données Hebdo'!A85, VLOOKUP(Feuil1!A85, 'Données Hebdo'!B:J, 8, FALSE), "")</f>
        <v/>
      </c>
      <c r="J85" s="27" t="str">
        <f t="shared" si="46"/>
        <v/>
      </c>
      <c r="K85" s="27" t="str">
        <f t="shared" si="47"/>
        <v/>
      </c>
      <c r="L85" s="27" t="str">
        <f t="shared" si="48"/>
        <v/>
      </c>
      <c r="M85" s="30" t="str">
        <f t="shared" si="49"/>
        <v/>
      </c>
      <c r="N85" s="18" t="str">
        <f t="shared" si="50"/>
        <v/>
      </c>
    </row>
    <row r="86" spans="1:14" s="18" customFormat="1" ht="17.25" customHeight="1">
      <c r="A86" s="16" t="s">
        <v>744</v>
      </c>
      <c r="B86" s="17" t="s">
        <v>745</v>
      </c>
      <c r="C86" s="17" t="s">
        <v>922</v>
      </c>
      <c r="D86" s="22" t="s">
        <v>923</v>
      </c>
      <c r="E86" s="27">
        <f t="shared" si="43"/>
        <v>0.53162037036963739</v>
      </c>
      <c r="F86" s="18" t="s">
        <v>40</v>
      </c>
      <c r="G86" s="30" t="str">
        <f t="shared" si="44"/>
        <v/>
      </c>
      <c r="H86" s="23" t="str">
        <f t="shared" si="45"/>
        <v/>
      </c>
      <c r="I86" s="33" t="str">
        <f>IF(F85='Données Hebdo'!A86, VLOOKUP(Feuil1!A86, 'Données Hebdo'!B:J, 8, FALSE), "")</f>
        <v/>
      </c>
      <c r="J86" s="27" t="str">
        <f t="shared" si="46"/>
        <v/>
      </c>
      <c r="K86" s="27" t="str">
        <f t="shared" si="47"/>
        <v/>
      </c>
      <c r="L86" s="27" t="str">
        <f t="shared" si="48"/>
        <v/>
      </c>
      <c r="M86" s="30" t="str">
        <f t="shared" si="49"/>
        <v/>
      </c>
      <c r="N86" s="18" t="str">
        <f t="shared" si="50"/>
        <v/>
      </c>
    </row>
    <row r="87" spans="1:14" s="18" customFormat="1" ht="17.25" customHeight="1">
      <c r="A87" s="16" t="s">
        <v>746</v>
      </c>
      <c r="B87" s="17" t="s">
        <v>745</v>
      </c>
      <c r="C87" s="17" t="s">
        <v>924</v>
      </c>
      <c r="D87" s="22" t="s">
        <v>925</v>
      </c>
      <c r="E87" s="27">
        <f t="shared" si="43"/>
        <v>0.52957175925985212</v>
      </c>
      <c r="F87" s="18" t="s">
        <v>40</v>
      </c>
      <c r="G87" s="30" t="str">
        <f t="shared" si="44"/>
        <v/>
      </c>
      <c r="H87" s="23" t="str">
        <f t="shared" si="45"/>
        <v/>
      </c>
      <c r="I87" s="33" t="str">
        <f>IF(F86='Données Hebdo'!A87, VLOOKUP(Feuil1!A87, 'Données Hebdo'!B:J, 8, FALSE), "")</f>
        <v/>
      </c>
      <c r="J87" s="27" t="str">
        <f t="shared" si="46"/>
        <v/>
      </c>
      <c r="K87" s="27" t="str">
        <f t="shared" si="47"/>
        <v/>
      </c>
      <c r="L87" s="27" t="str">
        <f t="shared" si="48"/>
        <v/>
      </c>
      <c r="M87" s="30" t="str">
        <f t="shared" si="49"/>
        <v/>
      </c>
      <c r="N87" s="18" t="str">
        <f t="shared" si="50"/>
        <v/>
      </c>
    </row>
    <row r="88" spans="1:14" s="18" customFormat="1" ht="17.25" customHeight="1">
      <c r="A88" s="16" t="s">
        <v>747</v>
      </c>
      <c r="B88" s="17" t="s">
        <v>745</v>
      </c>
      <c r="C88" s="17" t="s">
        <v>926</v>
      </c>
      <c r="D88" s="22" t="s">
        <v>927</v>
      </c>
      <c r="E88" s="27">
        <f t="shared" si="43"/>
        <v>0.53303240740933688</v>
      </c>
      <c r="F88" s="18" t="s">
        <v>40</v>
      </c>
      <c r="G88" s="30" t="str">
        <f t="shared" si="44"/>
        <v/>
      </c>
      <c r="H88" s="23" t="str">
        <f t="shared" si="45"/>
        <v/>
      </c>
      <c r="I88" s="33" t="str">
        <f>IF(F87='Données Hebdo'!A88, VLOOKUP(Feuil1!A88, 'Données Hebdo'!B:J, 8, FALSE), "")</f>
        <v/>
      </c>
      <c r="J88" s="27" t="str">
        <f t="shared" si="46"/>
        <v/>
      </c>
      <c r="K88" s="27" t="str">
        <f t="shared" si="47"/>
        <v/>
      </c>
      <c r="L88" s="27" t="str">
        <f t="shared" si="48"/>
        <v/>
      </c>
      <c r="M88" s="30" t="str">
        <f t="shared" si="49"/>
        <v/>
      </c>
      <c r="N88" s="18" t="str">
        <f t="shared" si="50"/>
        <v/>
      </c>
    </row>
    <row r="89" spans="1:14" s="18" customFormat="1" ht="17.25" customHeight="1">
      <c r="A89" s="16" t="s">
        <v>727</v>
      </c>
      <c r="B89" s="17" t="s">
        <v>761</v>
      </c>
      <c r="C89" s="17" t="s">
        <v>928</v>
      </c>
      <c r="D89" s="22" t="s">
        <v>929</v>
      </c>
      <c r="E89" s="27">
        <f t="shared" si="43"/>
        <v>1.3194444443797693E-2</v>
      </c>
      <c r="F89" s="18" t="s">
        <v>40</v>
      </c>
      <c r="G89" s="30" t="str">
        <f t="shared" si="44"/>
        <v/>
      </c>
      <c r="H89" s="23" t="str">
        <f t="shared" si="45"/>
        <v/>
      </c>
      <c r="I89" s="33" t="str">
        <f>IF(F88='Données Hebdo'!A89, VLOOKUP(Feuil1!A89, 'Données Hebdo'!B:J, 8, FALSE), "")</f>
        <v/>
      </c>
      <c r="J89" s="27" t="str">
        <f t="shared" si="46"/>
        <v>10:48:57 à 13:10:08</v>
      </c>
      <c r="K89" s="27" t="str">
        <f t="shared" si="47"/>
        <v>2016-06-02 13:10:08</v>
      </c>
      <c r="L89" s="27">
        <f t="shared" si="48"/>
        <v>9.8043981481168885E-2</v>
      </c>
      <c r="M89" s="30">
        <f t="shared" si="49"/>
        <v>1.3194444443797693E-2</v>
      </c>
      <c r="N89" s="18" t="str">
        <f t="shared" si="50"/>
        <v>CARRIERE RAZEL BAGANGTE - BASE RAZEL BAGANGTE</v>
      </c>
    </row>
    <row r="90" spans="1:14" s="18" customFormat="1" ht="17.25" customHeight="1">
      <c r="A90" s="16" t="s">
        <v>727</v>
      </c>
      <c r="B90" s="17" t="s">
        <v>745</v>
      </c>
      <c r="C90" s="17" t="s">
        <v>930</v>
      </c>
      <c r="D90" s="22" t="s">
        <v>931</v>
      </c>
      <c r="E90" s="27">
        <f t="shared" si="43"/>
        <v>1.5856481484661344E-2</v>
      </c>
      <c r="F90" s="18" t="s">
        <v>40</v>
      </c>
      <c r="G90" s="30">
        <f t="shared" si="44"/>
        <v>9.8043981481168885E-2</v>
      </c>
      <c r="H90" s="23" t="str">
        <f t="shared" si="45"/>
        <v>CARRIERE RAZEL BAGANGTE - BASE RAZEL BAGANGTE</v>
      </c>
      <c r="I90" s="33" t="str">
        <f>IF(F89='Données Hebdo'!A90, VLOOKUP(Feuil1!A90, 'Données Hebdo'!B:J, 8, FALSE), "")</f>
        <v/>
      </c>
      <c r="J90" s="27" t="str">
        <f t="shared" si="46"/>
        <v>13:32:58 à 14:14:58</v>
      </c>
      <c r="K90" s="27" t="str">
        <f t="shared" si="47"/>
        <v>2016-06-02 14:14:58</v>
      </c>
      <c r="L90" s="27">
        <f t="shared" si="48"/>
        <v>2.9166666667151731E-2</v>
      </c>
      <c r="M90" s="30">
        <f t="shared" si="49"/>
        <v>1.5856481484661344E-2</v>
      </c>
      <c r="N90" s="18" t="str">
        <f t="shared" si="50"/>
        <v>BASE RAZEL BAGANGTE - BASE RAZEL BAGANGTE</v>
      </c>
    </row>
    <row r="91" spans="1:14" s="18" customFormat="1" ht="17.25" customHeight="1">
      <c r="A91" s="16" t="s">
        <v>727</v>
      </c>
      <c r="B91" s="17" t="s">
        <v>745</v>
      </c>
      <c r="C91" s="17" t="s">
        <v>932</v>
      </c>
      <c r="D91" s="22" t="s">
        <v>933</v>
      </c>
      <c r="E91" s="27">
        <f t="shared" si="43"/>
        <v>0.69304398148233304</v>
      </c>
      <c r="F91" s="18" t="s">
        <v>40</v>
      </c>
      <c r="G91" s="30">
        <f t="shared" si="44"/>
        <v>2.9166666667151731E-2</v>
      </c>
      <c r="H91" s="23" t="str">
        <f t="shared" si="45"/>
        <v>BASE RAZEL BAGANGTE - BASE RAZEL BAGANGTE</v>
      </c>
      <c r="I91" s="33" t="str">
        <f>IF(F90='Données Hebdo'!A91, VLOOKUP(Feuil1!A91, 'Données Hebdo'!B:J, 8, FALSE), "")</f>
        <v/>
      </c>
      <c r="J91" s="27" t="str">
        <f t="shared" si="46"/>
        <v/>
      </c>
      <c r="K91" s="27" t="str">
        <f t="shared" si="47"/>
        <v/>
      </c>
      <c r="L91" s="27" t="str">
        <f t="shared" si="48"/>
        <v/>
      </c>
      <c r="M91" s="30" t="str">
        <f t="shared" si="49"/>
        <v/>
      </c>
      <c r="N91" s="18" t="str">
        <f t="shared" si="50"/>
        <v/>
      </c>
    </row>
    <row r="92" spans="1:14" s="18" customFormat="1" ht="17.25" customHeight="1">
      <c r="A92" s="16" t="s">
        <v>75</v>
      </c>
      <c r="B92" s="17" t="s">
        <v>56</v>
      </c>
      <c r="C92" s="17" t="s">
        <v>934</v>
      </c>
      <c r="D92" s="22" t="s">
        <v>935</v>
      </c>
      <c r="E92" s="27">
        <f t="shared" si="43"/>
        <v>0.50145833333954215</v>
      </c>
      <c r="F92" s="18" t="s">
        <v>40</v>
      </c>
      <c r="G92" s="30" t="str">
        <f t="shared" si="44"/>
        <v/>
      </c>
      <c r="H92" s="23" t="str">
        <f t="shared" si="45"/>
        <v/>
      </c>
      <c r="I92" s="33" t="str">
        <f>IF(F91='Données Hebdo'!A92, VLOOKUP(Feuil1!A92, 'Données Hebdo'!B:J, 8, FALSE), "")</f>
        <v/>
      </c>
      <c r="J92" s="27" t="str">
        <f t="shared" si="46"/>
        <v/>
      </c>
      <c r="K92" s="27" t="str">
        <f t="shared" si="47"/>
        <v/>
      </c>
      <c r="L92" s="27" t="str">
        <f t="shared" si="48"/>
        <v/>
      </c>
      <c r="M92" s="30" t="str">
        <f t="shared" si="49"/>
        <v/>
      </c>
      <c r="N92" s="18" t="str">
        <f t="shared" si="50"/>
        <v/>
      </c>
    </row>
    <row r="93" spans="1:14" s="18" customFormat="1" ht="17.25" customHeight="1">
      <c r="A93" s="16" t="s">
        <v>77</v>
      </c>
      <c r="B93" s="17" t="s">
        <v>197</v>
      </c>
      <c r="C93" s="17" t="s">
        <v>936</v>
      </c>
      <c r="D93" s="22" t="s">
        <v>937</v>
      </c>
      <c r="E93" s="27">
        <f t="shared" si="43"/>
        <v>1.3888888934161514E-3</v>
      </c>
      <c r="F93" s="18" t="s">
        <v>40</v>
      </c>
      <c r="G93" s="30" t="str">
        <f t="shared" si="44"/>
        <v/>
      </c>
      <c r="H93" s="23" t="str">
        <f t="shared" si="45"/>
        <v/>
      </c>
      <c r="I93" s="33" t="str">
        <f>IF(F92='Données Hebdo'!A93, VLOOKUP(Feuil1!A93, 'Données Hebdo'!B:J, 8, FALSE), "")</f>
        <v/>
      </c>
      <c r="J93" s="27" t="str">
        <f t="shared" si="46"/>
        <v>07:20:09 à 09:01:50</v>
      </c>
      <c r="K93" s="27" t="str">
        <f t="shared" si="47"/>
        <v>2016-06-02 09:01:50</v>
      </c>
      <c r="L93" s="27">
        <f t="shared" si="48"/>
        <v>7.0613425923511386E-2</v>
      </c>
      <c r="M93" s="30">
        <f t="shared" si="49"/>
        <v>1.3888888934161514E-3</v>
      </c>
      <c r="N93" s="18" t="str">
        <f t="shared" si="50"/>
        <v>BASE RAZEL PREFECTURE - BASE RAZEL PADY 2</v>
      </c>
    </row>
    <row r="94" spans="1:14" s="18" customFormat="1" ht="17.25" customHeight="1">
      <c r="A94" s="16" t="s">
        <v>77</v>
      </c>
      <c r="B94" s="17" t="s">
        <v>813</v>
      </c>
      <c r="C94" s="17" t="s">
        <v>938</v>
      </c>
      <c r="D94" s="22" t="s">
        <v>939</v>
      </c>
      <c r="E94" s="27">
        <f t="shared" si="43"/>
        <v>5.7870370801538229E-4</v>
      </c>
      <c r="F94" s="18" t="s">
        <v>40</v>
      </c>
      <c r="G94" s="30">
        <f t="shared" si="44"/>
        <v>7.0613425923511386E-2</v>
      </c>
      <c r="H94" s="23" t="str">
        <f t="shared" si="45"/>
        <v>BASE RAZEL PREFECTURE - BASE RAZEL PADY 2</v>
      </c>
      <c r="I94" s="33" t="str">
        <f>IF(F93='Données Hebdo'!A94, VLOOKUP(Feuil1!A94, 'Données Hebdo'!B:J, 8, FALSE), "")</f>
        <v/>
      </c>
      <c r="J94" s="27" t="str">
        <f t="shared" si="46"/>
        <v>09:02:40 à 09:43:32</v>
      </c>
      <c r="K94" s="27" t="str">
        <f t="shared" si="47"/>
        <v>2016-06-02 09:43:32</v>
      </c>
      <c r="L94" s="27">
        <f t="shared" si="48"/>
        <v>2.8379629628034309E-2</v>
      </c>
      <c r="M94" s="30">
        <f t="shared" si="49"/>
        <v>5.7870370801538229E-4</v>
      </c>
      <c r="N94" s="18" t="str">
        <f t="shared" si="50"/>
        <v>BASE RAZEL PADY 2 - BASE RAZEL PREFECTURE</v>
      </c>
    </row>
    <row r="95" spans="1:14" s="18" customFormat="1" ht="17.25" customHeight="1">
      <c r="A95" s="16" t="s">
        <v>77</v>
      </c>
      <c r="B95" s="17" t="s">
        <v>197</v>
      </c>
      <c r="C95" s="17" t="s">
        <v>940</v>
      </c>
      <c r="D95" s="22" t="s">
        <v>941</v>
      </c>
      <c r="E95" s="27">
        <f t="shared" si="43"/>
        <v>9.0277777781011537E-3</v>
      </c>
      <c r="F95" s="18" t="s">
        <v>40</v>
      </c>
      <c r="G95" s="30">
        <f t="shared" si="44"/>
        <v>2.8379629628034309E-2</v>
      </c>
      <c r="H95" s="23" t="str">
        <f t="shared" si="45"/>
        <v>BASE RAZEL PADY 2 - BASE RAZEL PREFECTURE</v>
      </c>
      <c r="I95" s="33" t="str">
        <f>IF(F94='Données Hebdo'!A95, VLOOKUP(Feuil1!A95, 'Données Hebdo'!B:J, 8, FALSE), "")</f>
        <v/>
      </c>
      <c r="J95" s="27" t="str">
        <f t="shared" si="46"/>
        <v>09:56:32 à 10:23:46</v>
      </c>
      <c r="K95" s="27" t="str">
        <f t="shared" si="47"/>
        <v>2016-06-02 10:23:46</v>
      </c>
      <c r="L95" s="27">
        <f t="shared" si="48"/>
        <v>1.8912037034169771E-2</v>
      </c>
      <c r="M95" s="30">
        <f t="shared" si="49"/>
        <v>9.0277777781011537E-3</v>
      </c>
      <c r="N95" s="18" t="str">
        <f t="shared" si="50"/>
        <v>BASE RAZEL PREFECTURE - BASE RAZEL PADY 2</v>
      </c>
    </row>
    <row r="96" spans="1:14" s="18" customFormat="1" ht="17.25" customHeight="1">
      <c r="A96" s="16" t="s">
        <v>77</v>
      </c>
      <c r="B96" s="17" t="s">
        <v>813</v>
      </c>
      <c r="C96" s="17" t="s">
        <v>942</v>
      </c>
      <c r="D96" s="22" t="s">
        <v>943</v>
      </c>
      <c r="E96" s="27">
        <f t="shared" si="43"/>
        <v>6.944444467080757E-4</v>
      </c>
      <c r="F96" s="18" t="s">
        <v>40</v>
      </c>
      <c r="G96" s="30">
        <f t="shared" si="44"/>
        <v>1.8912037034169771E-2</v>
      </c>
      <c r="H96" s="23" t="str">
        <f t="shared" si="45"/>
        <v>BASE RAZEL PREFECTURE - BASE RAZEL PADY 2</v>
      </c>
      <c r="I96" s="33" t="str">
        <f>IF(F95='Données Hebdo'!A96, VLOOKUP(Feuil1!A96, 'Données Hebdo'!B:J, 8, FALSE), "")</f>
        <v/>
      </c>
      <c r="J96" s="27" t="str">
        <f t="shared" si="46"/>
        <v>10:24:46 à 11:20:16</v>
      </c>
      <c r="K96" s="27" t="str">
        <f t="shared" si="47"/>
        <v>2016-06-02 11:20:16</v>
      </c>
      <c r="L96" s="27">
        <f t="shared" si="48"/>
        <v>3.8541666661330964E-2</v>
      </c>
      <c r="M96" s="30">
        <f t="shared" si="49"/>
        <v>6.944444467080757E-4</v>
      </c>
      <c r="N96" s="18" t="str">
        <f t="shared" si="50"/>
        <v>BASE RAZEL PADY 2 - BASE RAZEL PADY 2</v>
      </c>
    </row>
    <row r="97" spans="1:14" s="18" customFormat="1" ht="17.25" customHeight="1">
      <c r="A97" s="16" t="s">
        <v>77</v>
      </c>
      <c r="B97" s="17" t="s">
        <v>813</v>
      </c>
      <c r="C97" s="17" t="s">
        <v>944</v>
      </c>
      <c r="D97" s="22" t="s">
        <v>945</v>
      </c>
      <c r="E97" s="27">
        <f t="shared" si="43"/>
        <v>4.7453703882638365E-4</v>
      </c>
      <c r="F97" s="18" t="s">
        <v>40</v>
      </c>
      <c r="G97" s="30">
        <f t="shared" si="44"/>
        <v>3.8541666661330964E-2</v>
      </c>
      <c r="H97" s="23" t="str">
        <f t="shared" si="45"/>
        <v>BASE RAZEL PADY 2 - BASE RAZEL PADY 2</v>
      </c>
      <c r="I97" s="33" t="str">
        <f>IF(F96='Données Hebdo'!A97, VLOOKUP(Feuil1!A97, 'Données Hebdo'!B:J, 8, FALSE), "")</f>
        <v/>
      </c>
      <c r="J97" s="27" t="str">
        <f t="shared" si="46"/>
        <v/>
      </c>
      <c r="K97" s="27" t="str">
        <f t="shared" si="47"/>
        <v/>
      </c>
      <c r="L97" s="27" t="str">
        <f t="shared" si="48"/>
        <v/>
      </c>
      <c r="M97" s="30" t="str">
        <f t="shared" si="49"/>
        <v/>
      </c>
      <c r="N97" s="18" t="str">
        <f t="shared" si="50"/>
        <v/>
      </c>
    </row>
    <row r="98" spans="1:14" s="18" customFormat="1" ht="17.25" customHeight="1">
      <c r="A98" s="16" t="s">
        <v>89</v>
      </c>
      <c r="B98" s="17" t="s">
        <v>56</v>
      </c>
      <c r="C98" s="17" t="s">
        <v>946</v>
      </c>
      <c r="D98" s="22" t="s">
        <v>947</v>
      </c>
      <c r="E98" s="27">
        <f t="shared" si="43"/>
        <v>0.45652777777286246</v>
      </c>
      <c r="F98" s="18" t="s">
        <v>40</v>
      </c>
      <c r="G98" s="30" t="str">
        <f t="shared" si="44"/>
        <v/>
      </c>
      <c r="H98" s="23" t="str">
        <f t="shared" si="45"/>
        <v/>
      </c>
      <c r="I98" s="33" t="str">
        <f>IF(F97='Données Hebdo'!A98, VLOOKUP(Feuil1!A98, 'Données Hebdo'!B:J, 8, FALSE), "")</f>
        <v/>
      </c>
      <c r="J98" s="27" t="str">
        <f t="shared" si="46"/>
        <v/>
      </c>
      <c r="K98" s="27" t="str">
        <f t="shared" si="47"/>
        <v/>
      </c>
      <c r="L98" s="27" t="str">
        <f t="shared" si="48"/>
        <v/>
      </c>
      <c r="M98" s="30" t="str">
        <f t="shared" si="49"/>
        <v/>
      </c>
      <c r="N98" s="18" t="str">
        <f t="shared" si="50"/>
        <v/>
      </c>
    </row>
    <row r="99" spans="1:14" s="18" customFormat="1" ht="17.25" customHeight="1">
      <c r="A99" s="16" t="s">
        <v>90</v>
      </c>
      <c r="B99" s="17" t="s">
        <v>42</v>
      </c>
      <c r="C99" s="17" t="s">
        <v>948</v>
      </c>
      <c r="D99" s="22" t="s">
        <v>949</v>
      </c>
      <c r="E99" s="27">
        <f t="shared" si="43"/>
        <v>3.8263888891378883E-2</v>
      </c>
      <c r="F99" s="18" t="s">
        <v>40</v>
      </c>
      <c r="G99" s="30" t="str">
        <f t="shared" si="44"/>
        <v/>
      </c>
      <c r="H99" s="23" t="str">
        <f t="shared" si="45"/>
        <v/>
      </c>
      <c r="I99" s="33" t="str">
        <f>IF(F98='Données Hebdo'!A99, VLOOKUP(Feuil1!A99, 'Données Hebdo'!B:J, 8, FALSE), "")</f>
        <v/>
      </c>
      <c r="J99" s="27" t="str">
        <f t="shared" si="46"/>
        <v>07:57:47 à 08:50:27</v>
      </c>
      <c r="K99" s="27" t="str">
        <f t="shared" si="47"/>
        <v>2016-06-02 08:50:27</v>
      </c>
      <c r="L99" s="27">
        <f t="shared" si="48"/>
        <v>3.6574074074451346E-2</v>
      </c>
      <c r="M99" s="30">
        <f t="shared" si="49"/>
        <v>3.8263888891378883E-2</v>
      </c>
      <c r="N99" s="18" t="str">
        <f t="shared" si="50"/>
        <v>CARRIERE RAZEL NKOMETOU - BASE RAZEL PREFECTURE</v>
      </c>
    </row>
    <row r="100" spans="1:14" s="18" customFormat="1" ht="17.25" customHeight="1">
      <c r="A100" s="16" t="s">
        <v>90</v>
      </c>
      <c r="B100" s="17" t="s">
        <v>197</v>
      </c>
      <c r="C100" s="17" t="s">
        <v>950</v>
      </c>
      <c r="D100" s="22" t="s">
        <v>951</v>
      </c>
      <c r="E100" s="27">
        <f t="shared" si="43"/>
        <v>6.9444446125999093E-5</v>
      </c>
      <c r="F100" s="18" t="s">
        <v>40</v>
      </c>
      <c r="G100" s="30">
        <f t="shared" si="44"/>
        <v>3.6574074074451346E-2</v>
      </c>
      <c r="H100" s="23" t="str">
        <f t="shared" si="45"/>
        <v>CARRIERE RAZEL NKOMETOU - BASE RAZEL PREFECTURE</v>
      </c>
      <c r="I100" s="33" t="str">
        <f>IF(F99='Données Hebdo'!A100, VLOOKUP(Feuil1!A100, 'Données Hebdo'!B:J, 8, FALSE), "")</f>
        <v/>
      </c>
      <c r="J100" s="27" t="str">
        <f t="shared" si="46"/>
        <v>08:50:33 à 08:51:33</v>
      </c>
      <c r="K100" s="27" t="str">
        <f t="shared" si="47"/>
        <v>2016-06-02 08:51:33</v>
      </c>
      <c r="L100" s="27">
        <f t="shared" si="48"/>
        <v>6.944444467080757E-4</v>
      </c>
      <c r="M100" s="30">
        <f t="shared" si="49"/>
        <v>6.9444446125999093E-5</v>
      </c>
      <c r="N100" s="18" t="str">
        <f t="shared" si="50"/>
        <v>BASE RAZEL PREFECTURE - BASE RAZEL PREFECTURE</v>
      </c>
    </row>
    <row r="101" spans="1:14" s="18" customFormat="1" ht="17.25" customHeight="1">
      <c r="A101" s="16" t="s">
        <v>90</v>
      </c>
      <c r="B101" s="17" t="s">
        <v>197</v>
      </c>
      <c r="C101" s="17" t="s">
        <v>952</v>
      </c>
      <c r="D101" s="22" t="s">
        <v>953</v>
      </c>
      <c r="E101" s="27">
        <f t="shared" si="43"/>
        <v>3.1134259261307307E-3</v>
      </c>
      <c r="F101" s="18" t="s">
        <v>40</v>
      </c>
      <c r="G101" s="30">
        <f t="shared" si="44"/>
        <v>6.944444467080757E-4</v>
      </c>
      <c r="H101" s="23" t="str">
        <f t="shared" si="45"/>
        <v>BASE RAZEL PREFECTURE - BASE RAZEL PREFECTURE</v>
      </c>
      <c r="I101" s="33" t="str">
        <f>IF(F100='Données Hebdo'!A101, VLOOKUP(Feuil1!A101, 'Données Hebdo'!B:J, 8, FALSE), "")</f>
        <v/>
      </c>
      <c r="J101" s="27" t="str">
        <f t="shared" si="46"/>
        <v>08:56:02 à 09:31:24</v>
      </c>
      <c r="K101" s="27" t="str">
        <f t="shared" si="47"/>
        <v>2016-06-02 09:31:24</v>
      </c>
      <c r="L101" s="27">
        <f t="shared" si="48"/>
        <v>2.456018517841585E-2</v>
      </c>
      <c r="M101" s="30">
        <f t="shared" si="49"/>
        <v>3.1134259261307307E-3</v>
      </c>
      <c r="N101" s="18" t="str">
        <f t="shared" si="50"/>
        <v>BASE RAZEL PREFECTURE - CARRIERE RAZEL NKOMETOU</v>
      </c>
    </row>
    <row r="102" spans="1:14" s="18" customFormat="1" ht="17.25" customHeight="1">
      <c r="A102" s="16" t="s">
        <v>90</v>
      </c>
      <c r="B102" s="17" t="s">
        <v>42</v>
      </c>
      <c r="C102" s="17" t="s">
        <v>954</v>
      </c>
      <c r="D102" s="22" t="s">
        <v>955</v>
      </c>
      <c r="E102" s="27">
        <f t="shared" si="43"/>
        <v>4.405092592787696E-2</v>
      </c>
      <c r="F102" s="18" t="s">
        <v>40</v>
      </c>
      <c r="G102" s="30">
        <f t="shared" si="44"/>
        <v>2.456018517841585E-2</v>
      </c>
      <c r="H102" s="23" t="str">
        <f t="shared" si="45"/>
        <v>BASE RAZEL PREFECTURE - CARRIERE RAZEL NKOMETOU</v>
      </c>
      <c r="I102" s="33" t="str">
        <f>IF(F101='Données Hebdo'!A102, VLOOKUP(Feuil1!A102, 'Données Hebdo'!B:J, 8, FALSE), "")</f>
        <v/>
      </c>
      <c r="J102" s="27" t="str">
        <f t="shared" si="46"/>
        <v>10:34:50 à 16:01:17</v>
      </c>
      <c r="K102" s="27" t="str">
        <f t="shared" si="47"/>
        <v>2016-06-02 16:01:17</v>
      </c>
      <c r="L102" s="27">
        <f t="shared" si="48"/>
        <v>0.226701388892252</v>
      </c>
      <c r="M102" s="30">
        <f t="shared" si="49"/>
        <v>4.405092592787696E-2</v>
      </c>
      <c r="N102" s="18" t="str">
        <f t="shared" si="50"/>
        <v>CARRIERE RAZEL NKOMETOU - CARRIERE RAZEL NKOMETOU</v>
      </c>
    </row>
    <row r="103" spans="1:14" s="18" customFormat="1" ht="17.25" customHeight="1">
      <c r="A103" s="16" t="s">
        <v>90</v>
      </c>
      <c r="B103" s="17" t="s">
        <v>42</v>
      </c>
      <c r="C103" s="17" t="s">
        <v>956</v>
      </c>
      <c r="D103" s="22" t="s">
        <v>957</v>
      </c>
      <c r="E103" s="27">
        <f t="shared" si="43"/>
        <v>0.66081018518161727</v>
      </c>
      <c r="F103" s="18" t="s">
        <v>40</v>
      </c>
      <c r="G103" s="30">
        <f t="shared" si="44"/>
        <v>0.226701388892252</v>
      </c>
      <c r="H103" s="23" t="str">
        <f t="shared" si="45"/>
        <v>CARRIERE RAZEL NKOMETOU - CARRIERE RAZEL NKOMETOU</v>
      </c>
      <c r="I103" s="33" t="str">
        <f>IF(F102='Données Hebdo'!A103, VLOOKUP(Feuil1!A103, 'Données Hebdo'!B:J, 8, FALSE), "")</f>
        <v/>
      </c>
      <c r="J103" s="27" t="str">
        <f t="shared" si="46"/>
        <v/>
      </c>
      <c r="K103" s="27" t="str">
        <f t="shared" si="47"/>
        <v/>
      </c>
      <c r="L103" s="27" t="str">
        <f t="shared" si="48"/>
        <v/>
      </c>
      <c r="M103" s="30" t="str">
        <f t="shared" si="49"/>
        <v/>
      </c>
      <c r="N103" s="18" t="str">
        <f t="shared" si="50"/>
        <v/>
      </c>
    </row>
    <row r="104" spans="1:14" s="18" customFormat="1" ht="17.25" customHeight="1">
      <c r="A104" s="16" t="s">
        <v>91</v>
      </c>
      <c r="B104" s="17" t="s">
        <v>56</v>
      </c>
      <c r="C104" s="17" t="s">
        <v>958</v>
      </c>
      <c r="D104" s="22" t="s">
        <v>959</v>
      </c>
      <c r="E104" s="27">
        <f t="shared" si="43"/>
        <v>7.6388888919609599E-3</v>
      </c>
      <c r="F104" s="18" t="s">
        <v>40</v>
      </c>
      <c r="G104" s="30" t="str">
        <f t="shared" si="44"/>
        <v/>
      </c>
      <c r="H104" s="23" t="str">
        <f t="shared" si="45"/>
        <v/>
      </c>
      <c r="I104" s="33" t="str">
        <f>IF(F103='Données Hebdo'!A104, VLOOKUP(Feuil1!A104, 'Données Hebdo'!B:J, 8, FALSE), "")</f>
        <v/>
      </c>
      <c r="J104" s="27" t="str">
        <f t="shared" si="46"/>
        <v>08:09:11 à 09:14:22</v>
      </c>
      <c r="K104" s="27" t="str">
        <f t="shared" si="47"/>
        <v>2016-06-02 09:14:22</v>
      </c>
      <c r="L104" s="27">
        <f t="shared" si="48"/>
        <v>4.5266203698702157E-2</v>
      </c>
      <c r="M104" s="30">
        <f t="shared" si="49"/>
        <v>7.6388888919609599E-3</v>
      </c>
      <c r="N104" s="18" t="str">
        <f t="shared" si="50"/>
        <v>DEPOT RAZEL YASSA - CARRIERE RAZEL LOGBADJECK</v>
      </c>
    </row>
    <row r="105" spans="1:14" s="18" customFormat="1" ht="17.25" customHeight="1">
      <c r="A105" s="16" t="s">
        <v>91</v>
      </c>
      <c r="B105" s="17" t="s">
        <v>796</v>
      </c>
      <c r="C105" s="17" t="s">
        <v>960</v>
      </c>
      <c r="D105" s="22" t="s">
        <v>961</v>
      </c>
      <c r="E105" s="27">
        <f t="shared" si="43"/>
        <v>4.1863425925839692E-2</v>
      </c>
      <c r="F105" s="18" t="s">
        <v>40</v>
      </c>
      <c r="G105" s="30">
        <f t="shared" si="44"/>
        <v>4.5266203698702157E-2</v>
      </c>
      <c r="H105" s="23" t="str">
        <f t="shared" si="45"/>
        <v>DEPOT RAZEL YASSA - CARRIERE RAZEL LOGBADJECK</v>
      </c>
      <c r="I105" s="33" t="str">
        <f>IF(F104='Données Hebdo'!A105, VLOOKUP(Feuil1!A105, 'Données Hebdo'!B:J, 8, FALSE), "")</f>
        <v/>
      </c>
      <c r="J105" s="27" t="str">
        <f t="shared" si="46"/>
        <v>10:14:39 à 11:08:50</v>
      </c>
      <c r="K105" s="27" t="str">
        <f t="shared" si="47"/>
        <v>2016-06-02 11:08:50</v>
      </c>
      <c r="L105" s="27">
        <f t="shared" si="48"/>
        <v>3.7627314821293112E-2</v>
      </c>
      <c r="M105" s="30">
        <f t="shared" si="49"/>
        <v>4.1863425925839692E-2</v>
      </c>
      <c r="N105" s="18" t="str">
        <f t="shared" si="50"/>
        <v>CARRIERE RAZEL LOGBADJECK - DEPOT RAZEL YASSA</v>
      </c>
    </row>
    <row r="106" spans="1:14" s="18" customFormat="1" ht="17.25" customHeight="1">
      <c r="A106" s="16" t="s">
        <v>91</v>
      </c>
      <c r="B106" s="17" t="s">
        <v>56</v>
      </c>
      <c r="C106" s="17" t="s">
        <v>962</v>
      </c>
      <c r="D106" s="22" t="s">
        <v>963</v>
      </c>
      <c r="E106" s="27">
        <f t="shared" si="43"/>
        <v>6.2499999985448085E-3</v>
      </c>
      <c r="F106" s="18" t="s">
        <v>40</v>
      </c>
      <c r="G106" s="30">
        <f t="shared" si="44"/>
        <v>3.7627314821293112E-2</v>
      </c>
      <c r="H106" s="23" t="str">
        <f t="shared" si="45"/>
        <v>CARRIERE RAZEL LOGBADJECK - DEPOT RAZEL YASSA</v>
      </c>
      <c r="I106" s="33" t="str">
        <f>IF(F105='Données Hebdo'!A106, VLOOKUP(Feuil1!A106, 'Données Hebdo'!B:J, 8, FALSE), "")</f>
        <v/>
      </c>
      <c r="J106" s="27" t="str">
        <f t="shared" si="46"/>
        <v>11:17:50 à 12:14:51</v>
      </c>
      <c r="K106" s="27" t="str">
        <f t="shared" si="47"/>
        <v>2016-06-02 12:14:51</v>
      </c>
      <c r="L106" s="27">
        <f t="shared" si="48"/>
        <v>3.959490740817273E-2</v>
      </c>
      <c r="M106" s="30">
        <f t="shared" si="49"/>
        <v>6.2499999985448085E-3</v>
      </c>
      <c r="N106" s="18" t="str">
        <f t="shared" si="50"/>
        <v>DEPOT RAZEL YASSA - CARRIERE RAZEL LOGBADJECK</v>
      </c>
    </row>
    <row r="107" spans="1:14" s="18" customFormat="1" ht="17.25" customHeight="1">
      <c r="A107" s="16" t="s">
        <v>91</v>
      </c>
      <c r="B107" s="17" t="s">
        <v>796</v>
      </c>
      <c r="C107" s="17" t="s">
        <v>964</v>
      </c>
      <c r="D107" s="22" t="s">
        <v>965</v>
      </c>
      <c r="E107" s="27">
        <f t="shared" si="43"/>
        <v>2.396990740817273E-2</v>
      </c>
      <c r="F107" s="18" t="s">
        <v>40</v>
      </c>
      <c r="G107" s="30">
        <f t="shared" si="44"/>
        <v>3.959490740817273E-2</v>
      </c>
      <c r="H107" s="23" t="str">
        <f t="shared" si="45"/>
        <v>DEPOT RAZEL YASSA - CARRIERE RAZEL LOGBADJECK</v>
      </c>
      <c r="I107" s="33" t="str">
        <f>IF(F106='Données Hebdo'!A107, VLOOKUP(Feuil1!A107, 'Données Hebdo'!B:J, 8, FALSE), "")</f>
        <v/>
      </c>
      <c r="J107" s="27" t="str">
        <f t="shared" si="46"/>
        <v>12:49:22 à 13:44:31</v>
      </c>
      <c r="K107" s="27" t="str">
        <f t="shared" si="47"/>
        <v>2016-06-02 13:44:31</v>
      </c>
      <c r="L107" s="27">
        <f t="shared" si="48"/>
        <v>3.8298611107165925E-2</v>
      </c>
      <c r="M107" s="30">
        <f t="shared" si="49"/>
        <v>2.396990740817273E-2</v>
      </c>
      <c r="N107" s="18" t="str">
        <f t="shared" si="50"/>
        <v>CARRIERE RAZEL LOGBADJECK - DEPOT RAZEL YASSA</v>
      </c>
    </row>
    <row r="108" spans="1:14" s="18" customFormat="1" ht="17.25" customHeight="1">
      <c r="A108" s="16" t="s">
        <v>91</v>
      </c>
      <c r="B108" s="17" t="s">
        <v>56</v>
      </c>
      <c r="C108" s="17" t="s">
        <v>966</v>
      </c>
      <c r="D108" s="22" t="s">
        <v>967</v>
      </c>
      <c r="E108" s="27">
        <f t="shared" si="43"/>
        <v>4.166666665696539E-3</v>
      </c>
      <c r="F108" s="18" t="s">
        <v>40</v>
      </c>
      <c r="G108" s="30">
        <f t="shared" si="44"/>
        <v>3.8298611107165925E-2</v>
      </c>
      <c r="H108" s="23" t="str">
        <f t="shared" si="45"/>
        <v>CARRIERE RAZEL LOGBADJECK - DEPOT RAZEL YASSA</v>
      </c>
      <c r="I108" s="33" t="str">
        <f>IF(F107='Données Hebdo'!A108, VLOOKUP(Feuil1!A108, 'Données Hebdo'!B:J, 8, FALSE), "")</f>
        <v/>
      </c>
      <c r="J108" s="27" t="str">
        <f t="shared" si="46"/>
        <v>13:50:31 à 14:43:27</v>
      </c>
      <c r="K108" s="27" t="str">
        <f t="shared" si="47"/>
        <v>2016-06-02 14:43:27</v>
      </c>
      <c r="L108" s="27">
        <f t="shared" si="48"/>
        <v>3.6759259259270038E-2</v>
      </c>
      <c r="M108" s="30">
        <f t="shared" si="49"/>
        <v>4.166666665696539E-3</v>
      </c>
      <c r="N108" s="18" t="str">
        <f t="shared" si="50"/>
        <v>DEPOT RAZEL YASSA - CARRIERE RAZEL LOGBADJECK</v>
      </c>
    </row>
    <row r="109" spans="1:14" s="18" customFormat="1" ht="17.25" customHeight="1">
      <c r="A109" s="16" t="s">
        <v>91</v>
      </c>
      <c r="B109" s="17" t="s">
        <v>796</v>
      </c>
      <c r="C109" s="17" t="s">
        <v>968</v>
      </c>
      <c r="D109" s="22" t="s">
        <v>969</v>
      </c>
      <c r="E109" s="27">
        <f t="shared" si="43"/>
        <v>3.4942129634146113E-2</v>
      </c>
      <c r="F109" s="18" t="s">
        <v>40</v>
      </c>
      <c r="G109" s="30">
        <f t="shared" si="44"/>
        <v>3.6759259259270038E-2</v>
      </c>
      <c r="H109" s="23" t="str">
        <f t="shared" si="45"/>
        <v>DEPOT RAZEL YASSA - CARRIERE RAZEL LOGBADJECK</v>
      </c>
      <c r="I109" s="33" t="str">
        <f>IF(F108='Données Hebdo'!A109, VLOOKUP(Feuil1!A109, 'Données Hebdo'!B:J, 8, FALSE), "")</f>
        <v/>
      </c>
      <c r="J109" s="27" t="str">
        <f t="shared" si="46"/>
        <v>15:33:46 à 16:28:23</v>
      </c>
      <c r="K109" s="27" t="str">
        <f t="shared" si="47"/>
        <v>2016-06-02 16:28:23</v>
      </c>
      <c r="L109" s="27">
        <f t="shared" si="48"/>
        <v>3.792824073752854E-2</v>
      </c>
      <c r="M109" s="30">
        <f t="shared" si="49"/>
        <v>3.4942129634146113E-2</v>
      </c>
      <c r="N109" s="18" t="str">
        <f t="shared" si="50"/>
        <v>CARRIERE RAZEL LOGBADJECK - DEPOT RAZEL YASSA</v>
      </c>
    </row>
    <row r="110" spans="1:14" s="18" customFormat="1" ht="17.25" customHeight="1">
      <c r="A110" s="16" t="s">
        <v>91</v>
      </c>
      <c r="B110" s="17" t="s">
        <v>56</v>
      </c>
      <c r="C110" s="17" t="s">
        <v>970</v>
      </c>
      <c r="D110" s="22" t="s">
        <v>971</v>
      </c>
      <c r="E110" s="27">
        <f t="shared" si="43"/>
        <v>0.68179398147913162</v>
      </c>
      <c r="F110" s="18" t="s">
        <v>40</v>
      </c>
      <c r="G110" s="30">
        <f t="shared" si="44"/>
        <v>3.792824073752854E-2</v>
      </c>
      <c r="H110" s="23" t="str">
        <f t="shared" si="45"/>
        <v>CARRIERE RAZEL LOGBADJECK - DEPOT RAZEL YASSA</v>
      </c>
      <c r="I110" s="33" t="str">
        <f>IF(F109='Données Hebdo'!A110, VLOOKUP(Feuil1!A110, 'Données Hebdo'!B:J, 8, FALSE), "")</f>
        <v/>
      </c>
      <c r="J110" s="27" t="str">
        <f t="shared" si="46"/>
        <v/>
      </c>
      <c r="K110" s="27" t="str">
        <f t="shared" si="47"/>
        <v/>
      </c>
      <c r="L110" s="27" t="str">
        <f t="shared" si="48"/>
        <v/>
      </c>
      <c r="M110" s="30" t="str">
        <f t="shared" si="49"/>
        <v/>
      </c>
      <c r="N110" s="18" t="str">
        <f t="shared" si="50"/>
        <v/>
      </c>
    </row>
    <row r="111" spans="1:14" s="18" customFormat="1" ht="17.25" customHeight="1">
      <c r="A111" s="16" t="s">
        <v>749</v>
      </c>
      <c r="B111" s="17" t="s">
        <v>813</v>
      </c>
      <c r="C111" s="17" t="s">
        <v>972</v>
      </c>
      <c r="D111" s="22" t="s">
        <v>973</v>
      </c>
      <c r="E111" s="27">
        <f t="shared" si="43"/>
        <v>0.31118055555270985</v>
      </c>
      <c r="F111" s="18" t="s">
        <v>40</v>
      </c>
      <c r="G111" s="30" t="str">
        <f t="shared" si="44"/>
        <v/>
      </c>
      <c r="H111" s="23" t="str">
        <f t="shared" si="45"/>
        <v/>
      </c>
      <c r="I111" s="33" t="str">
        <f>IF(F110='Données Hebdo'!A111, VLOOKUP(Feuil1!A111, 'Données Hebdo'!B:J, 8, FALSE), "")</f>
        <v/>
      </c>
      <c r="J111" s="27" t="str">
        <f t="shared" si="46"/>
        <v/>
      </c>
      <c r="K111" s="27" t="str">
        <f t="shared" si="47"/>
        <v/>
      </c>
      <c r="L111" s="27" t="str">
        <f t="shared" si="48"/>
        <v/>
      </c>
      <c r="M111" s="30" t="str">
        <f t="shared" si="49"/>
        <v/>
      </c>
      <c r="N111" s="18" t="str">
        <f t="shared" si="50"/>
        <v/>
      </c>
    </row>
    <row r="112" spans="1:14" s="18" customFormat="1" ht="17.25" customHeight="1">
      <c r="A112" s="16" t="s">
        <v>744</v>
      </c>
      <c r="B112" s="17" t="s">
        <v>745</v>
      </c>
      <c r="C112" s="17" t="s">
        <v>974</v>
      </c>
      <c r="D112" s="22" t="s">
        <v>975</v>
      </c>
      <c r="E112" s="27">
        <f t="shared" si="43"/>
        <v>0.54964120370277669</v>
      </c>
      <c r="F112" s="18" t="s">
        <v>40</v>
      </c>
      <c r="G112" s="30" t="str">
        <f t="shared" si="44"/>
        <v/>
      </c>
      <c r="H112" s="23" t="str">
        <f t="shared" si="45"/>
        <v/>
      </c>
      <c r="I112" s="33" t="str">
        <f>IF(F111='Données Hebdo'!A112, VLOOKUP(Feuil1!A112, 'Données Hebdo'!B:J, 8, FALSE), "")</f>
        <v/>
      </c>
      <c r="J112" s="27" t="str">
        <f t="shared" si="46"/>
        <v/>
      </c>
      <c r="K112" s="27" t="str">
        <f t="shared" si="47"/>
        <v/>
      </c>
      <c r="L112" s="27" t="str">
        <f t="shared" si="48"/>
        <v/>
      </c>
      <c r="M112" s="30" t="str">
        <f t="shared" si="49"/>
        <v/>
      </c>
      <c r="N112" s="18" t="str">
        <f t="shared" si="50"/>
        <v/>
      </c>
    </row>
    <row r="113" spans="1:14" s="18" customFormat="1" ht="17.25" customHeight="1">
      <c r="A113" s="16" t="s">
        <v>746</v>
      </c>
      <c r="B113" s="17" t="s">
        <v>745</v>
      </c>
      <c r="C113" s="17" t="s">
        <v>976</v>
      </c>
      <c r="D113" s="22" t="s">
        <v>977</v>
      </c>
      <c r="E113" s="27">
        <f t="shared" si="43"/>
        <v>0.5379282407448045</v>
      </c>
      <c r="F113" s="18" t="s">
        <v>40</v>
      </c>
      <c r="G113" s="30" t="str">
        <f t="shared" si="44"/>
        <v/>
      </c>
      <c r="H113" s="23" t="str">
        <f t="shared" si="45"/>
        <v/>
      </c>
      <c r="I113" s="33" t="str">
        <f>IF(F112='Données Hebdo'!A113, VLOOKUP(Feuil1!A113, 'Données Hebdo'!B:J, 8, FALSE), "")</f>
        <v/>
      </c>
      <c r="J113" s="27" t="str">
        <f t="shared" si="46"/>
        <v/>
      </c>
      <c r="K113" s="27" t="str">
        <f t="shared" si="47"/>
        <v/>
      </c>
      <c r="L113" s="27" t="str">
        <f t="shared" si="48"/>
        <v/>
      </c>
      <c r="M113" s="30" t="str">
        <f t="shared" si="49"/>
        <v/>
      </c>
      <c r="N113" s="18" t="str">
        <f t="shared" si="50"/>
        <v/>
      </c>
    </row>
    <row r="114" spans="1:14" s="18" customFormat="1" ht="17.25" customHeight="1">
      <c r="A114" s="16" t="s">
        <v>747</v>
      </c>
      <c r="B114" s="17" t="s">
        <v>745</v>
      </c>
      <c r="C114" s="17" t="s">
        <v>978</v>
      </c>
      <c r="D114" s="22" t="s">
        <v>979</v>
      </c>
      <c r="E114" s="27">
        <f t="shared" si="43"/>
        <v>0.53844907407619758</v>
      </c>
      <c r="F114" s="18" t="s">
        <v>40</v>
      </c>
      <c r="G114" s="30" t="str">
        <f t="shared" si="44"/>
        <v/>
      </c>
      <c r="H114" s="23" t="str">
        <f t="shared" si="45"/>
        <v/>
      </c>
      <c r="I114" s="33" t="str">
        <f>IF(F113='Données Hebdo'!A114, VLOOKUP(Feuil1!A114, 'Données Hebdo'!B:J, 8, FALSE), "")</f>
        <v/>
      </c>
      <c r="J114" s="27" t="str">
        <f t="shared" si="46"/>
        <v/>
      </c>
      <c r="K114" s="27" t="str">
        <f t="shared" si="47"/>
        <v/>
      </c>
      <c r="L114" s="27" t="str">
        <f t="shared" si="48"/>
        <v/>
      </c>
      <c r="M114" s="30" t="str">
        <f t="shared" si="49"/>
        <v/>
      </c>
      <c r="N114" s="18" t="str">
        <f t="shared" si="50"/>
        <v/>
      </c>
    </row>
    <row r="115" spans="1:14" s="18" customFormat="1" ht="17.25" customHeight="1">
      <c r="A115" s="16" t="s">
        <v>727</v>
      </c>
      <c r="B115" s="17" t="s">
        <v>761</v>
      </c>
      <c r="C115" s="17" t="s">
        <v>980</v>
      </c>
      <c r="D115" s="22" t="s">
        <v>981</v>
      </c>
      <c r="E115" s="27">
        <f t="shared" si="43"/>
        <v>4.4212962959136348E-2</v>
      </c>
      <c r="F115" s="18" t="s">
        <v>40</v>
      </c>
      <c r="G115" s="30" t="str">
        <f t="shared" si="44"/>
        <v/>
      </c>
      <c r="H115" s="23" t="str">
        <f t="shared" si="45"/>
        <v/>
      </c>
      <c r="I115" s="33" t="str">
        <f>IF(F114='Données Hebdo'!A115, VLOOKUP(Feuil1!A115, 'Données Hebdo'!B:J, 8, FALSE), "")</f>
        <v/>
      </c>
      <c r="J115" s="27" t="str">
        <f t="shared" si="46"/>
        <v>08:30:46 à 09:22:56</v>
      </c>
      <c r="K115" s="27" t="str">
        <f t="shared" si="47"/>
        <v>2016-06-03 09:22:56</v>
      </c>
      <c r="L115" s="27">
        <f t="shared" si="48"/>
        <v>3.6226851851097308E-2</v>
      </c>
      <c r="M115" s="30">
        <f t="shared" si="49"/>
        <v>4.4212962959136348E-2</v>
      </c>
      <c r="N115" s="18" t="str">
        <f t="shared" si="50"/>
        <v>CARRIERE RAZEL BAGANGTE - BASE RAZEL BAGANGTE</v>
      </c>
    </row>
    <row r="116" spans="1:14" s="18" customFormat="1" ht="17.25" customHeight="1">
      <c r="A116" s="16" t="s">
        <v>727</v>
      </c>
      <c r="B116" s="17" t="s">
        <v>745</v>
      </c>
      <c r="C116" s="17" t="s">
        <v>982</v>
      </c>
      <c r="D116" s="22" t="s">
        <v>983</v>
      </c>
      <c r="E116" s="27">
        <f t="shared" si="43"/>
        <v>7.2222222224809229E-2</v>
      </c>
      <c r="F116" s="18" t="s">
        <v>40</v>
      </c>
      <c r="G116" s="30">
        <f t="shared" si="44"/>
        <v>3.6226851851097308E-2</v>
      </c>
      <c r="H116" s="23" t="str">
        <f t="shared" si="45"/>
        <v>CARRIERE RAZEL BAGANGTE - BASE RAZEL BAGANGTE</v>
      </c>
      <c r="I116" s="33" t="str">
        <f>IF(F115='Données Hebdo'!A116, VLOOKUP(Feuil1!A116, 'Données Hebdo'!B:J, 8, FALSE), "")</f>
        <v/>
      </c>
      <c r="J116" s="27" t="str">
        <f t="shared" si="46"/>
        <v>11:06:56 à 14:49:57</v>
      </c>
      <c r="K116" s="27" t="str">
        <f t="shared" si="47"/>
        <v>2016-06-03 14:49:57</v>
      </c>
      <c r="L116" s="27">
        <f t="shared" si="48"/>
        <v>0.1548726851833635</v>
      </c>
      <c r="M116" s="30">
        <f t="shared" si="49"/>
        <v>7.2222222224809229E-2</v>
      </c>
      <c r="N116" s="18" t="str">
        <f t="shared" si="50"/>
        <v>BASE RAZEL BAGANGTE - BASE RAZEL BAGANGTE</v>
      </c>
    </row>
    <row r="117" spans="1:14" s="18" customFormat="1" ht="17.25" customHeight="1">
      <c r="A117" s="16" t="s">
        <v>727</v>
      </c>
      <c r="B117" s="17" t="s">
        <v>745</v>
      </c>
      <c r="C117" s="17" t="s">
        <v>984</v>
      </c>
      <c r="D117" s="22" t="s">
        <v>985</v>
      </c>
      <c r="E117" s="27">
        <f t="shared" si="43"/>
        <v>2.8472222220443655E-2</v>
      </c>
      <c r="F117" s="18" t="s">
        <v>40</v>
      </c>
      <c r="G117" s="30">
        <f t="shared" si="44"/>
        <v>0.1548726851833635</v>
      </c>
      <c r="H117" s="23" t="str">
        <f t="shared" si="45"/>
        <v>BASE RAZEL BAGANGTE - BASE RAZEL BAGANGTE</v>
      </c>
      <c r="I117" s="33" t="str">
        <f>IF(F116='Données Hebdo'!A117, VLOOKUP(Feuil1!A117, 'Données Hebdo'!B:J, 8, FALSE), "")</f>
        <v/>
      </c>
      <c r="J117" s="27" t="str">
        <f t="shared" si="46"/>
        <v>15:30:57 à 16:05:57</v>
      </c>
      <c r="K117" s="27" t="str">
        <f t="shared" si="47"/>
        <v>2016-06-03 16:05:57</v>
      </c>
      <c r="L117" s="27">
        <f t="shared" si="48"/>
        <v>2.4305555562023073E-2</v>
      </c>
      <c r="M117" s="30">
        <f t="shared" si="49"/>
        <v>2.8472222220443655E-2</v>
      </c>
      <c r="N117" s="18" t="str">
        <f t="shared" si="50"/>
        <v>BASE RAZEL BAGANGTE - CARRIERE RAZEL BAGANGTE</v>
      </c>
    </row>
    <row r="118" spans="1:14" s="18" customFormat="1" ht="17.25" customHeight="1">
      <c r="A118" s="16" t="s">
        <v>727</v>
      </c>
      <c r="B118" s="17" t="s">
        <v>761</v>
      </c>
      <c r="C118" s="17" t="s">
        <v>986</v>
      </c>
      <c r="D118" s="22" t="s">
        <v>987</v>
      </c>
      <c r="E118" s="27">
        <f t="shared" si="43"/>
        <v>2.8935185182490386E-3</v>
      </c>
      <c r="F118" s="18" t="s">
        <v>40</v>
      </c>
      <c r="G118" s="30">
        <f t="shared" si="44"/>
        <v>2.4305555562023073E-2</v>
      </c>
      <c r="H118" s="23" t="str">
        <f t="shared" si="45"/>
        <v>BASE RAZEL BAGANGTE - CARRIERE RAZEL BAGANGTE</v>
      </c>
      <c r="I118" s="33" t="str">
        <f>IF(F117='Données Hebdo'!A118, VLOOKUP(Feuil1!A118, 'Données Hebdo'!B:J, 8, FALSE), "")</f>
        <v/>
      </c>
      <c r="J118" s="27" t="str">
        <f t="shared" si="46"/>
        <v>16:10:07 à 16:20:57</v>
      </c>
      <c r="K118" s="27" t="str">
        <f t="shared" si="47"/>
        <v>2016-06-03 16:20:57</v>
      </c>
      <c r="L118" s="27">
        <f t="shared" si="48"/>
        <v>7.5231481459923089E-3</v>
      </c>
      <c r="M118" s="30">
        <f t="shared" si="49"/>
        <v>2.8935185182490386E-3</v>
      </c>
      <c r="N118" s="18" t="str">
        <f t="shared" si="50"/>
        <v>CARRIERE RAZEL BAGANGTE - CARRIERE RAZEL BAGANGTE</v>
      </c>
    </row>
    <row r="119" spans="1:14" s="18" customFormat="1" ht="17.25" customHeight="1">
      <c r="A119" s="16" t="s">
        <v>727</v>
      </c>
      <c r="B119" s="17" t="s">
        <v>761</v>
      </c>
      <c r="C119" s="17" t="s">
        <v>988</v>
      </c>
      <c r="D119" s="22" t="s">
        <v>989</v>
      </c>
      <c r="E119" s="27">
        <f t="shared" si="43"/>
        <v>6.3657407372375019E-3</v>
      </c>
      <c r="F119" s="18" t="s">
        <v>40</v>
      </c>
      <c r="G119" s="30">
        <f t="shared" si="44"/>
        <v>7.5231481459923089E-3</v>
      </c>
      <c r="H119" s="23" t="str">
        <f t="shared" si="45"/>
        <v>CARRIERE RAZEL BAGANGTE - CARRIERE RAZEL BAGANGTE</v>
      </c>
      <c r="I119" s="33" t="str">
        <f>IF(F118='Données Hebdo'!A119, VLOOKUP(Feuil1!A119, 'Données Hebdo'!B:J, 8, FALSE), "")</f>
        <v/>
      </c>
      <c r="J119" s="27" t="str">
        <f t="shared" si="46"/>
        <v>16:30:07 à 17:30:57</v>
      </c>
      <c r="K119" s="27" t="str">
        <f t="shared" si="47"/>
        <v>2016-06-03 17:30:57</v>
      </c>
      <c r="L119" s="27">
        <f t="shared" si="48"/>
        <v>4.224537037225673E-2</v>
      </c>
      <c r="M119" s="30">
        <f t="shared" si="49"/>
        <v>6.3657407372375019E-3</v>
      </c>
      <c r="N119" s="18" t="str">
        <f t="shared" si="50"/>
        <v>CARRIERE RAZEL BAGANGTE - BASE RAZEL BAGANGTE</v>
      </c>
    </row>
    <row r="120" spans="1:14" s="18" customFormat="1" ht="17.25" customHeight="1">
      <c r="A120" s="16" t="s">
        <v>727</v>
      </c>
      <c r="B120" s="17" t="s">
        <v>745</v>
      </c>
      <c r="C120" s="17" t="s">
        <v>990</v>
      </c>
      <c r="D120" s="22" t="s">
        <v>991</v>
      </c>
      <c r="E120" s="27">
        <f t="shared" si="43"/>
        <v>0.55347222222189885</v>
      </c>
      <c r="F120" s="18" t="s">
        <v>40</v>
      </c>
      <c r="G120" s="30">
        <f t="shared" si="44"/>
        <v>4.224537037225673E-2</v>
      </c>
      <c r="H120" s="23" t="str">
        <f t="shared" si="45"/>
        <v>CARRIERE RAZEL BAGANGTE - BASE RAZEL BAGANGTE</v>
      </c>
      <c r="I120" s="33" t="str">
        <f>IF(F119='Données Hebdo'!A120, VLOOKUP(Feuil1!A120, 'Données Hebdo'!B:J, 8, FALSE), "")</f>
        <v/>
      </c>
      <c r="J120" s="27" t="str">
        <f t="shared" si="46"/>
        <v/>
      </c>
      <c r="K120" s="27" t="str">
        <f t="shared" si="47"/>
        <v/>
      </c>
      <c r="L120" s="27" t="str">
        <f t="shared" si="48"/>
        <v/>
      </c>
      <c r="M120" s="30" t="str">
        <f t="shared" si="49"/>
        <v/>
      </c>
      <c r="N120" s="18" t="str">
        <f t="shared" si="50"/>
        <v/>
      </c>
    </row>
    <row r="121" spans="1:14" s="18" customFormat="1" ht="17.25" customHeight="1">
      <c r="A121" s="16" t="s">
        <v>75</v>
      </c>
      <c r="B121" s="17" t="s">
        <v>796</v>
      </c>
      <c r="C121" s="17" t="s">
        <v>992</v>
      </c>
      <c r="D121" s="22" t="s">
        <v>993</v>
      </c>
      <c r="E121" s="27">
        <f t="shared" si="43"/>
        <v>4.7777777777810115E-2</v>
      </c>
      <c r="F121" s="18" t="s">
        <v>40</v>
      </c>
      <c r="G121" s="30" t="str">
        <f t="shared" si="44"/>
        <v/>
      </c>
      <c r="H121" s="23" t="str">
        <f t="shared" si="45"/>
        <v/>
      </c>
      <c r="I121" s="33" t="str">
        <f>IF(F120='Données Hebdo'!A121, VLOOKUP(Feuil1!A121, 'Données Hebdo'!B:J, 8, FALSE), "")</f>
        <v/>
      </c>
      <c r="J121" s="27" t="str">
        <f t="shared" si="46"/>
        <v>09:16:54 à 10:23:54</v>
      </c>
      <c r="K121" s="27" t="str">
        <f t="shared" si="47"/>
        <v>2016-06-03 10:23:54</v>
      </c>
      <c r="L121" s="27">
        <f t="shared" si="48"/>
        <v>4.6527777776645962E-2</v>
      </c>
      <c r="M121" s="30">
        <f t="shared" si="49"/>
        <v>4.7777777777810115E-2</v>
      </c>
      <c r="N121" s="18" t="str">
        <f t="shared" si="50"/>
        <v>CARRIERE RAZEL LOGBADJECK - DEPOT RAZEL YASSA</v>
      </c>
    </row>
    <row r="122" spans="1:14" s="18" customFormat="1" ht="17.25" customHeight="1">
      <c r="A122" s="16" t="s">
        <v>75</v>
      </c>
      <c r="B122" s="17" t="s">
        <v>56</v>
      </c>
      <c r="C122" s="17" t="s">
        <v>994</v>
      </c>
      <c r="D122" s="22" t="s">
        <v>995</v>
      </c>
      <c r="E122" s="27">
        <f t="shared" si="43"/>
        <v>9.0277777781011537E-3</v>
      </c>
      <c r="F122" s="18" t="s">
        <v>40</v>
      </c>
      <c r="G122" s="30">
        <f t="shared" si="44"/>
        <v>4.6527777776645962E-2</v>
      </c>
      <c r="H122" s="23" t="str">
        <f t="shared" si="45"/>
        <v>CARRIERE RAZEL LOGBADJECK - DEPOT RAZEL YASSA</v>
      </c>
      <c r="I122" s="33" t="str">
        <f>IF(F121='Données Hebdo'!A122, VLOOKUP(Feuil1!A122, 'Données Hebdo'!B:J, 8, FALSE), "")</f>
        <v/>
      </c>
      <c r="J122" s="27" t="str">
        <f t="shared" si="46"/>
        <v>10:36:54 à 11:51:54</v>
      </c>
      <c r="K122" s="27" t="str">
        <f t="shared" si="47"/>
        <v>2016-06-03 11:51:54</v>
      </c>
      <c r="L122" s="27">
        <f t="shared" si="48"/>
        <v>5.2083333335758653E-2</v>
      </c>
      <c r="M122" s="30">
        <f t="shared" si="49"/>
        <v>9.0277777781011537E-3</v>
      </c>
      <c r="N122" s="18" t="str">
        <f t="shared" si="50"/>
        <v>DEPOT RAZEL YASSA - CARRIERE RAZEL LOGBADJECK</v>
      </c>
    </row>
    <row r="123" spans="1:14" s="18" customFormat="1" ht="17.25" customHeight="1">
      <c r="A123" s="16" t="s">
        <v>75</v>
      </c>
      <c r="B123" s="17" t="s">
        <v>796</v>
      </c>
      <c r="C123" s="17" t="s">
        <v>996</v>
      </c>
      <c r="D123" s="22" t="s">
        <v>997</v>
      </c>
      <c r="E123" s="27">
        <f t="shared" si="43"/>
        <v>3.3622685179580003E-2</v>
      </c>
      <c r="F123" s="18" t="s">
        <v>40</v>
      </c>
      <c r="G123" s="30">
        <f t="shared" si="44"/>
        <v>5.2083333335758653E-2</v>
      </c>
      <c r="H123" s="23" t="str">
        <f t="shared" si="45"/>
        <v>DEPOT RAZEL YASSA - CARRIERE RAZEL LOGBADJECK</v>
      </c>
      <c r="I123" s="33" t="str">
        <f>IF(F122='Données Hebdo'!A123, VLOOKUP(Feuil1!A123, 'Données Hebdo'!B:J, 8, FALSE), "")</f>
        <v/>
      </c>
      <c r="J123" s="27" t="str">
        <f t="shared" si="46"/>
        <v>12:40:19 à 13:48:58</v>
      </c>
      <c r="K123" s="27" t="str">
        <f t="shared" si="47"/>
        <v>2016-06-03 13:48:58</v>
      </c>
      <c r="L123" s="27">
        <f t="shared" si="48"/>
        <v>4.7673611115897074E-2</v>
      </c>
      <c r="M123" s="30">
        <f t="shared" si="49"/>
        <v>3.3622685179580003E-2</v>
      </c>
      <c r="N123" s="18" t="str">
        <f t="shared" si="50"/>
        <v>CARRIERE RAZEL LOGBADJECK - DEPOT RAZEL YASSA</v>
      </c>
    </row>
    <row r="124" spans="1:14" s="18" customFormat="1" ht="17.25" customHeight="1">
      <c r="A124" s="16" t="s">
        <v>75</v>
      </c>
      <c r="B124" s="17" t="s">
        <v>56</v>
      </c>
      <c r="C124" s="17" t="s">
        <v>998</v>
      </c>
      <c r="D124" s="22" t="s">
        <v>999</v>
      </c>
      <c r="E124" s="27">
        <f t="shared" si="43"/>
        <v>1.3888888890505768E-2</v>
      </c>
      <c r="F124" s="18" t="s">
        <v>40</v>
      </c>
      <c r="G124" s="30">
        <f t="shared" si="44"/>
        <v>4.7673611115897074E-2</v>
      </c>
      <c r="H124" s="23" t="str">
        <f t="shared" si="45"/>
        <v>CARRIERE RAZEL LOGBADJECK - DEPOT RAZEL YASSA</v>
      </c>
      <c r="I124" s="33" t="str">
        <f>IF(F123='Données Hebdo'!A124, VLOOKUP(Feuil1!A124, 'Données Hebdo'!B:J, 8, FALSE), "")</f>
        <v/>
      </c>
      <c r="J124" s="27" t="str">
        <f t="shared" si="46"/>
        <v>14:08:58 à 15:17:58</v>
      </c>
      <c r="K124" s="27" t="str">
        <f t="shared" si="47"/>
        <v>2016-06-03 15:17:58</v>
      </c>
      <c r="L124" s="27">
        <f t="shared" si="48"/>
        <v>4.7916666662786156E-2</v>
      </c>
      <c r="M124" s="30">
        <f t="shared" si="49"/>
        <v>1.3888888890505768E-2</v>
      </c>
      <c r="N124" s="18" t="str">
        <f t="shared" si="50"/>
        <v>DEPOT RAZEL YASSA - CARRIERE RAZEL LOGBADJECK</v>
      </c>
    </row>
    <row r="125" spans="1:14" s="18" customFormat="1" ht="17.25" customHeight="1">
      <c r="A125" s="16" t="s">
        <v>75</v>
      </c>
      <c r="B125" s="17" t="s">
        <v>796</v>
      </c>
      <c r="C125" s="17" t="s">
        <v>1000</v>
      </c>
      <c r="D125" s="22" t="s">
        <v>1001</v>
      </c>
      <c r="E125" s="27">
        <f t="shared" si="43"/>
        <v>2.9166666667151731E-2</v>
      </c>
      <c r="F125" s="18" t="s">
        <v>40</v>
      </c>
      <c r="G125" s="30">
        <f t="shared" si="44"/>
        <v>4.7916666662786156E-2</v>
      </c>
      <c r="H125" s="23" t="str">
        <f t="shared" si="45"/>
        <v>DEPOT RAZEL YASSA - CARRIERE RAZEL LOGBADJECK</v>
      </c>
      <c r="I125" s="33" t="str">
        <f>IF(F124='Données Hebdo'!A125, VLOOKUP(Feuil1!A125, 'Données Hebdo'!B:J, 8, FALSE), "")</f>
        <v/>
      </c>
      <c r="J125" s="27" t="str">
        <f t="shared" si="46"/>
        <v>15:59:58 à 17:02:58</v>
      </c>
      <c r="K125" s="27" t="str">
        <f t="shared" si="47"/>
        <v>2016-06-03 17:02:58</v>
      </c>
      <c r="L125" s="27">
        <f t="shared" si="48"/>
        <v>4.3749999997089617E-2</v>
      </c>
      <c r="M125" s="30">
        <f t="shared" si="49"/>
        <v>2.9166666667151731E-2</v>
      </c>
      <c r="N125" s="18" t="str">
        <f t="shared" si="50"/>
        <v>CARRIERE RAZEL LOGBADJECK - DEPOT RAZEL YASSA</v>
      </c>
    </row>
    <row r="126" spans="1:14" s="18" customFormat="1" ht="17.25" customHeight="1">
      <c r="A126" s="16" t="s">
        <v>75</v>
      </c>
      <c r="B126" s="17" t="s">
        <v>56</v>
      </c>
      <c r="C126" s="17" t="s">
        <v>1002</v>
      </c>
      <c r="D126" s="22" t="s">
        <v>1003</v>
      </c>
      <c r="E126" s="27">
        <f t="shared" si="43"/>
        <v>6.9444444452528842E-3</v>
      </c>
      <c r="F126" s="18" t="s">
        <v>40</v>
      </c>
      <c r="G126" s="30">
        <f t="shared" si="44"/>
        <v>4.3749999997089617E-2</v>
      </c>
      <c r="H126" s="23" t="str">
        <f t="shared" si="45"/>
        <v>CARRIERE RAZEL LOGBADJECK - DEPOT RAZEL YASSA</v>
      </c>
      <c r="I126" s="33" t="str">
        <f>IF(F125='Données Hebdo'!A126, VLOOKUP(Feuil1!A126, 'Données Hebdo'!B:J, 8, FALSE), "")</f>
        <v/>
      </c>
      <c r="J126" s="27" t="str">
        <f t="shared" si="46"/>
        <v>17:12:58 à 17:53:37</v>
      </c>
      <c r="K126" s="27" t="str">
        <f t="shared" si="47"/>
        <v>2016-06-03 17:53:37</v>
      </c>
      <c r="L126" s="27">
        <f t="shared" si="48"/>
        <v>2.8229166666278616E-2</v>
      </c>
      <c r="M126" s="30">
        <f t="shared" si="49"/>
        <v>6.9444444452528842E-3</v>
      </c>
      <c r="N126" s="18" t="str">
        <f t="shared" si="50"/>
        <v>DEPOT RAZEL YASSA - CARRIERE RAZEL LOGBADJECK</v>
      </c>
    </row>
    <row r="127" spans="1:14" s="18" customFormat="1" ht="17.25" customHeight="1">
      <c r="A127" s="16" t="s">
        <v>75</v>
      </c>
      <c r="B127" s="17" t="s">
        <v>796</v>
      </c>
      <c r="C127" s="17" t="s">
        <v>1004</v>
      </c>
      <c r="D127" s="22" t="s">
        <v>1005</v>
      </c>
      <c r="E127" s="27">
        <f t="shared" si="43"/>
        <v>0.55848379629605915</v>
      </c>
      <c r="F127" s="18" t="s">
        <v>40</v>
      </c>
      <c r="G127" s="30">
        <f t="shared" si="44"/>
        <v>2.8229166666278616E-2</v>
      </c>
      <c r="H127" s="23" t="str">
        <f t="shared" si="45"/>
        <v>DEPOT RAZEL YASSA - CARRIERE RAZEL LOGBADJECK</v>
      </c>
      <c r="I127" s="33" t="str">
        <f>IF(F126='Données Hebdo'!A127, VLOOKUP(Feuil1!A127, 'Données Hebdo'!B:J, 8, FALSE), "")</f>
        <v/>
      </c>
      <c r="J127" s="27" t="str">
        <f t="shared" si="46"/>
        <v/>
      </c>
      <c r="K127" s="27" t="str">
        <f t="shared" si="47"/>
        <v/>
      </c>
      <c r="L127" s="27" t="str">
        <f t="shared" si="48"/>
        <v/>
      </c>
      <c r="M127" s="30" t="str">
        <f t="shared" si="49"/>
        <v/>
      </c>
      <c r="N127" s="18" t="str">
        <f t="shared" si="50"/>
        <v/>
      </c>
    </row>
    <row r="128" spans="1:14" s="18" customFormat="1" ht="17.25" customHeight="1">
      <c r="A128" s="16" t="s">
        <v>77</v>
      </c>
      <c r="B128" s="17" t="s">
        <v>745</v>
      </c>
      <c r="C128" s="17" t="s">
        <v>1006</v>
      </c>
      <c r="D128" s="22" t="s">
        <v>1007</v>
      </c>
      <c r="E128" s="27">
        <f t="shared" si="43"/>
        <v>1.3807870367600117E-2</v>
      </c>
      <c r="F128" s="18" t="s">
        <v>40</v>
      </c>
      <c r="G128" s="30" t="str">
        <f t="shared" si="44"/>
        <v/>
      </c>
      <c r="H128" s="23" t="str">
        <f t="shared" si="45"/>
        <v/>
      </c>
      <c r="I128" s="33" t="str">
        <f>IF(F127='Données Hebdo'!A128, VLOOKUP(Feuil1!A128, 'Données Hebdo'!B:J, 8, FALSE), "")</f>
        <v/>
      </c>
      <c r="J128" s="27" t="str">
        <f t="shared" si="46"/>
        <v>09:16:19 à 10:51:31</v>
      </c>
      <c r="K128" s="27" t="str">
        <f t="shared" si="47"/>
        <v>2016-06-03 10:51:31</v>
      </c>
      <c r="L128" s="27">
        <f t="shared" si="48"/>
        <v>6.6111111111240461E-2</v>
      </c>
      <c r="M128" s="30">
        <f t="shared" si="49"/>
        <v>1.3807870367600117E-2</v>
      </c>
      <c r="N128" s="18" t="str">
        <f t="shared" si="50"/>
        <v>BASE RAZEL BAGANGTE - BASE RAZEL BAGANGTE</v>
      </c>
    </row>
    <row r="129" spans="1:14" s="18" customFormat="1" ht="17.25" customHeight="1">
      <c r="A129" s="16" t="s">
        <v>77</v>
      </c>
      <c r="B129" s="17" t="s">
        <v>745</v>
      </c>
      <c r="C129" s="17" t="s">
        <v>1008</v>
      </c>
      <c r="D129" s="22" t="s">
        <v>1009</v>
      </c>
      <c r="E129" s="27">
        <f t="shared" si="43"/>
        <v>2.6365740741312038E-2</v>
      </c>
      <c r="F129" s="18" t="s">
        <v>40</v>
      </c>
      <c r="G129" s="30">
        <f t="shared" si="44"/>
        <v>6.6111111111240461E-2</v>
      </c>
      <c r="H129" s="23" t="str">
        <f t="shared" si="45"/>
        <v>BASE RAZEL BAGANGTE - BASE RAZEL BAGANGTE</v>
      </c>
      <c r="I129" s="33" t="str">
        <f>IF(F128='Données Hebdo'!A129, VLOOKUP(Feuil1!A129, 'Données Hebdo'!B:J, 8, FALSE), "")</f>
        <v/>
      </c>
      <c r="J129" s="27" t="str">
        <f t="shared" si="46"/>
        <v>11:29:29 à 19:11:07</v>
      </c>
      <c r="K129" s="27" t="str">
        <f t="shared" si="47"/>
        <v>2016-06-03 19:11:07</v>
      </c>
      <c r="L129" s="27">
        <f t="shared" si="48"/>
        <v>0.32057870370044839</v>
      </c>
      <c r="M129" s="30">
        <f t="shared" si="49"/>
        <v>2.6365740741312038E-2</v>
      </c>
      <c r="N129" s="18" t="str">
        <f t="shared" si="50"/>
        <v>BASE RAZEL BAGANGTE - BASE RAZEL WOURI</v>
      </c>
    </row>
    <row r="130" spans="1:14" s="18" customFormat="1" ht="17.25" customHeight="1">
      <c r="A130" s="16" t="s">
        <v>77</v>
      </c>
      <c r="B130" s="17" t="s">
        <v>58</v>
      </c>
      <c r="C130" s="17" t="s">
        <v>1010</v>
      </c>
      <c r="D130" s="22" t="s">
        <v>1011</v>
      </c>
      <c r="E130" s="27">
        <f t="shared" ref="E130:E193" si="51">IFERROR(D130-C130, "")</f>
        <v>0.54059027777839219</v>
      </c>
      <c r="F130" s="18" t="s">
        <v>40</v>
      </c>
      <c r="G130" s="30">
        <f t="shared" si="44"/>
        <v>0.32057870370044839</v>
      </c>
      <c r="H130" s="23" t="str">
        <f t="shared" si="45"/>
        <v>BASE RAZEL BAGANGTE - BASE RAZEL WOURI</v>
      </c>
      <c r="I130" s="33" t="str">
        <f>IF(F129='Données Hebdo'!A130, VLOOKUP(Feuil1!A130, 'Données Hebdo'!B:J, 8, FALSE), "")</f>
        <v/>
      </c>
      <c r="J130" s="27" t="str">
        <f t="shared" si="46"/>
        <v/>
      </c>
      <c r="K130" s="27" t="str">
        <f t="shared" si="47"/>
        <v/>
      </c>
      <c r="L130" s="27" t="str">
        <f t="shared" si="48"/>
        <v/>
      </c>
      <c r="M130" s="30" t="str">
        <f t="shared" si="49"/>
        <v/>
      </c>
      <c r="N130" s="18" t="str">
        <f t="shared" si="50"/>
        <v/>
      </c>
    </row>
    <row r="131" spans="1:14" s="18" customFormat="1" ht="17.25" customHeight="1">
      <c r="A131" s="16" t="s">
        <v>89</v>
      </c>
      <c r="B131" s="17" t="s">
        <v>796</v>
      </c>
      <c r="C131" s="17" t="s">
        <v>1012</v>
      </c>
      <c r="D131" s="22" t="s">
        <v>1013</v>
      </c>
      <c r="E131" s="27">
        <f t="shared" si="51"/>
        <v>5.1226851850515231E-2</v>
      </c>
      <c r="F131" s="18" t="s">
        <v>40</v>
      </c>
      <c r="G131" s="30" t="str">
        <f t="shared" si="44"/>
        <v/>
      </c>
      <c r="H131" s="23" t="str">
        <f t="shared" si="45"/>
        <v/>
      </c>
      <c r="I131" s="33" t="str">
        <f>IF(F130='Données Hebdo'!A131, VLOOKUP(Feuil1!A131, 'Données Hebdo'!B:J, 8, FALSE), "")</f>
        <v/>
      </c>
      <c r="J131" s="27" t="str">
        <f t="shared" si="46"/>
        <v>07:10:37 à 08:02:37</v>
      </c>
      <c r="K131" s="27" t="str">
        <f t="shared" si="47"/>
        <v>2016-06-03 08:02:37</v>
      </c>
      <c r="L131" s="27">
        <f t="shared" si="48"/>
        <v>3.6111111112404615E-2</v>
      </c>
      <c r="M131" s="30">
        <f t="shared" si="49"/>
        <v>5.1226851850515231E-2</v>
      </c>
      <c r="N131" s="18" t="str">
        <f t="shared" si="50"/>
        <v>CARRIERE RAZEL LOGBADJECK - DEPOT RAZEL YASSA</v>
      </c>
    </row>
    <row r="132" spans="1:14" s="18" customFormat="1" ht="17.25" customHeight="1">
      <c r="A132" s="16" t="s">
        <v>89</v>
      </c>
      <c r="B132" s="17" t="s">
        <v>56</v>
      </c>
      <c r="C132" s="17" t="s">
        <v>1014</v>
      </c>
      <c r="D132" s="22" t="s">
        <v>1015</v>
      </c>
      <c r="E132" s="27">
        <f t="shared" si="51"/>
        <v>6.2499999985448085E-3</v>
      </c>
      <c r="F132" s="18" t="s">
        <v>40</v>
      </c>
      <c r="G132" s="30">
        <f t="shared" si="44"/>
        <v>3.6111111112404615E-2</v>
      </c>
      <c r="H132" s="23" t="str">
        <f t="shared" si="45"/>
        <v>CARRIERE RAZEL LOGBADJECK - DEPOT RAZEL YASSA</v>
      </c>
      <c r="I132" s="33" t="str">
        <f>IF(F131='Données Hebdo'!A132, VLOOKUP(Feuil1!A132, 'Données Hebdo'!B:J, 8, FALSE), "")</f>
        <v/>
      </c>
      <c r="J132" s="27" t="str">
        <f t="shared" si="46"/>
        <v>08:11:37 à 09:50:37</v>
      </c>
      <c r="K132" s="27" t="str">
        <f t="shared" si="47"/>
        <v>2016-06-03 09:50:37</v>
      </c>
      <c r="L132" s="27">
        <f t="shared" si="48"/>
        <v>6.8750000005820766E-2</v>
      </c>
      <c r="M132" s="30">
        <f t="shared" si="49"/>
        <v>6.2499999985448085E-3</v>
      </c>
      <c r="N132" s="18" t="str">
        <f t="shared" si="50"/>
        <v>DEPOT RAZEL YASSA - CARRIERE RAZEL LOGBADJECK</v>
      </c>
    </row>
    <row r="133" spans="1:14" s="18" customFormat="1" ht="17.25" customHeight="1">
      <c r="A133" s="16" t="s">
        <v>89</v>
      </c>
      <c r="B133" s="17" t="s">
        <v>796</v>
      </c>
      <c r="C133" s="17" t="s">
        <v>1016</v>
      </c>
      <c r="D133" s="22" t="s">
        <v>1017</v>
      </c>
      <c r="E133" s="27">
        <f t="shared" si="51"/>
        <v>3.7499999998544808E-2</v>
      </c>
      <c r="F133" s="18" t="s">
        <v>40</v>
      </c>
      <c r="G133" s="30">
        <f t="shared" si="44"/>
        <v>6.8750000005820766E-2</v>
      </c>
      <c r="H133" s="23" t="str">
        <f t="shared" si="45"/>
        <v>DEPOT RAZEL YASSA - CARRIERE RAZEL LOGBADJECK</v>
      </c>
      <c r="I133" s="33" t="str">
        <f>IF(F132='Données Hebdo'!A133, VLOOKUP(Feuil1!A133, 'Données Hebdo'!B:J, 8, FALSE), "")</f>
        <v/>
      </c>
      <c r="J133" s="27" t="str">
        <f t="shared" si="46"/>
        <v>10:44:37 à 11:35:37</v>
      </c>
      <c r="K133" s="27" t="str">
        <f t="shared" si="47"/>
        <v>2016-06-03 11:35:37</v>
      </c>
      <c r="L133" s="27">
        <f t="shared" si="48"/>
        <v>3.5416666665696539E-2</v>
      </c>
      <c r="M133" s="30">
        <f t="shared" si="49"/>
        <v>3.7499999998544808E-2</v>
      </c>
      <c r="N133" s="18" t="str">
        <f t="shared" si="50"/>
        <v>CARRIERE RAZEL LOGBADJECK - DEPOT RAZEL YASSA</v>
      </c>
    </row>
    <row r="134" spans="1:14" s="18" customFormat="1" ht="17.25" customHeight="1">
      <c r="A134" s="16" t="s">
        <v>89</v>
      </c>
      <c r="B134" s="17" t="s">
        <v>56</v>
      </c>
      <c r="C134" s="17" t="s">
        <v>1018</v>
      </c>
      <c r="D134" s="22" t="s">
        <v>1019</v>
      </c>
      <c r="E134" s="27">
        <f t="shared" si="51"/>
        <v>4.8611111124046147E-3</v>
      </c>
      <c r="F134" s="18" t="s">
        <v>40</v>
      </c>
      <c r="G134" s="30">
        <f t="shared" si="44"/>
        <v>3.5416666665696539E-2</v>
      </c>
      <c r="H134" s="23" t="str">
        <f t="shared" si="45"/>
        <v>CARRIERE RAZEL LOGBADJECK - DEPOT RAZEL YASSA</v>
      </c>
      <c r="I134" s="33" t="str">
        <f>IF(F133='Données Hebdo'!A134, VLOOKUP(Feuil1!A134, 'Données Hebdo'!B:J, 8, FALSE), "")</f>
        <v/>
      </c>
      <c r="J134" s="27" t="str">
        <f t="shared" si="46"/>
        <v>11:42:37 à 12:28:37</v>
      </c>
      <c r="K134" s="27" t="str">
        <f t="shared" si="47"/>
        <v>2016-06-03 12:28:37</v>
      </c>
      <c r="L134" s="27">
        <f t="shared" si="48"/>
        <v>3.1944444446708076E-2</v>
      </c>
      <c r="M134" s="30">
        <f t="shared" si="49"/>
        <v>4.8611111124046147E-3</v>
      </c>
      <c r="N134" s="18" t="str">
        <f t="shared" si="50"/>
        <v>DEPOT RAZEL YASSA - CARRIERE RAZEL LOGBADJECK</v>
      </c>
    </row>
    <row r="135" spans="1:14" s="18" customFormat="1" ht="17.25" customHeight="1">
      <c r="A135" s="16" t="s">
        <v>89</v>
      </c>
      <c r="B135" s="17" t="s">
        <v>796</v>
      </c>
      <c r="C135" s="17" t="s">
        <v>1020</v>
      </c>
      <c r="D135" s="22" t="s">
        <v>1021</v>
      </c>
      <c r="E135" s="27">
        <f t="shared" si="51"/>
        <v>2.0138888889050577E-2</v>
      </c>
      <c r="F135" s="18" t="s">
        <v>40</v>
      </c>
      <c r="G135" s="30">
        <f t="shared" si="44"/>
        <v>3.1944444446708076E-2</v>
      </c>
      <c r="H135" s="23" t="str">
        <f t="shared" si="45"/>
        <v>DEPOT RAZEL YASSA - CARRIERE RAZEL LOGBADJECK</v>
      </c>
      <c r="I135" s="33" t="str">
        <f>IF(F134='Données Hebdo'!A135, VLOOKUP(Feuil1!A135, 'Données Hebdo'!B:J, 8, FALSE), "")</f>
        <v/>
      </c>
      <c r="J135" s="27" t="str">
        <f t="shared" si="46"/>
        <v>12:57:37 à 13:49:37</v>
      </c>
      <c r="K135" s="27" t="str">
        <f t="shared" si="47"/>
        <v>2016-06-03 13:49:37</v>
      </c>
      <c r="L135" s="27">
        <f t="shared" si="48"/>
        <v>3.6111111105128657E-2</v>
      </c>
      <c r="M135" s="30">
        <f t="shared" si="49"/>
        <v>2.0138888889050577E-2</v>
      </c>
      <c r="N135" s="18" t="str">
        <f t="shared" si="50"/>
        <v>CARRIERE RAZEL LOGBADJECK - DEPOT RAZEL YASSA</v>
      </c>
    </row>
    <row r="136" spans="1:14" s="18" customFormat="1" ht="17.25" customHeight="1">
      <c r="A136" s="16" t="s">
        <v>89</v>
      </c>
      <c r="B136" s="17" t="s">
        <v>56</v>
      </c>
      <c r="C136" s="17" t="s">
        <v>1022</v>
      </c>
      <c r="D136" s="22" t="s">
        <v>1023</v>
      </c>
      <c r="E136" s="27">
        <f t="shared" si="51"/>
        <v>5.5555555591126904E-3</v>
      </c>
      <c r="F136" s="18" t="s">
        <v>40</v>
      </c>
      <c r="G136" s="30">
        <f t="shared" si="44"/>
        <v>3.6111111105128657E-2</v>
      </c>
      <c r="H136" s="23" t="str">
        <f t="shared" si="45"/>
        <v>CARRIERE RAZEL LOGBADJECK - DEPOT RAZEL YASSA</v>
      </c>
      <c r="I136" s="33" t="str">
        <f>IF(F135='Données Hebdo'!A136, VLOOKUP(Feuil1!A136, 'Données Hebdo'!B:J, 8, FALSE), "")</f>
        <v/>
      </c>
      <c r="J136" s="27" t="str">
        <f t="shared" si="46"/>
        <v>13:57:37 à 14:49:37</v>
      </c>
      <c r="K136" s="27" t="str">
        <f t="shared" si="47"/>
        <v>2016-06-03 14:49:37</v>
      </c>
      <c r="L136" s="27">
        <f t="shared" si="48"/>
        <v>3.6111111112404615E-2</v>
      </c>
      <c r="M136" s="30">
        <f t="shared" si="49"/>
        <v>5.5555555591126904E-3</v>
      </c>
      <c r="N136" s="18" t="str">
        <f t="shared" si="50"/>
        <v>DEPOT RAZEL YASSA - CARRIERE RAZEL LOGBADJECK</v>
      </c>
    </row>
    <row r="137" spans="1:14" s="18" customFormat="1" ht="17.25" customHeight="1">
      <c r="A137" s="16" t="s">
        <v>89</v>
      </c>
      <c r="B137" s="17" t="s">
        <v>796</v>
      </c>
      <c r="C137" s="17" t="s">
        <v>1024</v>
      </c>
      <c r="D137" s="22" t="s">
        <v>1025</v>
      </c>
      <c r="E137" s="27">
        <f t="shared" si="51"/>
        <v>2.8472222220443655E-2</v>
      </c>
      <c r="F137" s="18" t="s">
        <v>40</v>
      </c>
      <c r="G137" s="30">
        <f t="shared" si="44"/>
        <v>3.6111111112404615E-2</v>
      </c>
      <c r="H137" s="23" t="str">
        <f t="shared" si="45"/>
        <v>DEPOT RAZEL YASSA - CARRIERE RAZEL LOGBADJECK</v>
      </c>
      <c r="I137" s="33" t="str">
        <f>IF(F136='Données Hebdo'!A137, VLOOKUP(Feuil1!A137, 'Données Hebdo'!B:J, 8, FALSE), "")</f>
        <v/>
      </c>
      <c r="J137" s="27" t="str">
        <f t="shared" si="46"/>
        <v>15:30:37 à 16:28:37</v>
      </c>
      <c r="K137" s="27" t="str">
        <f t="shared" si="47"/>
        <v>2016-06-03 16:28:37</v>
      </c>
      <c r="L137" s="27">
        <f t="shared" si="48"/>
        <v>4.0277777778101154E-2</v>
      </c>
      <c r="M137" s="30">
        <f t="shared" si="49"/>
        <v>2.8472222220443655E-2</v>
      </c>
      <c r="N137" s="18" t="str">
        <f t="shared" si="50"/>
        <v>CARRIERE RAZEL LOGBADJECK - DEPOT RAZEL YASSA</v>
      </c>
    </row>
    <row r="138" spans="1:14" s="18" customFormat="1" ht="17.25" customHeight="1">
      <c r="A138" s="16" t="s">
        <v>89</v>
      </c>
      <c r="B138" s="17" t="s">
        <v>56</v>
      </c>
      <c r="C138" s="17" t="s">
        <v>1026</v>
      </c>
      <c r="D138" s="22" t="s">
        <v>1027</v>
      </c>
      <c r="E138" s="27">
        <f t="shared" si="51"/>
        <v>0.50231481481023366</v>
      </c>
      <c r="F138" s="18" t="s">
        <v>40</v>
      </c>
      <c r="G138" s="30">
        <f t="shared" si="44"/>
        <v>4.0277777778101154E-2</v>
      </c>
      <c r="H138" s="23" t="str">
        <f t="shared" si="45"/>
        <v>CARRIERE RAZEL LOGBADJECK - DEPOT RAZEL YASSA</v>
      </c>
      <c r="I138" s="33" t="str">
        <f>IF(F137='Données Hebdo'!A138, VLOOKUP(Feuil1!A138, 'Données Hebdo'!B:J, 8, FALSE), "")</f>
        <v/>
      </c>
      <c r="J138" s="27" t="str">
        <f t="shared" si="46"/>
        <v/>
      </c>
      <c r="K138" s="27" t="str">
        <f t="shared" si="47"/>
        <v/>
      </c>
      <c r="L138" s="27" t="str">
        <f t="shared" si="48"/>
        <v/>
      </c>
      <c r="M138" s="30" t="str">
        <f t="shared" si="49"/>
        <v/>
      </c>
      <c r="N138" s="18" t="str">
        <f t="shared" si="50"/>
        <v/>
      </c>
    </row>
    <row r="139" spans="1:14" s="18" customFormat="1" ht="17.25" customHeight="1">
      <c r="A139" s="16" t="s">
        <v>90</v>
      </c>
      <c r="B139" s="17" t="s">
        <v>42</v>
      </c>
      <c r="C139" s="17" t="s">
        <v>1028</v>
      </c>
      <c r="D139" s="22" t="s">
        <v>1029</v>
      </c>
      <c r="E139" s="27">
        <f t="shared" si="51"/>
        <v>3.2187500000873115E-2</v>
      </c>
      <c r="F139" s="18" t="s">
        <v>40</v>
      </c>
      <c r="G139" s="30" t="str">
        <f t="shared" ref="G139:G202" si="52">IF(A139=A138, C139-D138, "")</f>
        <v/>
      </c>
      <c r="H139" s="23" t="str">
        <f t="shared" ref="H139:H202" si="53">IF(A139=A138, B138&amp;" - "&amp;B139, "")</f>
        <v/>
      </c>
      <c r="I139" s="33" t="str">
        <f>IF(F138='Données Hebdo'!A139, VLOOKUP(Feuil1!A139, 'Données Hebdo'!B:J, 8, FALSE), "")</f>
        <v/>
      </c>
      <c r="J139" s="27" t="str">
        <f t="shared" ref="J139:J202" si="54">IF(A139=A140, RIGHT(D139, 8)&amp;" à "&amp;RIGHT(C140, 8), "")</f>
        <v>13:56:57 à 18:11:04</v>
      </c>
      <c r="K139" s="27" t="str">
        <f t="shared" ref="K139:K202" si="55">IF(A139=A140, C140, "")</f>
        <v>2016-06-03 18:11:04</v>
      </c>
      <c r="L139" s="27">
        <f t="shared" ref="L139:L202" si="56">IF(A139=A140, G140, "")</f>
        <v>0.17646990740468027</v>
      </c>
      <c r="M139" s="30">
        <f t="shared" ref="M139:M202" si="57">IF(A139=A140, E139, "")</f>
        <v>3.2187500000873115E-2</v>
      </c>
      <c r="N139" s="18" t="str">
        <f t="shared" ref="N139:N202" si="58">IF(A139=A140, H140, "")</f>
        <v>CARRIERE RAZEL NKOMETOU - BASE RAZEL PREFECTURE</v>
      </c>
    </row>
    <row r="140" spans="1:14" s="18" customFormat="1" ht="17.25" customHeight="1">
      <c r="A140" s="16" t="s">
        <v>90</v>
      </c>
      <c r="B140" s="17" t="s">
        <v>197</v>
      </c>
      <c r="C140" s="17" t="s">
        <v>1030</v>
      </c>
      <c r="D140" s="22" t="s">
        <v>1031</v>
      </c>
      <c r="E140" s="27">
        <f t="shared" si="51"/>
        <v>0.52563657407154096</v>
      </c>
      <c r="F140" s="18" t="s">
        <v>40</v>
      </c>
      <c r="G140" s="30">
        <f t="shared" si="52"/>
        <v>0.17646990740468027</v>
      </c>
      <c r="H140" s="23" t="str">
        <f t="shared" si="53"/>
        <v>CARRIERE RAZEL NKOMETOU - BASE RAZEL PREFECTURE</v>
      </c>
      <c r="I140" s="33" t="str">
        <f>IF(F139='Données Hebdo'!A140, VLOOKUP(Feuil1!A140, 'Données Hebdo'!B:J, 8, FALSE), "")</f>
        <v/>
      </c>
      <c r="J140" s="27" t="str">
        <f t="shared" si="54"/>
        <v/>
      </c>
      <c r="K140" s="27" t="str">
        <f t="shared" si="55"/>
        <v/>
      </c>
      <c r="L140" s="27" t="str">
        <f t="shared" si="56"/>
        <v/>
      </c>
      <c r="M140" s="30" t="str">
        <f t="shared" si="57"/>
        <v/>
      </c>
      <c r="N140" s="18" t="str">
        <f t="shared" si="58"/>
        <v/>
      </c>
    </row>
    <row r="141" spans="1:14" s="18" customFormat="1" ht="17.25" customHeight="1">
      <c r="A141" s="16" t="s">
        <v>91</v>
      </c>
      <c r="B141" s="17" t="s">
        <v>796</v>
      </c>
      <c r="C141" s="17" t="s">
        <v>1032</v>
      </c>
      <c r="D141" s="22" t="s">
        <v>1033</v>
      </c>
      <c r="E141" s="27">
        <f t="shared" si="51"/>
        <v>4.8784722217533272E-2</v>
      </c>
      <c r="F141" s="18" t="s">
        <v>40</v>
      </c>
      <c r="G141" s="30" t="str">
        <f t="shared" si="52"/>
        <v/>
      </c>
      <c r="H141" s="23" t="str">
        <f t="shared" si="53"/>
        <v/>
      </c>
      <c r="I141" s="33" t="str">
        <f>IF(F140='Données Hebdo'!A141, VLOOKUP(Feuil1!A141, 'Données Hebdo'!B:J, 8, FALSE), "")</f>
        <v/>
      </c>
      <c r="J141" s="27" t="str">
        <f t="shared" si="54"/>
        <v>11:00:25 à 11:57:25</v>
      </c>
      <c r="K141" s="27" t="str">
        <f t="shared" si="55"/>
        <v>2016-06-03 11:57:25</v>
      </c>
      <c r="L141" s="27">
        <f t="shared" si="56"/>
        <v>3.9583333338669036E-2</v>
      </c>
      <c r="M141" s="30">
        <f t="shared" si="57"/>
        <v>4.8784722217533272E-2</v>
      </c>
      <c r="N141" s="18" t="str">
        <f t="shared" si="58"/>
        <v>CARRIERE RAZEL LOGBADJECK - DEPOT RAZEL YASSA</v>
      </c>
    </row>
    <row r="142" spans="1:14" s="18" customFormat="1" ht="17.25" customHeight="1">
      <c r="A142" s="16" t="s">
        <v>91</v>
      </c>
      <c r="B142" s="17" t="s">
        <v>56</v>
      </c>
      <c r="C142" s="17" t="s">
        <v>1034</v>
      </c>
      <c r="D142" s="22" t="s">
        <v>1035</v>
      </c>
      <c r="E142" s="27">
        <f t="shared" si="51"/>
        <v>9.0277777781011537E-3</v>
      </c>
      <c r="F142" s="18" t="s">
        <v>40</v>
      </c>
      <c r="G142" s="30">
        <f t="shared" si="52"/>
        <v>3.9583333338669036E-2</v>
      </c>
      <c r="H142" s="23" t="str">
        <f t="shared" si="53"/>
        <v>CARRIERE RAZEL LOGBADJECK - DEPOT RAZEL YASSA</v>
      </c>
      <c r="I142" s="33" t="str">
        <f>IF(F141='Données Hebdo'!A142, VLOOKUP(Feuil1!A142, 'Données Hebdo'!B:J, 8, FALSE), "")</f>
        <v/>
      </c>
      <c r="J142" s="27" t="str">
        <f t="shared" si="54"/>
        <v>12:10:25 à 13:18:25</v>
      </c>
      <c r="K142" s="27" t="str">
        <f t="shared" si="55"/>
        <v>2016-06-03 13:18:25</v>
      </c>
      <c r="L142" s="27">
        <f t="shared" si="56"/>
        <v>4.722222221607808E-2</v>
      </c>
      <c r="M142" s="30">
        <f t="shared" si="57"/>
        <v>9.0277777781011537E-3</v>
      </c>
      <c r="N142" s="18" t="str">
        <f t="shared" si="58"/>
        <v>DEPOT RAZEL YASSA - CARRIERE RAZEL LOGBADJECK</v>
      </c>
    </row>
    <row r="143" spans="1:14" s="18" customFormat="1" ht="17.25" customHeight="1">
      <c r="A143" s="16" t="s">
        <v>91</v>
      </c>
      <c r="B143" s="17" t="s">
        <v>796</v>
      </c>
      <c r="C143" s="17" t="s">
        <v>1036</v>
      </c>
      <c r="D143" s="22" t="s">
        <v>1037</v>
      </c>
      <c r="E143" s="27">
        <f t="shared" si="51"/>
        <v>0.73752314814919373</v>
      </c>
      <c r="F143" s="18" t="s">
        <v>40</v>
      </c>
      <c r="G143" s="30">
        <f t="shared" si="52"/>
        <v>4.722222221607808E-2</v>
      </c>
      <c r="H143" s="23" t="str">
        <f t="shared" si="53"/>
        <v>DEPOT RAZEL YASSA - CARRIERE RAZEL LOGBADJECK</v>
      </c>
      <c r="I143" s="33" t="str">
        <f>IF(F142='Données Hebdo'!A143, VLOOKUP(Feuil1!A143, 'Données Hebdo'!B:J, 8, FALSE), "")</f>
        <v/>
      </c>
      <c r="J143" s="27" t="str">
        <f t="shared" si="54"/>
        <v/>
      </c>
      <c r="K143" s="27" t="str">
        <f t="shared" si="55"/>
        <v/>
      </c>
      <c r="L143" s="27" t="str">
        <f t="shared" si="56"/>
        <v/>
      </c>
      <c r="M143" s="30" t="str">
        <f t="shared" si="57"/>
        <v/>
      </c>
      <c r="N143" s="18" t="str">
        <f t="shared" si="58"/>
        <v/>
      </c>
    </row>
    <row r="144" spans="1:14" s="18" customFormat="1" ht="17.25" customHeight="1">
      <c r="A144" s="16" t="s">
        <v>749</v>
      </c>
      <c r="B144" s="17" t="s">
        <v>52</v>
      </c>
      <c r="C144" s="17" t="s">
        <v>1038</v>
      </c>
      <c r="D144" s="22" t="s">
        <v>1039</v>
      </c>
      <c r="E144" s="27">
        <f t="shared" si="51"/>
        <v>3.425925926421769E-3</v>
      </c>
      <c r="F144" s="18" t="s">
        <v>40</v>
      </c>
      <c r="G144" s="30" t="str">
        <f t="shared" si="52"/>
        <v/>
      </c>
      <c r="H144" s="23" t="str">
        <f t="shared" si="53"/>
        <v/>
      </c>
      <c r="I144" s="33" t="str">
        <f>IF(F143='Données Hebdo'!A144, VLOOKUP(Feuil1!A144, 'Données Hebdo'!B:J, 8, FALSE), "")</f>
        <v/>
      </c>
      <c r="J144" s="27" t="str">
        <f t="shared" si="54"/>
        <v>14:25:12 à 16:09:22</v>
      </c>
      <c r="K144" s="27" t="str">
        <f t="shared" si="55"/>
        <v>2016-06-03 16:09:22</v>
      </c>
      <c r="L144" s="27">
        <f t="shared" si="56"/>
        <v>7.2337962963501923E-2</v>
      </c>
      <c r="M144" s="30">
        <f t="shared" si="57"/>
        <v>3.425925926421769E-3</v>
      </c>
      <c r="N144" s="18" t="str">
        <f t="shared" si="58"/>
        <v>BASE RAZEL OLEMBE - BASE RAZEL OLEMBE</v>
      </c>
    </row>
    <row r="145" spans="1:14" s="18" customFormat="1" ht="17.25" customHeight="1">
      <c r="A145" s="16" t="s">
        <v>749</v>
      </c>
      <c r="B145" s="17" t="s">
        <v>52</v>
      </c>
      <c r="C145" s="17" t="s">
        <v>1040</v>
      </c>
      <c r="D145" s="22" t="s">
        <v>1041</v>
      </c>
      <c r="E145" s="27">
        <f t="shared" si="51"/>
        <v>3.9814814808778465E-3</v>
      </c>
      <c r="F145" s="18" t="s">
        <v>40</v>
      </c>
      <c r="G145" s="30">
        <f t="shared" si="52"/>
        <v>7.2337962963501923E-2</v>
      </c>
      <c r="H145" s="23" t="str">
        <f t="shared" si="53"/>
        <v>BASE RAZEL OLEMBE - BASE RAZEL OLEMBE</v>
      </c>
      <c r="I145" s="33" t="str">
        <f>IF(F144='Données Hebdo'!A145, VLOOKUP(Feuil1!A145, 'Données Hebdo'!B:J, 8, FALSE), "")</f>
        <v/>
      </c>
      <c r="J145" s="27" t="str">
        <f t="shared" si="54"/>
        <v/>
      </c>
      <c r="K145" s="27" t="str">
        <f t="shared" si="55"/>
        <v/>
      </c>
      <c r="L145" s="27" t="str">
        <f t="shared" si="56"/>
        <v/>
      </c>
      <c r="M145" s="30" t="str">
        <f t="shared" si="57"/>
        <v/>
      </c>
      <c r="N145" s="18" t="str">
        <f t="shared" si="58"/>
        <v/>
      </c>
    </row>
    <row r="146" spans="1:14" s="18" customFormat="1" ht="17.25" customHeight="1">
      <c r="A146" s="16" t="s">
        <v>744</v>
      </c>
      <c r="B146" s="17" t="s">
        <v>745</v>
      </c>
      <c r="C146" s="17" t="s">
        <v>1042</v>
      </c>
      <c r="D146" s="22" t="s">
        <v>1043</v>
      </c>
      <c r="E146" s="27">
        <f t="shared" si="51"/>
        <v>1.5122453703661449</v>
      </c>
      <c r="F146" s="18" t="s">
        <v>40</v>
      </c>
      <c r="G146" s="30" t="str">
        <f t="shared" si="52"/>
        <v/>
      </c>
      <c r="H146" s="23" t="str">
        <f t="shared" si="53"/>
        <v/>
      </c>
      <c r="I146" s="33" t="str">
        <f>IF(F145='Données Hebdo'!A146, VLOOKUP(Feuil1!A146, 'Données Hebdo'!B:J, 8, FALSE), "")</f>
        <v/>
      </c>
      <c r="J146" s="27" t="str">
        <f t="shared" si="54"/>
        <v/>
      </c>
      <c r="K146" s="27" t="str">
        <f t="shared" si="55"/>
        <v/>
      </c>
      <c r="L146" s="27" t="str">
        <f t="shared" si="56"/>
        <v/>
      </c>
      <c r="M146" s="30" t="str">
        <f t="shared" si="57"/>
        <v/>
      </c>
      <c r="N146" s="18" t="str">
        <f t="shared" si="58"/>
        <v/>
      </c>
    </row>
    <row r="147" spans="1:14" s="18" customFormat="1" ht="17.25" customHeight="1">
      <c r="A147" s="16" t="s">
        <v>746</v>
      </c>
      <c r="B147" s="17" t="s">
        <v>745</v>
      </c>
      <c r="C147" s="17" t="s">
        <v>1044</v>
      </c>
      <c r="D147" s="22" t="s">
        <v>1045</v>
      </c>
      <c r="E147" s="27">
        <f t="shared" si="51"/>
        <v>1.5014351851859828</v>
      </c>
      <c r="F147" s="18" t="s">
        <v>40</v>
      </c>
      <c r="G147" s="30" t="str">
        <f t="shared" si="52"/>
        <v/>
      </c>
      <c r="H147" s="23" t="str">
        <f t="shared" si="53"/>
        <v/>
      </c>
      <c r="I147" s="33" t="str">
        <f>IF(F146='Données Hebdo'!A147, VLOOKUP(Feuil1!A147, 'Données Hebdo'!B:J, 8, FALSE), "")</f>
        <v/>
      </c>
      <c r="J147" s="27" t="str">
        <f t="shared" si="54"/>
        <v/>
      </c>
      <c r="K147" s="27" t="str">
        <f t="shared" si="55"/>
        <v/>
      </c>
      <c r="L147" s="27" t="str">
        <f t="shared" si="56"/>
        <v/>
      </c>
      <c r="M147" s="30" t="str">
        <f t="shared" si="57"/>
        <v/>
      </c>
      <c r="N147" s="18" t="str">
        <f t="shared" si="58"/>
        <v/>
      </c>
    </row>
    <row r="148" spans="1:14" s="18" customFormat="1" ht="17.25" customHeight="1">
      <c r="A148" s="16" t="s">
        <v>747</v>
      </c>
      <c r="B148" s="17" t="s">
        <v>761</v>
      </c>
      <c r="C148" s="17" t="s">
        <v>1046</v>
      </c>
      <c r="D148" s="22" t="s">
        <v>1047</v>
      </c>
      <c r="E148" s="27">
        <f t="shared" si="51"/>
        <v>6.0879629600094631E-3</v>
      </c>
      <c r="F148" s="18" t="s">
        <v>40</v>
      </c>
      <c r="G148" s="30" t="str">
        <f t="shared" si="52"/>
        <v/>
      </c>
      <c r="H148" s="23" t="str">
        <f t="shared" si="53"/>
        <v/>
      </c>
      <c r="I148" s="33" t="str">
        <f>IF(F147='Données Hebdo'!A148, VLOOKUP(Feuil1!A148, 'Données Hebdo'!B:J, 8, FALSE), "")</f>
        <v/>
      </c>
      <c r="J148" s="27" t="str">
        <f t="shared" si="54"/>
        <v>07:19:43 à 07:22:05</v>
      </c>
      <c r="K148" s="27" t="str">
        <f t="shared" si="55"/>
        <v>2016-06-04 07:22:05</v>
      </c>
      <c r="L148" s="27">
        <f t="shared" si="56"/>
        <v>1.643518524360843E-3</v>
      </c>
      <c r="M148" s="30">
        <f t="shared" si="57"/>
        <v>6.0879629600094631E-3</v>
      </c>
      <c r="N148" s="18" t="str">
        <f t="shared" si="58"/>
        <v>CARRIERE RAZEL BAGANGTE - CARRIERE RAZEL BAGANGTE</v>
      </c>
    </row>
    <row r="149" spans="1:14" s="18" customFormat="1" ht="17.25" customHeight="1">
      <c r="A149" s="16" t="s">
        <v>747</v>
      </c>
      <c r="B149" s="17" t="s">
        <v>761</v>
      </c>
      <c r="C149" s="17" t="s">
        <v>1048</v>
      </c>
      <c r="D149" s="22" t="s">
        <v>1049</v>
      </c>
      <c r="E149" s="27">
        <f t="shared" si="51"/>
        <v>7.2222222224809229E-3</v>
      </c>
      <c r="F149" s="18" t="s">
        <v>40</v>
      </c>
      <c r="G149" s="30">
        <f t="shared" si="52"/>
        <v>1.643518524360843E-3</v>
      </c>
      <c r="H149" s="23" t="str">
        <f t="shared" si="53"/>
        <v>CARRIERE RAZEL BAGANGTE - CARRIERE RAZEL BAGANGTE</v>
      </c>
      <c r="I149" s="33" t="str">
        <f>IF(F148='Données Hebdo'!A149, VLOOKUP(Feuil1!A149, 'Données Hebdo'!B:J, 8, FALSE), "")</f>
        <v/>
      </c>
      <c r="J149" s="27" t="str">
        <f t="shared" si="54"/>
        <v>07:32:29 à 08:13:24</v>
      </c>
      <c r="K149" s="27" t="str">
        <f t="shared" si="55"/>
        <v>2016-06-04 08:13:24</v>
      </c>
      <c r="L149" s="27">
        <f t="shared" si="56"/>
        <v>2.8414351851097308E-2</v>
      </c>
      <c r="M149" s="30">
        <f t="shared" si="57"/>
        <v>7.2222222224809229E-3</v>
      </c>
      <c r="N149" s="18" t="str">
        <f t="shared" si="58"/>
        <v>CARRIERE RAZEL BAGANGTE - CARRIERE RAZEL BAGANGTE</v>
      </c>
    </row>
    <row r="150" spans="1:14" s="18" customFormat="1" ht="17.25" customHeight="1">
      <c r="A150" s="16" t="s">
        <v>747</v>
      </c>
      <c r="B150" s="17" t="s">
        <v>761</v>
      </c>
      <c r="C150" s="17" t="s">
        <v>1050</v>
      </c>
      <c r="D150" s="22" t="s">
        <v>1051</v>
      </c>
      <c r="E150" s="27">
        <f t="shared" si="51"/>
        <v>3.4826388888177462E-2</v>
      </c>
      <c r="F150" s="18" t="s">
        <v>40</v>
      </c>
      <c r="G150" s="30">
        <f t="shared" si="52"/>
        <v>2.8414351851097308E-2</v>
      </c>
      <c r="H150" s="23" t="str">
        <f t="shared" si="53"/>
        <v>CARRIERE RAZEL BAGANGTE - CARRIERE RAZEL BAGANGTE</v>
      </c>
      <c r="I150" s="33" t="str">
        <f>IF(F149='Données Hebdo'!A150, VLOOKUP(Feuil1!A150, 'Données Hebdo'!B:J, 8, FALSE), "")</f>
        <v/>
      </c>
      <c r="J150" s="27" t="str">
        <f t="shared" si="54"/>
        <v>09:03:33 à 09:08:41</v>
      </c>
      <c r="K150" s="27" t="str">
        <f t="shared" si="55"/>
        <v>2016-06-04 09:08:41</v>
      </c>
      <c r="L150" s="27">
        <f t="shared" si="56"/>
        <v>3.5648148113978095E-3</v>
      </c>
      <c r="M150" s="30">
        <f t="shared" si="57"/>
        <v>3.4826388888177462E-2</v>
      </c>
      <c r="N150" s="18" t="str">
        <f t="shared" si="58"/>
        <v>CARRIERE RAZEL BAGANGTE - CARRIERE RAZEL BAGANGTE</v>
      </c>
    </row>
    <row r="151" spans="1:14" s="18" customFormat="1" ht="17.25" customHeight="1">
      <c r="A151" s="16" t="s">
        <v>747</v>
      </c>
      <c r="B151" s="17" t="s">
        <v>761</v>
      </c>
      <c r="C151" s="17" t="s">
        <v>1052</v>
      </c>
      <c r="D151" s="22" t="s">
        <v>1053</v>
      </c>
      <c r="E151" s="27">
        <f t="shared" si="51"/>
        <v>3.8425925959018059E-3</v>
      </c>
      <c r="F151" s="18" t="s">
        <v>40</v>
      </c>
      <c r="G151" s="30">
        <f t="shared" si="52"/>
        <v>3.5648148113978095E-3</v>
      </c>
      <c r="H151" s="23" t="str">
        <f t="shared" si="53"/>
        <v>CARRIERE RAZEL BAGANGTE - CARRIERE RAZEL BAGANGTE</v>
      </c>
      <c r="I151" s="33" t="str">
        <f>IF(F150='Données Hebdo'!A151, VLOOKUP(Feuil1!A151, 'Données Hebdo'!B:J, 8, FALSE), "")</f>
        <v/>
      </c>
      <c r="J151" s="27" t="str">
        <f t="shared" si="54"/>
        <v>09:14:13 à 09:18:22</v>
      </c>
      <c r="K151" s="27" t="str">
        <f t="shared" si="55"/>
        <v>2016-06-04 09:18:22</v>
      </c>
      <c r="L151" s="27">
        <f t="shared" si="56"/>
        <v>2.8819444414693862E-3</v>
      </c>
      <c r="M151" s="30">
        <f t="shared" si="57"/>
        <v>3.8425925959018059E-3</v>
      </c>
      <c r="N151" s="18" t="str">
        <f t="shared" si="58"/>
        <v>CARRIERE RAZEL BAGANGTE - CARRIERE RAZEL BAGANGTE</v>
      </c>
    </row>
    <row r="152" spans="1:14" s="18" customFormat="1" ht="17.25" customHeight="1">
      <c r="A152" s="16" t="s">
        <v>747</v>
      </c>
      <c r="B152" s="17" t="s">
        <v>761</v>
      </c>
      <c r="C152" s="17" t="s">
        <v>1054</v>
      </c>
      <c r="D152" s="22" t="s">
        <v>1055</v>
      </c>
      <c r="E152" s="27">
        <f t="shared" si="51"/>
        <v>4.756944443215616E-3</v>
      </c>
      <c r="F152" s="18" t="s">
        <v>40</v>
      </c>
      <c r="G152" s="30">
        <f t="shared" si="52"/>
        <v>2.8819444414693862E-3</v>
      </c>
      <c r="H152" s="23" t="str">
        <f t="shared" si="53"/>
        <v>CARRIERE RAZEL BAGANGTE - CARRIERE RAZEL BAGANGTE</v>
      </c>
      <c r="I152" s="33" t="str">
        <f>IF(F151='Données Hebdo'!A152, VLOOKUP(Feuil1!A152, 'Données Hebdo'!B:J, 8, FALSE), "")</f>
        <v/>
      </c>
      <c r="J152" s="27" t="str">
        <f t="shared" si="54"/>
        <v>09:25:13 à 09:28:04</v>
      </c>
      <c r="K152" s="27" t="str">
        <f t="shared" si="55"/>
        <v>2016-06-04 09:28:04</v>
      </c>
      <c r="L152" s="27">
        <f t="shared" si="56"/>
        <v>1.9791666709352285E-3</v>
      </c>
      <c r="M152" s="30">
        <f t="shared" si="57"/>
        <v>4.756944443215616E-3</v>
      </c>
      <c r="N152" s="18" t="str">
        <f t="shared" si="58"/>
        <v>CARRIERE RAZEL BAGANGTE - CARRIERE RAZEL BAGANGTE</v>
      </c>
    </row>
    <row r="153" spans="1:14" s="18" customFormat="1" ht="17.25" customHeight="1">
      <c r="A153" s="16" t="s">
        <v>747</v>
      </c>
      <c r="B153" s="17" t="s">
        <v>761</v>
      </c>
      <c r="C153" s="17" t="s">
        <v>1056</v>
      </c>
      <c r="D153" s="22" t="s">
        <v>1057</v>
      </c>
      <c r="E153" s="27">
        <f t="shared" si="51"/>
        <v>4.1319444426335394E-3</v>
      </c>
      <c r="F153" s="18" t="s">
        <v>40</v>
      </c>
      <c r="G153" s="30">
        <f t="shared" si="52"/>
        <v>1.9791666709352285E-3</v>
      </c>
      <c r="H153" s="23" t="str">
        <f t="shared" si="53"/>
        <v>CARRIERE RAZEL BAGANGTE - CARRIERE RAZEL BAGANGTE</v>
      </c>
      <c r="I153" s="33" t="str">
        <f>IF(F152='Données Hebdo'!A153, VLOOKUP(Feuil1!A153, 'Données Hebdo'!B:J, 8, FALSE), "")</f>
        <v/>
      </c>
      <c r="J153" s="27" t="str">
        <f t="shared" si="54"/>
        <v>09:34:01 à 09:36:52</v>
      </c>
      <c r="K153" s="27" t="str">
        <f t="shared" si="55"/>
        <v>2016-06-04 09:36:52</v>
      </c>
      <c r="L153" s="27">
        <f t="shared" si="56"/>
        <v>1.9791666636592709E-3</v>
      </c>
      <c r="M153" s="30">
        <f t="shared" si="57"/>
        <v>4.1319444426335394E-3</v>
      </c>
      <c r="N153" s="18" t="str">
        <f t="shared" si="58"/>
        <v>CARRIERE RAZEL BAGANGTE - CARRIERE RAZEL BAGANGTE</v>
      </c>
    </row>
    <row r="154" spans="1:14" s="18" customFormat="1" ht="17.25" customHeight="1">
      <c r="A154" s="16" t="s">
        <v>747</v>
      </c>
      <c r="B154" s="17" t="s">
        <v>761</v>
      </c>
      <c r="C154" s="17" t="s">
        <v>1058</v>
      </c>
      <c r="D154" s="22" t="s">
        <v>1059</v>
      </c>
      <c r="E154" s="27">
        <f t="shared" si="51"/>
        <v>2.7662037100526504E-3</v>
      </c>
      <c r="F154" s="18" t="s">
        <v>40</v>
      </c>
      <c r="G154" s="30">
        <f t="shared" si="52"/>
        <v>1.9791666636592709E-3</v>
      </c>
      <c r="H154" s="23" t="str">
        <f t="shared" si="53"/>
        <v>CARRIERE RAZEL BAGANGTE - CARRIERE RAZEL BAGANGTE</v>
      </c>
      <c r="I154" s="33" t="str">
        <f>IF(F153='Données Hebdo'!A154, VLOOKUP(Feuil1!A154, 'Données Hebdo'!B:J, 8, FALSE), "")</f>
        <v/>
      </c>
      <c r="J154" s="27" t="str">
        <f t="shared" si="54"/>
        <v>09:40:51 à 09:43:51</v>
      </c>
      <c r="K154" s="27" t="str">
        <f t="shared" si="55"/>
        <v>2016-06-04 09:43:51</v>
      </c>
      <c r="L154" s="27">
        <f t="shared" si="56"/>
        <v>2.0833333328482695E-3</v>
      </c>
      <c r="M154" s="30">
        <f t="shared" si="57"/>
        <v>2.7662037100526504E-3</v>
      </c>
      <c r="N154" s="18" t="str">
        <f t="shared" si="58"/>
        <v>CARRIERE RAZEL BAGANGTE - CARRIERE RAZEL BAGANGTE</v>
      </c>
    </row>
    <row r="155" spans="1:14" s="18" customFormat="1" ht="17.25" customHeight="1">
      <c r="A155" s="16" t="s">
        <v>747</v>
      </c>
      <c r="B155" s="17" t="s">
        <v>761</v>
      </c>
      <c r="C155" s="17" t="s">
        <v>1060</v>
      </c>
      <c r="D155" s="22" t="s">
        <v>1061</v>
      </c>
      <c r="E155" s="27">
        <f t="shared" si="51"/>
        <v>3.1249999956344254E-3</v>
      </c>
      <c r="F155" s="18" t="s">
        <v>40</v>
      </c>
      <c r="G155" s="30">
        <f t="shared" si="52"/>
        <v>2.0833333328482695E-3</v>
      </c>
      <c r="H155" s="23" t="str">
        <f t="shared" si="53"/>
        <v>CARRIERE RAZEL BAGANGTE - CARRIERE RAZEL BAGANGTE</v>
      </c>
      <c r="I155" s="33" t="str">
        <f>IF(F154='Données Hebdo'!A155, VLOOKUP(Feuil1!A155, 'Données Hebdo'!B:J, 8, FALSE), "")</f>
        <v/>
      </c>
      <c r="J155" s="27" t="str">
        <f t="shared" si="54"/>
        <v>09:48:21 à 09:52:15</v>
      </c>
      <c r="K155" s="27" t="str">
        <f t="shared" si="55"/>
        <v>2016-06-04 09:52:15</v>
      </c>
      <c r="L155" s="27">
        <f t="shared" si="56"/>
        <v>2.7083333334303461E-3</v>
      </c>
      <c r="M155" s="30">
        <f t="shared" si="57"/>
        <v>3.1249999956344254E-3</v>
      </c>
      <c r="N155" s="18" t="str">
        <f t="shared" si="58"/>
        <v>CARRIERE RAZEL BAGANGTE - CARRIERE RAZEL BAGANGTE</v>
      </c>
    </row>
    <row r="156" spans="1:14" s="18" customFormat="1" ht="17.25" customHeight="1">
      <c r="A156" s="16" t="s">
        <v>747</v>
      </c>
      <c r="B156" s="17" t="s">
        <v>761</v>
      </c>
      <c r="C156" s="17" t="s">
        <v>1062</v>
      </c>
      <c r="D156" s="22" t="s">
        <v>1063</v>
      </c>
      <c r="E156" s="27">
        <f t="shared" si="51"/>
        <v>2.8009259258396924E-3</v>
      </c>
      <c r="F156" s="18" t="s">
        <v>40</v>
      </c>
      <c r="G156" s="30">
        <f t="shared" si="52"/>
        <v>2.7083333334303461E-3</v>
      </c>
      <c r="H156" s="23" t="str">
        <f t="shared" si="53"/>
        <v>CARRIERE RAZEL BAGANGTE - CARRIERE RAZEL BAGANGTE</v>
      </c>
      <c r="I156" s="33" t="str">
        <f>IF(F155='Données Hebdo'!A156, VLOOKUP(Feuil1!A156, 'Données Hebdo'!B:J, 8, FALSE), "")</f>
        <v/>
      </c>
      <c r="J156" s="27" t="str">
        <f t="shared" si="54"/>
        <v>09:56:17 à 09:59:27</v>
      </c>
      <c r="K156" s="27" t="str">
        <f t="shared" si="55"/>
        <v>2016-06-04 09:59:27</v>
      </c>
      <c r="L156" s="27">
        <f t="shared" si="56"/>
        <v>2.1990740788169205E-3</v>
      </c>
      <c r="M156" s="30">
        <f t="shared" si="57"/>
        <v>2.8009259258396924E-3</v>
      </c>
      <c r="N156" s="18" t="str">
        <f t="shared" si="58"/>
        <v>CARRIERE RAZEL BAGANGTE - CARRIERE RAZEL BAGANGTE</v>
      </c>
    </row>
    <row r="157" spans="1:14" s="18" customFormat="1" ht="17.25" customHeight="1">
      <c r="A157" s="16" t="s">
        <v>747</v>
      </c>
      <c r="B157" s="17" t="s">
        <v>761</v>
      </c>
      <c r="C157" s="17" t="s">
        <v>1064</v>
      </c>
      <c r="D157" s="22" t="s">
        <v>1065</v>
      </c>
      <c r="E157" s="27">
        <f t="shared" si="51"/>
        <v>1.130787036527181E-2</v>
      </c>
      <c r="F157" s="18" t="s">
        <v>40</v>
      </c>
      <c r="G157" s="30">
        <f t="shared" si="52"/>
        <v>2.1990740788169205E-3</v>
      </c>
      <c r="H157" s="23" t="str">
        <f t="shared" si="53"/>
        <v>CARRIERE RAZEL BAGANGTE - CARRIERE RAZEL BAGANGTE</v>
      </c>
      <c r="I157" s="33" t="str">
        <f>IF(F156='Données Hebdo'!A157, VLOOKUP(Feuil1!A157, 'Données Hebdo'!B:J, 8, FALSE), "")</f>
        <v/>
      </c>
      <c r="J157" s="27" t="str">
        <f t="shared" si="54"/>
        <v>10:15:44 à 10:27:35</v>
      </c>
      <c r="K157" s="27" t="str">
        <f t="shared" si="55"/>
        <v>2016-06-04 10:27:35</v>
      </c>
      <c r="L157" s="27">
        <f t="shared" si="56"/>
        <v>8.2291666694800369E-3</v>
      </c>
      <c r="M157" s="30">
        <f t="shared" si="57"/>
        <v>1.130787036527181E-2</v>
      </c>
      <c r="N157" s="18" t="str">
        <f t="shared" si="58"/>
        <v>CARRIERE RAZEL BAGANGTE - CARRIERE RAZEL BAGANGTE</v>
      </c>
    </row>
    <row r="158" spans="1:14" s="18" customFormat="1" ht="17.25" customHeight="1">
      <c r="A158" s="16" t="s">
        <v>747</v>
      </c>
      <c r="B158" s="17" t="s">
        <v>761</v>
      </c>
      <c r="C158" s="17" t="s">
        <v>1066</v>
      </c>
      <c r="D158" s="22" t="s">
        <v>1067</v>
      </c>
      <c r="E158" s="27">
        <f t="shared" si="51"/>
        <v>6.944444467080757E-4</v>
      </c>
      <c r="F158" s="18" t="s">
        <v>40</v>
      </c>
      <c r="G158" s="30">
        <f t="shared" si="52"/>
        <v>8.2291666694800369E-3</v>
      </c>
      <c r="H158" s="23" t="str">
        <f t="shared" si="53"/>
        <v>CARRIERE RAZEL BAGANGTE - CARRIERE RAZEL BAGANGTE</v>
      </c>
      <c r="I158" s="33" t="str">
        <f>IF(F157='Données Hebdo'!A158, VLOOKUP(Feuil1!A158, 'Données Hebdo'!B:J, 8, FALSE), "")</f>
        <v/>
      </c>
      <c r="J158" s="27" t="str">
        <f t="shared" si="54"/>
        <v>10:28:35 à 10:35:00</v>
      </c>
      <c r="K158" s="27" t="str">
        <f t="shared" si="55"/>
        <v>2016-06-04 10:35:00</v>
      </c>
      <c r="L158" s="27">
        <f t="shared" si="56"/>
        <v>4.4560185124282725E-3</v>
      </c>
      <c r="M158" s="30">
        <f t="shared" si="57"/>
        <v>6.944444467080757E-4</v>
      </c>
      <c r="N158" s="18" t="str">
        <f t="shared" si="58"/>
        <v>CARRIERE RAZEL BAGANGTE - CARRIERE RAZEL BAGANGTE</v>
      </c>
    </row>
    <row r="159" spans="1:14" s="18" customFormat="1" ht="17.25" customHeight="1">
      <c r="A159" s="16" t="s">
        <v>747</v>
      </c>
      <c r="B159" s="17" t="s">
        <v>761</v>
      </c>
      <c r="C159" s="17" t="s">
        <v>1068</v>
      </c>
      <c r="D159" s="22" t="s">
        <v>1069</v>
      </c>
      <c r="E159" s="27">
        <f t="shared" si="51"/>
        <v>7.2916666977107525E-4</v>
      </c>
      <c r="F159" s="18" t="s">
        <v>40</v>
      </c>
      <c r="G159" s="30">
        <f t="shared" si="52"/>
        <v>4.4560185124282725E-3</v>
      </c>
      <c r="H159" s="23" t="str">
        <f t="shared" si="53"/>
        <v>CARRIERE RAZEL BAGANGTE - CARRIERE RAZEL BAGANGTE</v>
      </c>
      <c r="I159" s="33" t="str">
        <f>IF(F158='Données Hebdo'!A159, VLOOKUP(Feuil1!A159, 'Données Hebdo'!B:J, 8, FALSE), "")</f>
        <v/>
      </c>
      <c r="J159" s="27" t="str">
        <f t="shared" si="54"/>
        <v>10:36:03 à 10:38:00</v>
      </c>
      <c r="K159" s="27" t="str">
        <f t="shared" si="55"/>
        <v>2016-06-04 10:38:00</v>
      </c>
      <c r="L159" s="27">
        <f t="shared" si="56"/>
        <v>1.3541666703531519E-3</v>
      </c>
      <c r="M159" s="30">
        <f t="shared" si="57"/>
        <v>7.2916666977107525E-4</v>
      </c>
      <c r="N159" s="18" t="str">
        <f t="shared" si="58"/>
        <v>CARRIERE RAZEL BAGANGTE - CARRIERE RAZEL BAGANGTE</v>
      </c>
    </row>
    <row r="160" spans="1:14" s="18" customFormat="1" ht="17.25" customHeight="1">
      <c r="A160" s="16" t="s">
        <v>747</v>
      </c>
      <c r="B160" s="17" t="s">
        <v>761</v>
      </c>
      <c r="C160" s="17" t="s">
        <v>1070</v>
      </c>
      <c r="D160" s="22" t="s">
        <v>1071</v>
      </c>
      <c r="E160" s="27">
        <f t="shared" si="51"/>
        <v>1.1574073869269341E-4</v>
      </c>
      <c r="F160" s="18" t="s">
        <v>40</v>
      </c>
      <c r="G160" s="30">
        <f t="shared" si="52"/>
        <v>1.3541666703531519E-3</v>
      </c>
      <c r="H160" s="23" t="str">
        <f t="shared" si="53"/>
        <v>CARRIERE RAZEL BAGANGTE - CARRIERE RAZEL BAGANGTE</v>
      </c>
      <c r="I160" s="33" t="str">
        <f>IF(F159='Données Hebdo'!A160, VLOOKUP(Feuil1!A160, 'Données Hebdo'!B:J, 8, FALSE), "")</f>
        <v/>
      </c>
      <c r="J160" s="27" t="str">
        <f t="shared" si="54"/>
        <v>10:38:10 à 10:43:57</v>
      </c>
      <c r="K160" s="27" t="str">
        <f t="shared" si="55"/>
        <v>2016-06-04 10:43:57</v>
      </c>
      <c r="L160" s="27">
        <f t="shared" si="56"/>
        <v>4.016203703940846E-3</v>
      </c>
      <c r="M160" s="30">
        <f t="shared" si="57"/>
        <v>1.1574073869269341E-4</v>
      </c>
      <c r="N160" s="18" t="str">
        <f t="shared" si="58"/>
        <v>CARRIERE RAZEL BAGANGTE - CARRIERE RAZEL BAGANGTE</v>
      </c>
    </row>
    <row r="161" spans="1:14" s="18" customFormat="1" ht="17.25" customHeight="1">
      <c r="A161" s="16" t="s">
        <v>747</v>
      </c>
      <c r="B161" s="17" t="s">
        <v>761</v>
      </c>
      <c r="C161" s="17" t="s">
        <v>1072</v>
      </c>
      <c r="D161" s="22" t="s">
        <v>1073</v>
      </c>
      <c r="E161" s="27">
        <f t="shared" si="51"/>
        <v>1.2384259243845008E-3</v>
      </c>
      <c r="F161" s="18" t="s">
        <v>40</v>
      </c>
      <c r="G161" s="30">
        <f t="shared" si="52"/>
        <v>4.016203703940846E-3</v>
      </c>
      <c r="H161" s="23" t="str">
        <f t="shared" si="53"/>
        <v>CARRIERE RAZEL BAGANGTE - CARRIERE RAZEL BAGANGTE</v>
      </c>
      <c r="I161" s="33" t="str">
        <f>IF(F160='Données Hebdo'!A161, VLOOKUP(Feuil1!A161, 'Données Hebdo'!B:J, 8, FALSE), "")</f>
        <v/>
      </c>
      <c r="J161" s="27" t="str">
        <f t="shared" si="54"/>
        <v>10:45:44 à 10:51:22</v>
      </c>
      <c r="K161" s="27" t="str">
        <f t="shared" si="55"/>
        <v>2016-06-04 10:51:22</v>
      </c>
      <c r="L161" s="27">
        <f t="shared" si="56"/>
        <v>3.9120370347518474E-3</v>
      </c>
      <c r="M161" s="30">
        <f t="shared" si="57"/>
        <v>1.2384259243845008E-3</v>
      </c>
      <c r="N161" s="18" t="str">
        <f t="shared" si="58"/>
        <v>CARRIERE RAZEL BAGANGTE - CARRIERE RAZEL BAGANGTE</v>
      </c>
    </row>
    <row r="162" spans="1:14" s="18" customFormat="1" ht="17.25" customHeight="1">
      <c r="A162" s="16" t="s">
        <v>747</v>
      </c>
      <c r="B162" s="17" t="s">
        <v>761</v>
      </c>
      <c r="C162" s="17" t="s">
        <v>1074</v>
      </c>
      <c r="D162" s="22" t="s">
        <v>1075</v>
      </c>
      <c r="E162" s="27">
        <f t="shared" si="51"/>
        <v>2.0370370402815752E-3</v>
      </c>
      <c r="F162" s="18" t="s">
        <v>40</v>
      </c>
      <c r="G162" s="30">
        <f t="shared" si="52"/>
        <v>3.9120370347518474E-3</v>
      </c>
      <c r="H162" s="23" t="str">
        <f t="shared" si="53"/>
        <v>CARRIERE RAZEL BAGANGTE - CARRIERE RAZEL BAGANGTE</v>
      </c>
      <c r="I162" s="33" t="str">
        <f>IF(F161='Données Hebdo'!A162, VLOOKUP(Feuil1!A162, 'Données Hebdo'!B:J, 8, FALSE), "")</f>
        <v/>
      </c>
      <c r="J162" s="27" t="str">
        <f t="shared" si="54"/>
        <v>10:54:18 à 10:58:52</v>
      </c>
      <c r="K162" s="27" t="str">
        <f t="shared" si="55"/>
        <v>2016-06-04 10:58:52</v>
      </c>
      <c r="L162" s="27">
        <f t="shared" si="56"/>
        <v>3.1712962954770774E-3</v>
      </c>
      <c r="M162" s="30">
        <f t="shared" si="57"/>
        <v>2.0370370402815752E-3</v>
      </c>
      <c r="N162" s="18" t="str">
        <f t="shared" si="58"/>
        <v>CARRIERE RAZEL BAGANGTE - CARRIERE RAZEL BAGANGTE</v>
      </c>
    </row>
    <row r="163" spans="1:14" s="18" customFormat="1" ht="17.25" customHeight="1">
      <c r="A163" s="16" t="s">
        <v>747</v>
      </c>
      <c r="B163" s="17" t="s">
        <v>761</v>
      </c>
      <c r="C163" s="17" t="s">
        <v>1076</v>
      </c>
      <c r="D163" s="22" t="s">
        <v>1077</v>
      </c>
      <c r="E163" s="27">
        <f t="shared" si="51"/>
        <v>1.2847222242271528E-3</v>
      </c>
      <c r="F163" s="18" t="s">
        <v>40</v>
      </c>
      <c r="G163" s="30">
        <f t="shared" si="52"/>
        <v>3.1712962954770774E-3</v>
      </c>
      <c r="H163" s="23" t="str">
        <f t="shared" si="53"/>
        <v>CARRIERE RAZEL BAGANGTE - CARRIERE RAZEL BAGANGTE</v>
      </c>
      <c r="I163" s="33" t="str">
        <f>IF(F162='Données Hebdo'!A163, VLOOKUP(Feuil1!A163, 'Données Hebdo'!B:J, 8, FALSE), "")</f>
        <v/>
      </c>
      <c r="J163" s="27" t="str">
        <f t="shared" si="54"/>
        <v>11:00:43 à 11:05:35</v>
      </c>
      <c r="K163" s="27" t="str">
        <f t="shared" si="55"/>
        <v>2016-06-04 11:05:35</v>
      </c>
      <c r="L163" s="27">
        <f t="shared" si="56"/>
        <v>3.379629626579117E-3</v>
      </c>
      <c r="M163" s="30">
        <f t="shared" si="57"/>
        <v>1.2847222242271528E-3</v>
      </c>
      <c r="N163" s="18" t="str">
        <f t="shared" si="58"/>
        <v>CARRIERE RAZEL BAGANGTE - CARRIERE RAZEL BAGANGTE</v>
      </c>
    </row>
    <row r="164" spans="1:14" s="18" customFormat="1" ht="17.25" customHeight="1">
      <c r="A164" s="16" t="s">
        <v>747</v>
      </c>
      <c r="B164" s="17" t="s">
        <v>761</v>
      </c>
      <c r="C164" s="17" t="s">
        <v>1078</v>
      </c>
      <c r="D164" s="22" t="s">
        <v>1079</v>
      </c>
      <c r="E164" s="27">
        <f t="shared" si="51"/>
        <v>1.2615740779438056E-3</v>
      </c>
      <c r="F164" s="18" t="s">
        <v>40</v>
      </c>
      <c r="G164" s="30">
        <f t="shared" si="52"/>
        <v>3.379629626579117E-3</v>
      </c>
      <c r="H164" s="23" t="str">
        <f t="shared" si="53"/>
        <v>CARRIERE RAZEL BAGANGTE - CARRIERE RAZEL BAGANGTE</v>
      </c>
      <c r="I164" s="33" t="str">
        <f>IF(F163='Données Hebdo'!A164, VLOOKUP(Feuil1!A164, 'Données Hebdo'!B:J, 8, FALSE), "")</f>
        <v/>
      </c>
      <c r="J164" s="27" t="str">
        <f t="shared" si="54"/>
        <v>11:07:24 à 11:11:37</v>
      </c>
      <c r="K164" s="27" t="str">
        <f t="shared" si="55"/>
        <v>2016-06-04 11:11:37</v>
      </c>
      <c r="L164" s="27">
        <f t="shared" si="56"/>
        <v>2.9282407340360805E-3</v>
      </c>
      <c r="M164" s="30">
        <f t="shared" si="57"/>
        <v>1.2615740779438056E-3</v>
      </c>
      <c r="N164" s="18" t="str">
        <f t="shared" si="58"/>
        <v>CARRIERE RAZEL BAGANGTE - CARRIERE RAZEL BAGANGTE</v>
      </c>
    </row>
    <row r="165" spans="1:14" s="18" customFormat="1" ht="17.25" customHeight="1">
      <c r="A165" s="16" t="s">
        <v>747</v>
      </c>
      <c r="B165" s="17" t="s">
        <v>761</v>
      </c>
      <c r="C165" s="17" t="s">
        <v>1080</v>
      </c>
      <c r="D165" s="22" t="s">
        <v>1081</v>
      </c>
      <c r="E165" s="27">
        <f t="shared" si="51"/>
        <v>3.0902777798473835E-3</v>
      </c>
      <c r="F165" s="18" t="s">
        <v>40</v>
      </c>
      <c r="G165" s="30">
        <f t="shared" si="52"/>
        <v>2.9282407340360805E-3</v>
      </c>
      <c r="H165" s="23" t="str">
        <f t="shared" si="53"/>
        <v>CARRIERE RAZEL BAGANGTE - CARRIERE RAZEL BAGANGTE</v>
      </c>
      <c r="I165" s="33" t="str">
        <f>IF(F164='Données Hebdo'!A165, VLOOKUP(Feuil1!A165, 'Données Hebdo'!B:J, 8, FALSE), "")</f>
        <v/>
      </c>
      <c r="J165" s="27" t="str">
        <f t="shared" si="54"/>
        <v>11:16:04 à 11:20:13</v>
      </c>
      <c r="K165" s="27" t="str">
        <f t="shared" si="55"/>
        <v>2016-06-04 11:20:13</v>
      </c>
      <c r="L165" s="27">
        <f t="shared" si="56"/>
        <v>2.8819444487453438E-3</v>
      </c>
      <c r="M165" s="30">
        <f t="shared" si="57"/>
        <v>3.0902777798473835E-3</v>
      </c>
      <c r="N165" s="18" t="str">
        <f t="shared" si="58"/>
        <v>CARRIERE RAZEL BAGANGTE - CARRIERE RAZEL BAGANGTE</v>
      </c>
    </row>
    <row r="166" spans="1:14" s="18" customFormat="1" ht="17.25" customHeight="1">
      <c r="A166" s="16" t="s">
        <v>747</v>
      </c>
      <c r="B166" s="17" t="s">
        <v>761</v>
      </c>
      <c r="C166" s="17" t="s">
        <v>1082</v>
      </c>
      <c r="D166" s="22" t="s">
        <v>1083</v>
      </c>
      <c r="E166" s="27">
        <f t="shared" si="51"/>
        <v>1.7129629632108845E-3</v>
      </c>
      <c r="F166" s="18" t="s">
        <v>40</v>
      </c>
      <c r="G166" s="30">
        <f t="shared" si="52"/>
        <v>2.8819444487453438E-3</v>
      </c>
      <c r="H166" s="23" t="str">
        <f t="shared" si="53"/>
        <v>CARRIERE RAZEL BAGANGTE - CARRIERE RAZEL BAGANGTE</v>
      </c>
      <c r="I166" s="33" t="str">
        <f>IF(F165='Données Hebdo'!A166, VLOOKUP(Feuil1!A166, 'Données Hebdo'!B:J, 8, FALSE), "")</f>
        <v/>
      </c>
      <c r="J166" s="27" t="str">
        <f t="shared" si="54"/>
        <v>11:22:41 à 11:29:31</v>
      </c>
      <c r="K166" s="27" t="str">
        <f t="shared" si="55"/>
        <v>2016-06-04 11:29:31</v>
      </c>
      <c r="L166" s="27">
        <f t="shared" si="56"/>
        <v>4.7453703664359637E-3</v>
      </c>
      <c r="M166" s="30">
        <f t="shared" si="57"/>
        <v>1.7129629632108845E-3</v>
      </c>
      <c r="N166" s="18" t="str">
        <f t="shared" si="58"/>
        <v>CARRIERE RAZEL BAGANGTE - CARRIERE RAZEL BAGANGTE</v>
      </c>
    </row>
    <row r="167" spans="1:14" s="18" customFormat="1" ht="17.25" customHeight="1">
      <c r="A167" s="16" t="s">
        <v>747</v>
      </c>
      <c r="B167" s="17" t="s">
        <v>761</v>
      </c>
      <c r="C167" s="17" t="s">
        <v>1084</v>
      </c>
      <c r="D167" s="22" t="s">
        <v>1085</v>
      </c>
      <c r="E167" s="27">
        <f t="shared" si="51"/>
        <v>2.7893518563359976E-3</v>
      </c>
      <c r="F167" s="18" t="s">
        <v>40</v>
      </c>
      <c r="G167" s="30">
        <f t="shared" si="52"/>
        <v>4.7453703664359637E-3</v>
      </c>
      <c r="H167" s="23" t="str">
        <f t="shared" si="53"/>
        <v>CARRIERE RAZEL BAGANGTE - CARRIERE RAZEL BAGANGTE</v>
      </c>
      <c r="I167" s="33" t="str">
        <f>IF(F166='Données Hebdo'!A167, VLOOKUP(Feuil1!A167, 'Données Hebdo'!B:J, 8, FALSE), "")</f>
        <v/>
      </c>
      <c r="J167" s="27" t="str">
        <f t="shared" si="54"/>
        <v>11:33:32 à 11:43:42</v>
      </c>
      <c r="K167" s="27" t="str">
        <f t="shared" si="55"/>
        <v>2016-06-04 11:43:42</v>
      </c>
      <c r="L167" s="27">
        <f t="shared" si="56"/>
        <v>7.0601851839455776E-3</v>
      </c>
      <c r="M167" s="30">
        <f t="shared" si="57"/>
        <v>2.7893518563359976E-3</v>
      </c>
      <c r="N167" s="18" t="str">
        <f t="shared" si="58"/>
        <v>CARRIERE RAZEL BAGANGTE - CARRIERE RAZEL BAGANGTE</v>
      </c>
    </row>
    <row r="168" spans="1:14" s="18" customFormat="1" ht="17.25" customHeight="1">
      <c r="A168" s="16" t="s">
        <v>747</v>
      </c>
      <c r="B168" s="17" t="s">
        <v>761</v>
      </c>
      <c r="C168" s="17" t="s">
        <v>1086</v>
      </c>
      <c r="D168" s="22" t="s">
        <v>1087</v>
      </c>
      <c r="E168" s="27">
        <f t="shared" si="51"/>
        <v>3.5416666651144624E-3</v>
      </c>
      <c r="F168" s="18" t="s">
        <v>40</v>
      </c>
      <c r="G168" s="30">
        <f t="shared" si="52"/>
        <v>7.0601851839455776E-3</v>
      </c>
      <c r="H168" s="23" t="str">
        <f t="shared" si="53"/>
        <v>CARRIERE RAZEL BAGANGTE - CARRIERE RAZEL BAGANGTE</v>
      </c>
      <c r="I168" s="33" t="str">
        <f>IF(F167='Données Hebdo'!A168, VLOOKUP(Feuil1!A168, 'Données Hebdo'!B:J, 8, FALSE), "")</f>
        <v/>
      </c>
      <c r="J168" s="27" t="str">
        <f t="shared" si="54"/>
        <v>11:48:48 à 12:20:49</v>
      </c>
      <c r="K168" s="27" t="str">
        <f t="shared" si="55"/>
        <v>2016-06-04 12:20:49</v>
      </c>
      <c r="L168" s="27">
        <f t="shared" si="56"/>
        <v>2.2233796298678499E-2</v>
      </c>
      <c r="M168" s="30">
        <f t="shared" si="57"/>
        <v>3.5416666651144624E-3</v>
      </c>
      <c r="N168" s="18" t="str">
        <f t="shared" si="58"/>
        <v>CARRIERE RAZEL BAGANGTE - BASE RAZEL BAGANGTE</v>
      </c>
    </row>
    <row r="169" spans="1:14" s="18" customFormat="1" ht="17.25" customHeight="1">
      <c r="A169" s="16" t="s">
        <v>747</v>
      </c>
      <c r="B169" s="17" t="s">
        <v>745</v>
      </c>
      <c r="C169" s="17" t="s">
        <v>1088</v>
      </c>
      <c r="D169" s="22" t="s">
        <v>1089</v>
      </c>
      <c r="E169" s="27">
        <f t="shared" si="51"/>
        <v>1.4853009259240935</v>
      </c>
      <c r="F169" s="18" t="s">
        <v>40</v>
      </c>
      <c r="G169" s="30">
        <f t="shared" si="52"/>
        <v>2.2233796298678499E-2</v>
      </c>
      <c r="H169" s="23" t="str">
        <f t="shared" si="53"/>
        <v>CARRIERE RAZEL BAGANGTE - BASE RAZEL BAGANGTE</v>
      </c>
      <c r="I169" s="33" t="str">
        <f>IF(F168='Données Hebdo'!A169, VLOOKUP(Feuil1!A169, 'Données Hebdo'!B:J, 8, FALSE), "")</f>
        <v/>
      </c>
      <c r="J169" s="27" t="str">
        <f t="shared" si="54"/>
        <v/>
      </c>
      <c r="K169" s="27" t="str">
        <f t="shared" si="55"/>
        <v/>
      </c>
      <c r="L169" s="27" t="str">
        <f t="shared" si="56"/>
        <v/>
      </c>
      <c r="M169" s="30" t="str">
        <f t="shared" si="57"/>
        <v/>
      </c>
      <c r="N169" s="18" t="str">
        <f t="shared" si="58"/>
        <v/>
      </c>
    </row>
    <row r="170" spans="1:14" s="18" customFormat="1" ht="17.25" customHeight="1">
      <c r="A170" s="16" t="s">
        <v>727</v>
      </c>
      <c r="B170" s="17" t="s">
        <v>761</v>
      </c>
      <c r="C170" s="17" t="s">
        <v>1090</v>
      </c>
      <c r="D170" s="22" t="s">
        <v>1091</v>
      </c>
      <c r="E170" s="27">
        <f t="shared" si="51"/>
        <v>2.0023148143081926E-2</v>
      </c>
      <c r="F170" s="18" t="s">
        <v>97</v>
      </c>
      <c r="G170" s="30" t="str">
        <f t="shared" si="52"/>
        <v/>
      </c>
      <c r="H170" s="23" t="str">
        <f t="shared" si="53"/>
        <v/>
      </c>
      <c r="I170" s="33" t="str">
        <f>IF(F169='Données Hebdo'!A170, VLOOKUP(Feuil1!A170, 'Données Hebdo'!B:J, 8, FALSE), "")</f>
        <v/>
      </c>
      <c r="J170" s="27" t="str">
        <f t="shared" si="54"/>
        <v>08:25:47 à 08:28:47</v>
      </c>
      <c r="K170" s="27" t="str">
        <f t="shared" si="55"/>
        <v>2016-06-04 08:28:47</v>
      </c>
      <c r="L170" s="27">
        <f t="shared" si="56"/>
        <v>2.0833333328482695E-3</v>
      </c>
      <c r="M170" s="30">
        <f t="shared" si="57"/>
        <v>2.0023148143081926E-2</v>
      </c>
      <c r="N170" s="18" t="str">
        <f t="shared" si="58"/>
        <v>CARRIERE RAZEL BAGANGTE - CARRIERE RAZEL BAGANGTE</v>
      </c>
    </row>
    <row r="171" spans="1:14" s="18" customFormat="1" ht="17.25" customHeight="1">
      <c r="A171" s="16" t="s">
        <v>727</v>
      </c>
      <c r="B171" s="17" t="s">
        <v>761</v>
      </c>
      <c r="C171" s="17" t="s">
        <v>1092</v>
      </c>
      <c r="D171" s="22" t="s">
        <v>1093</v>
      </c>
      <c r="E171" s="27">
        <f t="shared" si="51"/>
        <v>1.9560185188311152E-2</v>
      </c>
      <c r="F171" s="18" t="s">
        <v>97</v>
      </c>
      <c r="G171" s="30">
        <f t="shared" si="52"/>
        <v>2.0833333328482695E-3</v>
      </c>
      <c r="H171" s="23" t="str">
        <f t="shared" si="53"/>
        <v>CARRIERE RAZEL BAGANGTE - CARRIERE RAZEL BAGANGTE</v>
      </c>
      <c r="I171" s="33" t="str">
        <f>IF(F170='Données Hebdo'!A171, VLOOKUP(Feuil1!A171, 'Données Hebdo'!B:J, 8, FALSE), "")</f>
        <v/>
      </c>
      <c r="J171" s="27" t="str">
        <f t="shared" si="54"/>
        <v>08:56:57 à 09:30:57</v>
      </c>
      <c r="K171" s="27" t="str">
        <f t="shared" si="55"/>
        <v>2016-06-04 09:30:57</v>
      </c>
      <c r="L171" s="27">
        <f t="shared" si="56"/>
        <v>2.361111110803904E-2</v>
      </c>
      <c r="M171" s="30">
        <f t="shared" si="57"/>
        <v>1.9560185188311152E-2</v>
      </c>
      <c r="N171" s="18" t="str">
        <f t="shared" si="58"/>
        <v>CARRIERE RAZEL BAGANGTE - BASE RAZEL BAGANGTE</v>
      </c>
    </row>
    <row r="172" spans="1:14" s="18" customFormat="1" ht="17.25" customHeight="1">
      <c r="A172" s="16" t="s">
        <v>727</v>
      </c>
      <c r="B172" s="17" t="s">
        <v>745</v>
      </c>
      <c r="C172" s="17" t="s">
        <v>1094</v>
      </c>
      <c r="D172" s="22" t="s">
        <v>1095</v>
      </c>
      <c r="E172" s="27">
        <f t="shared" si="51"/>
        <v>2.7777777795563452E-3</v>
      </c>
      <c r="F172" s="18" t="s">
        <v>97</v>
      </c>
      <c r="G172" s="30">
        <f t="shared" si="52"/>
        <v>2.361111110803904E-2</v>
      </c>
      <c r="H172" s="23" t="str">
        <f t="shared" si="53"/>
        <v>CARRIERE RAZEL BAGANGTE - BASE RAZEL BAGANGTE</v>
      </c>
      <c r="I172" s="33" t="str">
        <f>IF(F171='Données Hebdo'!A172, VLOOKUP(Feuil1!A172, 'Données Hebdo'!B:J, 8, FALSE), "")</f>
        <v/>
      </c>
      <c r="J172" s="27" t="str">
        <f t="shared" si="54"/>
        <v>09:34:57 à 10:42:56</v>
      </c>
      <c r="K172" s="27" t="str">
        <f t="shared" si="55"/>
        <v>2016-06-04 10:42:56</v>
      </c>
      <c r="L172" s="27">
        <f t="shared" si="56"/>
        <v>4.7210648146574385E-2</v>
      </c>
      <c r="M172" s="30">
        <f t="shared" si="57"/>
        <v>2.7777777795563452E-3</v>
      </c>
      <c r="N172" s="18" t="str">
        <f t="shared" si="58"/>
        <v>BASE RAZEL BAGANGTE - BASE RAZEL BAGANGTE</v>
      </c>
    </row>
    <row r="173" spans="1:14" s="18" customFormat="1" ht="17.25" customHeight="1">
      <c r="A173" s="16" t="s">
        <v>727</v>
      </c>
      <c r="B173" s="17" t="s">
        <v>745</v>
      </c>
      <c r="C173" s="17" t="s">
        <v>1096</v>
      </c>
      <c r="D173" s="22" t="s">
        <v>1097</v>
      </c>
      <c r="E173" s="27">
        <f t="shared" si="51"/>
        <v>7.07175926072523E-3</v>
      </c>
      <c r="F173" s="18" t="s">
        <v>97</v>
      </c>
      <c r="G173" s="30">
        <f t="shared" si="52"/>
        <v>4.7210648146574385E-2</v>
      </c>
      <c r="H173" s="23" t="str">
        <f t="shared" si="53"/>
        <v>BASE RAZEL BAGANGTE - BASE RAZEL BAGANGTE</v>
      </c>
      <c r="I173" s="33" t="str">
        <f>IF(F172='Données Hebdo'!A173, VLOOKUP(Feuil1!A173, 'Données Hebdo'!B:J, 8, FALSE), "")</f>
        <v/>
      </c>
      <c r="J173" s="27" t="str">
        <f t="shared" si="54"/>
        <v>10:53:07 à 10:57:07</v>
      </c>
      <c r="K173" s="27" t="str">
        <f t="shared" si="55"/>
        <v>2016-06-04 10:57:07</v>
      </c>
      <c r="L173" s="27">
        <f t="shared" si="56"/>
        <v>2.7777777795563452E-3</v>
      </c>
      <c r="M173" s="30">
        <f t="shared" si="57"/>
        <v>7.07175926072523E-3</v>
      </c>
      <c r="N173" s="18" t="str">
        <f t="shared" si="58"/>
        <v>BASE RAZEL BAGANGTE - BASE RAZEL BAGANGTE</v>
      </c>
    </row>
    <row r="174" spans="1:14" s="18" customFormat="1" ht="17.25" customHeight="1">
      <c r="A174" s="16" t="s">
        <v>727</v>
      </c>
      <c r="B174" s="17" t="s">
        <v>745</v>
      </c>
      <c r="C174" s="17" t="s">
        <v>1098</v>
      </c>
      <c r="D174" s="22" t="s">
        <v>1099</v>
      </c>
      <c r="E174" s="27">
        <f t="shared" si="51"/>
        <v>1.5434490740735782</v>
      </c>
      <c r="F174" s="18" t="s">
        <v>97</v>
      </c>
      <c r="G174" s="30">
        <f t="shared" si="52"/>
        <v>2.7777777795563452E-3</v>
      </c>
      <c r="H174" s="23" t="str">
        <f t="shared" si="53"/>
        <v>BASE RAZEL BAGANGTE - BASE RAZEL BAGANGTE</v>
      </c>
      <c r="I174" s="33" t="str">
        <f>IF(F173='Données Hebdo'!A174, VLOOKUP(Feuil1!A174, 'Données Hebdo'!B:J, 8, FALSE), "")</f>
        <v/>
      </c>
      <c r="J174" s="27" t="str">
        <f t="shared" si="54"/>
        <v/>
      </c>
      <c r="K174" s="27" t="str">
        <f t="shared" si="55"/>
        <v/>
      </c>
      <c r="L174" s="27" t="str">
        <f t="shared" si="56"/>
        <v/>
      </c>
      <c r="M174" s="30" t="str">
        <f t="shared" si="57"/>
        <v/>
      </c>
      <c r="N174" s="18" t="str">
        <f t="shared" si="58"/>
        <v/>
      </c>
    </row>
    <row r="175" spans="1:14" s="18" customFormat="1" ht="17.25" customHeight="1">
      <c r="A175" s="16" t="s">
        <v>75</v>
      </c>
      <c r="B175" s="17" t="s">
        <v>56</v>
      </c>
      <c r="C175" s="17" t="s">
        <v>1100</v>
      </c>
      <c r="D175" s="22" t="s">
        <v>1101</v>
      </c>
      <c r="E175" s="27">
        <f t="shared" si="51"/>
        <v>9.0277777781011537E-3</v>
      </c>
      <c r="F175" s="18" t="s">
        <v>97</v>
      </c>
      <c r="G175" s="30" t="str">
        <f t="shared" si="52"/>
        <v/>
      </c>
      <c r="H175" s="23" t="str">
        <f t="shared" si="53"/>
        <v/>
      </c>
      <c r="I175" s="33" t="str">
        <f>IF(F174='Données Hebdo'!A175, VLOOKUP(Feuil1!A175, 'Données Hebdo'!B:J, 8, FALSE), "")</f>
        <v/>
      </c>
      <c r="J175" s="27" t="str">
        <f t="shared" si="54"/>
        <v>08:36:54 à 09:40:54</v>
      </c>
      <c r="K175" s="27" t="str">
        <f t="shared" si="55"/>
        <v>2016-06-04 09:40:54</v>
      </c>
      <c r="L175" s="27">
        <f t="shared" si="56"/>
        <v>4.4444444443797693E-2</v>
      </c>
      <c r="M175" s="30">
        <f t="shared" si="57"/>
        <v>9.0277777781011537E-3</v>
      </c>
      <c r="N175" s="18" t="str">
        <f t="shared" si="58"/>
        <v>DEPOT RAZEL YASSA - CARRIERE RAZEL LOGBADJECK</v>
      </c>
    </row>
    <row r="176" spans="1:14" s="18" customFormat="1" ht="17.25" customHeight="1">
      <c r="A176" s="16" t="s">
        <v>75</v>
      </c>
      <c r="B176" s="17" t="s">
        <v>796</v>
      </c>
      <c r="C176" s="17" t="s">
        <v>1102</v>
      </c>
      <c r="D176" s="22" t="s">
        <v>1103</v>
      </c>
      <c r="E176" s="27">
        <f t="shared" si="51"/>
        <v>2.2916666668606922E-2</v>
      </c>
      <c r="F176" s="18" t="s">
        <v>97</v>
      </c>
      <c r="G176" s="30">
        <f t="shared" si="52"/>
        <v>4.4444444443797693E-2</v>
      </c>
      <c r="H176" s="23" t="str">
        <f t="shared" si="53"/>
        <v>DEPOT RAZEL YASSA - CARRIERE RAZEL LOGBADJECK</v>
      </c>
      <c r="I176" s="33" t="str">
        <f>IF(F175='Données Hebdo'!A176, VLOOKUP(Feuil1!A176, 'Données Hebdo'!B:J, 8, FALSE), "")</f>
        <v/>
      </c>
      <c r="J176" s="27" t="str">
        <f t="shared" si="54"/>
        <v>10:13:54 à 11:12:54</v>
      </c>
      <c r="K176" s="27" t="str">
        <f t="shared" si="55"/>
        <v>2016-06-04 11:12:54</v>
      </c>
      <c r="L176" s="27">
        <f t="shared" si="56"/>
        <v>4.0972222224809229E-2</v>
      </c>
      <c r="M176" s="30">
        <f t="shared" si="57"/>
        <v>2.2916666668606922E-2</v>
      </c>
      <c r="N176" s="18" t="str">
        <f t="shared" si="58"/>
        <v>CARRIERE RAZEL LOGBADJECK - DEPOT RAZEL YASSA</v>
      </c>
    </row>
    <row r="177" spans="1:14" s="18" customFormat="1" ht="17.25" customHeight="1">
      <c r="A177" s="16" t="s">
        <v>75</v>
      </c>
      <c r="B177" s="17" t="s">
        <v>56</v>
      </c>
      <c r="C177" s="17" t="s">
        <v>1104</v>
      </c>
      <c r="D177" s="22" t="s">
        <v>1105</v>
      </c>
      <c r="E177" s="27">
        <f t="shared" si="51"/>
        <v>6.9675925915362313E-3</v>
      </c>
      <c r="F177" s="18" t="s">
        <v>97</v>
      </c>
      <c r="G177" s="30">
        <f t="shared" si="52"/>
        <v>4.0972222224809229E-2</v>
      </c>
      <c r="H177" s="23" t="str">
        <f t="shared" si="53"/>
        <v>CARRIERE RAZEL LOGBADJECK - DEPOT RAZEL YASSA</v>
      </c>
      <c r="I177" s="33" t="str">
        <f>IF(F176='Données Hebdo'!A177, VLOOKUP(Feuil1!A177, 'Données Hebdo'!B:J, 8, FALSE), "")</f>
        <v/>
      </c>
      <c r="J177" s="27" t="str">
        <f t="shared" si="54"/>
        <v>11:22:56 à 12:22:56</v>
      </c>
      <c r="K177" s="27" t="str">
        <f t="shared" si="55"/>
        <v>2016-06-04 12:22:56</v>
      </c>
      <c r="L177" s="27">
        <f t="shared" si="56"/>
        <v>4.1666666664241347E-2</v>
      </c>
      <c r="M177" s="30">
        <f t="shared" si="57"/>
        <v>6.9675925915362313E-3</v>
      </c>
      <c r="N177" s="18" t="str">
        <f t="shared" si="58"/>
        <v>DEPOT RAZEL YASSA - CARRIERE RAZEL LOGBADJECK</v>
      </c>
    </row>
    <row r="178" spans="1:14" s="18" customFormat="1" ht="17.25" customHeight="1">
      <c r="A178" s="16" t="s">
        <v>75</v>
      </c>
      <c r="B178" s="17" t="s">
        <v>796</v>
      </c>
      <c r="C178" s="17" t="s">
        <v>1106</v>
      </c>
      <c r="D178" s="22" t="s">
        <v>1107</v>
      </c>
      <c r="E178" s="27">
        <f t="shared" si="51"/>
        <v>2.5694444448163267E-2</v>
      </c>
      <c r="F178" s="18" t="s">
        <v>97</v>
      </c>
      <c r="G178" s="30">
        <f t="shared" si="52"/>
        <v>4.1666666664241347E-2</v>
      </c>
      <c r="H178" s="23" t="str">
        <f t="shared" si="53"/>
        <v>DEPOT RAZEL YASSA - CARRIERE RAZEL LOGBADJECK</v>
      </c>
      <c r="I178" s="33" t="str">
        <f>IF(F177='Données Hebdo'!A178, VLOOKUP(Feuil1!A178, 'Données Hebdo'!B:J, 8, FALSE), "")</f>
        <v/>
      </c>
      <c r="J178" s="27" t="str">
        <f t="shared" si="54"/>
        <v>12:59:56 à 13:55:56</v>
      </c>
      <c r="K178" s="27" t="str">
        <f t="shared" si="55"/>
        <v>2016-06-04 13:55:56</v>
      </c>
      <c r="L178" s="27">
        <f t="shared" si="56"/>
        <v>3.8888888884685002E-2</v>
      </c>
      <c r="M178" s="30">
        <f t="shared" si="57"/>
        <v>2.5694444448163267E-2</v>
      </c>
      <c r="N178" s="18" t="str">
        <f t="shared" si="58"/>
        <v>CARRIERE RAZEL LOGBADJECK - DEPOT RAZEL YASSA</v>
      </c>
    </row>
    <row r="179" spans="1:14" s="18" customFormat="1" ht="17.25" customHeight="1">
      <c r="A179" s="16" t="s">
        <v>75</v>
      </c>
      <c r="B179" s="17" t="s">
        <v>56</v>
      </c>
      <c r="C179" s="17" t="s">
        <v>1108</v>
      </c>
      <c r="D179" s="22" t="s">
        <v>1109</v>
      </c>
      <c r="E179" s="27">
        <f t="shared" si="51"/>
        <v>8.3333333386690356E-3</v>
      </c>
      <c r="F179" s="18" t="s">
        <v>97</v>
      </c>
      <c r="G179" s="30">
        <f t="shared" si="52"/>
        <v>3.8888888884685002E-2</v>
      </c>
      <c r="H179" s="23" t="str">
        <f t="shared" si="53"/>
        <v>CARRIERE RAZEL LOGBADJECK - DEPOT RAZEL YASSA</v>
      </c>
      <c r="I179" s="33" t="str">
        <f>IF(F178='Données Hebdo'!A179, VLOOKUP(Feuil1!A179, 'Données Hebdo'!B:J, 8, FALSE), "")</f>
        <v/>
      </c>
      <c r="J179" s="27" t="str">
        <f t="shared" si="54"/>
        <v>14:07:56 à 15:12:56</v>
      </c>
      <c r="K179" s="27" t="str">
        <f t="shared" si="55"/>
        <v>2016-06-04 15:12:56</v>
      </c>
      <c r="L179" s="27">
        <f t="shared" si="56"/>
        <v>4.5138888883229811E-2</v>
      </c>
      <c r="M179" s="30">
        <f t="shared" si="57"/>
        <v>8.3333333386690356E-3</v>
      </c>
      <c r="N179" s="18" t="str">
        <f t="shared" si="58"/>
        <v>DEPOT RAZEL YASSA - CARRIERE RAZEL LOGBADJECK</v>
      </c>
    </row>
    <row r="180" spans="1:14" s="18" customFormat="1" ht="17.25" customHeight="1">
      <c r="A180" s="16" t="s">
        <v>75</v>
      </c>
      <c r="B180" s="17" t="s">
        <v>796</v>
      </c>
      <c r="C180" s="17" t="s">
        <v>1110</v>
      </c>
      <c r="D180" s="22" t="s">
        <v>1111</v>
      </c>
      <c r="E180" s="27">
        <f t="shared" si="51"/>
        <v>2.0138888889050577E-2</v>
      </c>
      <c r="F180" s="18" t="s">
        <v>97</v>
      </c>
      <c r="G180" s="30">
        <f t="shared" si="52"/>
        <v>4.5138888883229811E-2</v>
      </c>
      <c r="H180" s="23" t="str">
        <f t="shared" si="53"/>
        <v>DEPOT RAZEL YASSA - CARRIERE RAZEL LOGBADJECK</v>
      </c>
      <c r="I180" s="33" t="str">
        <f>IF(F179='Données Hebdo'!A180, VLOOKUP(Feuil1!A180, 'Données Hebdo'!B:J, 8, FALSE), "")</f>
        <v/>
      </c>
      <c r="J180" s="27" t="str">
        <f t="shared" si="54"/>
        <v>15:41:56 à 16:45:56</v>
      </c>
      <c r="K180" s="27" t="str">
        <f t="shared" si="55"/>
        <v>2016-06-04 16:45:56</v>
      </c>
      <c r="L180" s="27">
        <f t="shared" si="56"/>
        <v>4.444444445107365E-2</v>
      </c>
      <c r="M180" s="30">
        <f t="shared" si="57"/>
        <v>2.0138888889050577E-2</v>
      </c>
      <c r="N180" s="18" t="str">
        <f t="shared" si="58"/>
        <v>CARRIERE RAZEL LOGBADJECK - DEPOT RAZEL YASSA</v>
      </c>
    </row>
    <row r="181" spans="1:14" s="18" customFormat="1" ht="17.25" customHeight="1">
      <c r="A181" s="16" t="s">
        <v>75</v>
      </c>
      <c r="B181" s="17" t="s">
        <v>56</v>
      </c>
      <c r="C181" s="17" t="s">
        <v>1112</v>
      </c>
      <c r="D181" s="22" t="s">
        <v>1113</v>
      </c>
      <c r="E181" s="27">
        <f t="shared" si="51"/>
        <v>9.7222222175332718E-3</v>
      </c>
      <c r="F181" s="18" t="s">
        <v>97</v>
      </c>
      <c r="G181" s="30">
        <f t="shared" si="52"/>
        <v>4.444444445107365E-2</v>
      </c>
      <c r="H181" s="23" t="str">
        <f t="shared" si="53"/>
        <v>CARRIERE RAZEL LOGBADJECK - DEPOT RAZEL YASSA</v>
      </c>
      <c r="I181" s="33" t="str">
        <f>IF(F180='Données Hebdo'!A181, VLOOKUP(Feuil1!A181, 'Données Hebdo'!B:J, 8, FALSE), "")</f>
        <v/>
      </c>
      <c r="J181" s="27" t="str">
        <f t="shared" si="54"/>
        <v>16:59:56 à 17:45:56</v>
      </c>
      <c r="K181" s="27" t="str">
        <f t="shared" si="55"/>
        <v>2016-06-04 17:45:56</v>
      </c>
      <c r="L181" s="27">
        <f t="shared" si="56"/>
        <v>3.1944444446708076E-2</v>
      </c>
      <c r="M181" s="30">
        <f t="shared" si="57"/>
        <v>9.7222222175332718E-3</v>
      </c>
      <c r="N181" s="18" t="str">
        <f t="shared" si="58"/>
        <v>DEPOT RAZEL YASSA - CARRIERE RAZEL LOGBADJECK</v>
      </c>
    </row>
    <row r="182" spans="1:14" s="18" customFormat="1" ht="17.25" customHeight="1">
      <c r="A182" s="16" t="s">
        <v>75</v>
      </c>
      <c r="B182" s="17" t="s">
        <v>796</v>
      </c>
      <c r="C182" s="17" t="s">
        <v>1114</v>
      </c>
      <c r="D182" s="22" t="s">
        <v>1115</v>
      </c>
      <c r="E182" s="27">
        <f t="shared" si="51"/>
        <v>1.2595138888864312</v>
      </c>
      <c r="F182" s="18" t="s">
        <v>97</v>
      </c>
      <c r="G182" s="30">
        <f t="shared" si="52"/>
        <v>3.1944444446708076E-2</v>
      </c>
      <c r="H182" s="23" t="str">
        <f t="shared" si="53"/>
        <v>DEPOT RAZEL YASSA - CARRIERE RAZEL LOGBADJECK</v>
      </c>
      <c r="I182" s="33" t="str">
        <f>IF(F181='Données Hebdo'!A182, VLOOKUP(Feuil1!A182, 'Données Hebdo'!B:J, 8, FALSE), "")</f>
        <v/>
      </c>
      <c r="J182" s="27" t="str">
        <f t="shared" si="54"/>
        <v/>
      </c>
      <c r="K182" s="27" t="str">
        <f t="shared" si="55"/>
        <v/>
      </c>
      <c r="L182" s="27" t="str">
        <f t="shared" si="56"/>
        <v/>
      </c>
      <c r="M182" s="30" t="str">
        <f t="shared" si="57"/>
        <v/>
      </c>
      <c r="N182" s="18" t="str">
        <f t="shared" si="58"/>
        <v/>
      </c>
    </row>
    <row r="183" spans="1:14" s="18" customFormat="1" ht="17.25" customHeight="1">
      <c r="A183" s="16" t="s">
        <v>77</v>
      </c>
      <c r="B183" s="17" t="s">
        <v>58</v>
      </c>
      <c r="C183" s="17" t="s">
        <v>1116</v>
      </c>
      <c r="D183" s="22" t="s">
        <v>1117</v>
      </c>
      <c r="E183" s="27">
        <f t="shared" si="51"/>
        <v>5.3749999999126885E-2</v>
      </c>
      <c r="F183" s="18" t="s">
        <v>97</v>
      </c>
      <c r="G183" s="30" t="str">
        <f t="shared" si="52"/>
        <v/>
      </c>
      <c r="H183" s="23" t="str">
        <f t="shared" si="53"/>
        <v/>
      </c>
      <c r="I183" s="33" t="str">
        <f>IF(F182='Données Hebdo'!A183, VLOOKUP(Feuil1!A183, 'Données Hebdo'!B:J, 8, FALSE), "")</f>
        <v/>
      </c>
      <c r="J183" s="27" t="str">
        <f t="shared" si="54"/>
        <v>09:57:50 à 10:47:10</v>
      </c>
      <c r="K183" s="27" t="str">
        <f t="shared" si="55"/>
        <v>2016-06-04 10:47:10</v>
      </c>
      <c r="L183" s="27">
        <f t="shared" si="56"/>
        <v>3.4259259256941732E-2</v>
      </c>
      <c r="M183" s="30">
        <f t="shared" si="57"/>
        <v>5.3749999999126885E-2</v>
      </c>
      <c r="N183" s="18" t="str">
        <f t="shared" si="58"/>
        <v>BASE RAZEL WOURI - BASE RAZEL PENETRANTE EST</v>
      </c>
    </row>
    <row r="184" spans="1:14" s="18" customFormat="1" ht="17.25" customHeight="1">
      <c r="A184" s="16" t="s">
        <v>77</v>
      </c>
      <c r="B184" s="17" t="s">
        <v>1118</v>
      </c>
      <c r="C184" s="17" t="s">
        <v>1119</v>
      </c>
      <c r="D184" s="22" t="s">
        <v>1120</v>
      </c>
      <c r="E184" s="27">
        <f t="shared" si="51"/>
        <v>5.7708333333721384E-2</v>
      </c>
      <c r="F184" s="18" t="s">
        <v>97</v>
      </c>
      <c r="G184" s="30">
        <f t="shared" si="52"/>
        <v>3.4259259256941732E-2</v>
      </c>
      <c r="H184" s="23" t="str">
        <f t="shared" si="53"/>
        <v>BASE RAZEL WOURI - BASE RAZEL PENETRANTE EST</v>
      </c>
      <c r="I184" s="33" t="str">
        <f>IF(F183='Données Hebdo'!A184, VLOOKUP(Feuil1!A184, 'Données Hebdo'!B:J, 8, FALSE), "")</f>
        <v/>
      </c>
      <c r="J184" s="27" t="str">
        <f t="shared" si="54"/>
        <v/>
      </c>
      <c r="K184" s="27" t="str">
        <f t="shared" si="55"/>
        <v/>
      </c>
      <c r="L184" s="27" t="str">
        <f t="shared" si="56"/>
        <v/>
      </c>
      <c r="M184" s="30" t="str">
        <f t="shared" si="57"/>
        <v/>
      </c>
      <c r="N184" s="18" t="str">
        <f t="shared" si="58"/>
        <v/>
      </c>
    </row>
    <row r="185" spans="1:14" s="18" customFormat="1" ht="17.25" customHeight="1">
      <c r="A185" s="16" t="s">
        <v>89</v>
      </c>
      <c r="B185" s="17" t="s">
        <v>796</v>
      </c>
      <c r="C185" s="17" t="s">
        <v>1121</v>
      </c>
      <c r="D185" s="22" t="s">
        <v>1122</v>
      </c>
      <c r="E185" s="27">
        <f t="shared" si="51"/>
        <v>5.2256944443797693E-2</v>
      </c>
      <c r="F185" s="18" t="s">
        <v>97</v>
      </c>
      <c r="G185" s="30" t="str">
        <f t="shared" si="52"/>
        <v/>
      </c>
      <c r="H185" s="23" t="str">
        <f t="shared" si="53"/>
        <v/>
      </c>
      <c r="I185" s="33" t="str">
        <f>IF(F184='Données Hebdo'!A185, VLOOKUP(Feuil1!A185, 'Données Hebdo'!B:J, 8, FALSE), "")</f>
        <v/>
      </c>
      <c r="J185" s="27" t="str">
        <f t="shared" si="54"/>
        <v>06:55:22 à 07:52:22</v>
      </c>
      <c r="K185" s="27" t="str">
        <f t="shared" si="55"/>
        <v>2016-06-04 07:52:22</v>
      </c>
      <c r="L185" s="27">
        <f t="shared" si="56"/>
        <v>3.9583333331393078E-2</v>
      </c>
      <c r="M185" s="30">
        <f t="shared" si="57"/>
        <v>5.2256944443797693E-2</v>
      </c>
      <c r="N185" s="18" t="str">
        <f t="shared" si="58"/>
        <v>CARRIERE RAZEL LOGBADJECK - DEPOT RAZEL YASSA</v>
      </c>
    </row>
    <row r="186" spans="1:14" s="18" customFormat="1" ht="17.25" customHeight="1">
      <c r="A186" s="16" t="s">
        <v>89</v>
      </c>
      <c r="B186" s="17" t="s">
        <v>56</v>
      </c>
      <c r="C186" s="17" t="s">
        <v>1123</v>
      </c>
      <c r="D186" s="22" t="s">
        <v>1124</v>
      </c>
      <c r="E186" s="27">
        <f t="shared" si="51"/>
        <v>6.9444444452528842E-3</v>
      </c>
      <c r="F186" s="18" t="s">
        <v>97</v>
      </c>
      <c r="G186" s="30">
        <f t="shared" si="52"/>
        <v>3.9583333331393078E-2</v>
      </c>
      <c r="H186" s="23" t="str">
        <f t="shared" si="53"/>
        <v>CARRIERE RAZEL LOGBADJECK - DEPOT RAZEL YASSA</v>
      </c>
      <c r="I186" s="33" t="str">
        <f>IF(F185='Données Hebdo'!A186, VLOOKUP(Feuil1!A186, 'Données Hebdo'!B:J, 8, FALSE), "")</f>
        <v/>
      </c>
      <c r="J186" s="27" t="str">
        <f t="shared" si="54"/>
        <v>08:02:22 à 09:36:22</v>
      </c>
      <c r="K186" s="27" t="str">
        <f t="shared" si="55"/>
        <v>2016-06-04 09:36:22</v>
      </c>
      <c r="L186" s="27">
        <f t="shared" si="56"/>
        <v>6.5277777779556345E-2</v>
      </c>
      <c r="M186" s="30">
        <f t="shared" si="57"/>
        <v>6.9444444452528842E-3</v>
      </c>
      <c r="N186" s="18" t="str">
        <f t="shared" si="58"/>
        <v>DEPOT RAZEL YASSA - CARRIERE RAZEL LOGBADJECK</v>
      </c>
    </row>
    <row r="187" spans="1:14" s="18" customFormat="1" ht="17.25" customHeight="1">
      <c r="A187" s="16" t="s">
        <v>89</v>
      </c>
      <c r="B187" s="17" t="s">
        <v>796</v>
      </c>
      <c r="C187" s="17" t="s">
        <v>1125</v>
      </c>
      <c r="D187" s="22" t="s">
        <v>1126</v>
      </c>
      <c r="E187" s="27">
        <f t="shared" si="51"/>
        <v>2.0833333328482695E-2</v>
      </c>
      <c r="F187" s="18" t="s">
        <v>97</v>
      </c>
      <c r="G187" s="30">
        <f t="shared" si="52"/>
        <v>6.5277777779556345E-2</v>
      </c>
      <c r="H187" s="23" t="str">
        <f t="shared" si="53"/>
        <v>DEPOT RAZEL YASSA - CARRIERE RAZEL LOGBADJECK</v>
      </c>
      <c r="I187" s="33" t="str">
        <f>IF(F186='Données Hebdo'!A187, VLOOKUP(Feuil1!A187, 'Données Hebdo'!B:J, 8, FALSE), "")</f>
        <v/>
      </c>
      <c r="J187" s="27" t="str">
        <f t="shared" si="54"/>
        <v>10:06:22 à 11:01:22</v>
      </c>
      <c r="K187" s="27" t="str">
        <f t="shared" si="55"/>
        <v>2016-06-04 11:01:22</v>
      </c>
      <c r="L187" s="27">
        <f t="shared" si="56"/>
        <v>3.8194444445252884E-2</v>
      </c>
      <c r="M187" s="30">
        <f t="shared" si="57"/>
        <v>2.0833333328482695E-2</v>
      </c>
      <c r="N187" s="18" t="str">
        <f t="shared" si="58"/>
        <v>CARRIERE RAZEL LOGBADJECK - DEPOT RAZEL YASSA</v>
      </c>
    </row>
    <row r="188" spans="1:14" s="18" customFormat="1" ht="17.25" customHeight="1">
      <c r="A188" s="16" t="s">
        <v>89</v>
      </c>
      <c r="B188" s="17" t="s">
        <v>56</v>
      </c>
      <c r="C188" s="17" t="s">
        <v>1127</v>
      </c>
      <c r="D188" s="22" t="s">
        <v>1128</v>
      </c>
      <c r="E188" s="27">
        <f t="shared" si="51"/>
        <v>4.8611111124046147E-3</v>
      </c>
      <c r="F188" s="18" t="s">
        <v>97</v>
      </c>
      <c r="G188" s="30">
        <f t="shared" si="52"/>
        <v>3.8194444445252884E-2</v>
      </c>
      <c r="H188" s="23" t="str">
        <f t="shared" si="53"/>
        <v>CARRIERE RAZEL LOGBADJECK - DEPOT RAZEL YASSA</v>
      </c>
      <c r="I188" s="33" t="str">
        <f>IF(F187='Données Hebdo'!A188, VLOOKUP(Feuil1!A188, 'Données Hebdo'!B:J, 8, FALSE), "")</f>
        <v/>
      </c>
      <c r="J188" s="27" t="str">
        <f t="shared" si="54"/>
        <v>11:08:22 à 11:56:22</v>
      </c>
      <c r="K188" s="27" t="str">
        <f t="shared" si="55"/>
        <v>2016-06-04 11:56:22</v>
      </c>
      <c r="L188" s="27">
        <f t="shared" si="56"/>
        <v>3.3333333332848269E-2</v>
      </c>
      <c r="M188" s="30">
        <f t="shared" si="57"/>
        <v>4.8611111124046147E-3</v>
      </c>
      <c r="N188" s="18" t="str">
        <f t="shared" si="58"/>
        <v>DEPOT RAZEL YASSA - CARRIERE RAZEL LOGBADJECK</v>
      </c>
    </row>
    <row r="189" spans="1:14" s="18" customFormat="1" ht="17.25" customHeight="1">
      <c r="A189" s="16" t="s">
        <v>89</v>
      </c>
      <c r="B189" s="17" t="s">
        <v>796</v>
      </c>
      <c r="C189" s="17" t="s">
        <v>1129</v>
      </c>
      <c r="D189" s="22" t="s">
        <v>1130</v>
      </c>
      <c r="E189" s="27">
        <f t="shared" si="51"/>
        <v>1.8078703702485655E-2</v>
      </c>
      <c r="F189" s="18" t="s">
        <v>97</v>
      </c>
      <c r="G189" s="30">
        <f t="shared" si="52"/>
        <v>3.3333333332848269E-2</v>
      </c>
      <c r="H189" s="23" t="str">
        <f t="shared" si="53"/>
        <v>DEPOT RAZEL YASSA - CARRIERE RAZEL LOGBADJECK</v>
      </c>
      <c r="I189" s="33" t="str">
        <f>IF(F188='Données Hebdo'!A189, VLOOKUP(Feuil1!A189, 'Données Hebdo'!B:J, 8, FALSE), "")</f>
        <v/>
      </c>
      <c r="J189" s="27" t="str">
        <f t="shared" si="54"/>
        <v>12:22:24 à 13:19:24</v>
      </c>
      <c r="K189" s="27" t="str">
        <f t="shared" si="55"/>
        <v>2016-06-04 13:19:24</v>
      </c>
      <c r="L189" s="27">
        <f t="shared" si="56"/>
        <v>3.9583333331393078E-2</v>
      </c>
      <c r="M189" s="30">
        <f t="shared" si="57"/>
        <v>1.8078703702485655E-2</v>
      </c>
      <c r="N189" s="18" t="str">
        <f t="shared" si="58"/>
        <v>CARRIERE RAZEL LOGBADJECK - DEPOT RAZEL YASSA</v>
      </c>
    </row>
    <row r="190" spans="1:14" s="18" customFormat="1" ht="17.25" customHeight="1">
      <c r="A190" s="16" t="s">
        <v>89</v>
      </c>
      <c r="B190" s="17" t="s">
        <v>56</v>
      </c>
      <c r="C190" s="17" t="s">
        <v>1131</v>
      </c>
      <c r="D190" s="22" t="s">
        <v>1132</v>
      </c>
      <c r="E190" s="27">
        <f t="shared" si="51"/>
        <v>6.2500000058207661E-3</v>
      </c>
      <c r="F190" s="18" t="s">
        <v>97</v>
      </c>
      <c r="G190" s="30">
        <f t="shared" si="52"/>
        <v>3.9583333331393078E-2</v>
      </c>
      <c r="H190" s="23" t="str">
        <f t="shared" si="53"/>
        <v>CARRIERE RAZEL LOGBADJECK - DEPOT RAZEL YASSA</v>
      </c>
      <c r="I190" s="33" t="str">
        <f>IF(F189='Données Hebdo'!A190, VLOOKUP(Feuil1!A190, 'Données Hebdo'!B:J, 8, FALSE), "")</f>
        <v/>
      </c>
      <c r="J190" s="27" t="str">
        <f t="shared" si="54"/>
        <v>13:28:24 à 14:29:24</v>
      </c>
      <c r="K190" s="27" t="str">
        <f t="shared" si="55"/>
        <v>2016-06-04 14:29:24</v>
      </c>
      <c r="L190" s="27">
        <f t="shared" si="56"/>
        <v>4.2361111110949423E-2</v>
      </c>
      <c r="M190" s="30">
        <f t="shared" si="57"/>
        <v>6.2500000058207661E-3</v>
      </c>
      <c r="N190" s="18" t="str">
        <f t="shared" si="58"/>
        <v>DEPOT RAZEL YASSA - CARRIERE RAZEL LOGBADJECK</v>
      </c>
    </row>
    <row r="191" spans="1:14" s="18" customFormat="1" ht="17.25" customHeight="1">
      <c r="A191" s="16" t="s">
        <v>89</v>
      </c>
      <c r="B191" s="17" t="s">
        <v>796</v>
      </c>
      <c r="C191" s="17" t="s">
        <v>1133</v>
      </c>
      <c r="D191" s="22" t="s">
        <v>1134</v>
      </c>
      <c r="E191" s="27">
        <f t="shared" si="51"/>
        <v>2.2222222221898846E-2</v>
      </c>
      <c r="F191" s="18" t="s">
        <v>97</v>
      </c>
      <c r="G191" s="30">
        <f t="shared" si="52"/>
        <v>4.2361111110949423E-2</v>
      </c>
      <c r="H191" s="23" t="str">
        <f t="shared" si="53"/>
        <v>DEPOT RAZEL YASSA - CARRIERE RAZEL LOGBADJECK</v>
      </c>
      <c r="I191" s="33" t="str">
        <f>IF(F190='Données Hebdo'!A191, VLOOKUP(Feuil1!A191, 'Données Hebdo'!B:J, 8, FALSE), "")</f>
        <v/>
      </c>
      <c r="J191" s="27" t="str">
        <f t="shared" si="54"/>
        <v>15:01:24 à 15:55:24</v>
      </c>
      <c r="K191" s="27" t="str">
        <f t="shared" si="55"/>
        <v>2016-06-04 15:55:24</v>
      </c>
      <c r="L191" s="27">
        <f t="shared" si="56"/>
        <v>3.7499999998544808E-2</v>
      </c>
      <c r="M191" s="30">
        <f t="shared" si="57"/>
        <v>2.2222222221898846E-2</v>
      </c>
      <c r="N191" s="18" t="str">
        <f t="shared" si="58"/>
        <v>CARRIERE RAZEL LOGBADJECK - DEPOT RAZEL YASSA</v>
      </c>
    </row>
    <row r="192" spans="1:14" s="18" customFormat="1" ht="17.25" customHeight="1">
      <c r="A192" s="16" t="s">
        <v>89</v>
      </c>
      <c r="B192" s="17" t="s">
        <v>56</v>
      </c>
      <c r="C192" s="17" t="s">
        <v>1135</v>
      </c>
      <c r="D192" s="22" t="s">
        <v>1136</v>
      </c>
      <c r="E192" s="27">
        <f t="shared" si="51"/>
        <v>1.3245023148119799</v>
      </c>
      <c r="F192" s="18" t="s">
        <v>97</v>
      </c>
      <c r="G192" s="30">
        <f t="shared" si="52"/>
        <v>3.7499999998544808E-2</v>
      </c>
      <c r="H192" s="23" t="str">
        <f t="shared" si="53"/>
        <v>CARRIERE RAZEL LOGBADJECK - DEPOT RAZEL YASSA</v>
      </c>
      <c r="I192" s="33" t="str">
        <f>IF(F191='Données Hebdo'!A192, VLOOKUP(Feuil1!A192, 'Données Hebdo'!B:J, 8, FALSE), "")</f>
        <v/>
      </c>
      <c r="J192" s="27" t="str">
        <f t="shared" si="54"/>
        <v/>
      </c>
      <c r="K192" s="27" t="str">
        <f t="shared" si="55"/>
        <v/>
      </c>
      <c r="L192" s="27" t="str">
        <f t="shared" si="56"/>
        <v/>
      </c>
      <c r="M192" s="30" t="str">
        <f t="shared" si="57"/>
        <v/>
      </c>
      <c r="N192" s="18" t="str">
        <f t="shared" si="58"/>
        <v/>
      </c>
    </row>
    <row r="193" spans="1:14" s="18" customFormat="1" ht="17.25" customHeight="1">
      <c r="A193" s="16" t="s">
        <v>90</v>
      </c>
      <c r="B193" s="17" t="s">
        <v>42</v>
      </c>
      <c r="C193" s="17" t="s">
        <v>1137</v>
      </c>
      <c r="D193" s="22" t="s">
        <v>1138</v>
      </c>
      <c r="E193" s="27">
        <f t="shared" si="51"/>
        <v>4.4537037036207039E-2</v>
      </c>
      <c r="F193" s="18" t="s">
        <v>97</v>
      </c>
      <c r="G193" s="30" t="str">
        <f t="shared" si="52"/>
        <v/>
      </c>
      <c r="H193" s="23" t="str">
        <f t="shared" si="53"/>
        <v/>
      </c>
      <c r="I193" s="33" t="str">
        <f>IF(F192='Données Hebdo'!A193, VLOOKUP(Feuil1!A193, 'Données Hebdo'!B:J, 8, FALSE), "")</f>
        <v/>
      </c>
      <c r="J193" s="27" t="str">
        <f t="shared" si="54"/>
        <v>08:26:47 à 09:30:58</v>
      </c>
      <c r="K193" s="27" t="str">
        <f t="shared" si="55"/>
        <v>2016-06-04 09:30:58</v>
      </c>
      <c r="L193" s="27">
        <f t="shared" si="56"/>
        <v>4.4571759259270038E-2</v>
      </c>
      <c r="M193" s="30">
        <f t="shared" si="57"/>
        <v>4.4537037036207039E-2</v>
      </c>
      <c r="N193" s="18" t="str">
        <f t="shared" si="58"/>
        <v>CARRIERE RAZEL NKOMETOU - BASE RAZEL PREFECTURE</v>
      </c>
    </row>
    <row r="194" spans="1:14" s="18" customFormat="1" ht="17.25" customHeight="1">
      <c r="A194" s="16" t="s">
        <v>90</v>
      </c>
      <c r="B194" s="17" t="s">
        <v>197</v>
      </c>
      <c r="C194" s="17" t="s">
        <v>1139</v>
      </c>
      <c r="D194" s="22" t="s">
        <v>1140</v>
      </c>
      <c r="E194" s="27">
        <f t="shared" ref="E194:E258" si="59">IFERROR(D194-C194, "")</f>
        <v>8.9004629626288079E-3</v>
      </c>
      <c r="F194" s="18" t="s">
        <v>97</v>
      </c>
      <c r="G194" s="30">
        <f t="shared" si="52"/>
        <v>4.4571759259270038E-2</v>
      </c>
      <c r="H194" s="23" t="str">
        <f t="shared" si="53"/>
        <v>CARRIERE RAZEL NKOMETOU - BASE RAZEL PREFECTURE</v>
      </c>
      <c r="I194" s="33" t="str">
        <f>IF(F193='Données Hebdo'!A194, VLOOKUP(Feuil1!A194, 'Données Hebdo'!B:J, 8, FALSE), "")</f>
        <v/>
      </c>
      <c r="J194" s="27" t="str">
        <f t="shared" si="54"/>
        <v>09:43:47 à 10:23:12</v>
      </c>
      <c r="K194" s="27" t="str">
        <f t="shared" si="55"/>
        <v>2016-06-04 10:23:12</v>
      </c>
      <c r="L194" s="27">
        <f t="shared" si="56"/>
        <v>2.7372685188311152E-2</v>
      </c>
      <c r="M194" s="30">
        <f t="shared" si="57"/>
        <v>8.9004629626288079E-3</v>
      </c>
      <c r="N194" s="18" t="str">
        <f t="shared" si="58"/>
        <v>BASE RAZEL PREFECTURE - CARRIERE RAZEL NKOMETOU</v>
      </c>
    </row>
    <row r="195" spans="1:14" s="18" customFormat="1" ht="17.25" customHeight="1">
      <c r="A195" s="16" t="s">
        <v>90</v>
      </c>
      <c r="B195" s="17" t="s">
        <v>42</v>
      </c>
      <c r="C195" s="17" t="s">
        <v>1141</v>
      </c>
      <c r="D195" s="22" t="s">
        <v>1142</v>
      </c>
      <c r="E195" s="27">
        <f t="shared" si="59"/>
        <v>1.9282407403807156E-2</v>
      </c>
      <c r="F195" s="18" t="s">
        <v>97</v>
      </c>
      <c r="G195" s="30">
        <f t="shared" si="52"/>
        <v>2.7372685188311152E-2</v>
      </c>
      <c r="H195" s="23" t="str">
        <f t="shared" si="53"/>
        <v>BASE RAZEL PREFECTURE - CARRIERE RAZEL NKOMETOU</v>
      </c>
      <c r="I195" s="33" t="str">
        <f>IF(F194='Données Hebdo'!A195, VLOOKUP(Feuil1!A195, 'Données Hebdo'!B:J, 8, FALSE), "")</f>
        <v/>
      </c>
      <c r="J195" s="27" t="str">
        <f t="shared" si="54"/>
        <v>10:50:58 à 11:37:56</v>
      </c>
      <c r="K195" s="27" t="str">
        <f t="shared" si="55"/>
        <v>2016-06-04 11:37:56</v>
      </c>
      <c r="L195" s="27">
        <f t="shared" si="56"/>
        <v>3.2615740739856847E-2</v>
      </c>
      <c r="M195" s="30">
        <f t="shared" si="57"/>
        <v>1.9282407403807156E-2</v>
      </c>
      <c r="N195" s="18" t="str">
        <f t="shared" si="58"/>
        <v>CARRIERE RAZEL NKOMETOU - BASE RAZEL PREFECTURE</v>
      </c>
    </row>
    <row r="196" spans="1:14" s="18" customFormat="1" ht="17.25" customHeight="1">
      <c r="A196" s="16" t="s">
        <v>90</v>
      </c>
      <c r="B196" s="17" t="s">
        <v>197</v>
      </c>
      <c r="C196" s="17" t="s">
        <v>1143</v>
      </c>
      <c r="D196" s="22" t="s">
        <v>1144</v>
      </c>
      <c r="E196" s="27">
        <f t="shared" si="59"/>
        <v>1.0416666671517305E-2</v>
      </c>
      <c r="F196" s="18" t="s">
        <v>97</v>
      </c>
      <c r="G196" s="30">
        <f t="shared" si="52"/>
        <v>3.2615740739856847E-2</v>
      </c>
      <c r="H196" s="23" t="str">
        <f t="shared" si="53"/>
        <v>CARRIERE RAZEL NKOMETOU - BASE RAZEL PREFECTURE</v>
      </c>
      <c r="I196" s="33" t="str">
        <f>IF(F195='Données Hebdo'!A196, VLOOKUP(Feuil1!A196, 'Données Hebdo'!B:J, 8, FALSE), "")</f>
        <v/>
      </c>
      <c r="J196" s="27" t="str">
        <f t="shared" si="54"/>
        <v>11:52:56 à 12:41:04</v>
      </c>
      <c r="K196" s="27" t="str">
        <f t="shared" si="55"/>
        <v>2016-06-04 12:41:04</v>
      </c>
      <c r="L196" s="27">
        <f t="shared" si="56"/>
        <v>3.3425925925257616E-2</v>
      </c>
      <c r="M196" s="30">
        <f t="shared" si="57"/>
        <v>1.0416666671517305E-2</v>
      </c>
      <c r="N196" s="18" t="str">
        <f t="shared" si="58"/>
        <v>BASE RAZEL PREFECTURE - CARRIERE RAZEL NKOMETOU</v>
      </c>
    </row>
    <row r="197" spans="1:14" s="18" customFormat="1" ht="17.25" customHeight="1">
      <c r="A197" s="16" t="s">
        <v>90</v>
      </c>
      <c r="B197" s="17" t="s">
        <v>42</v>
      </c>
      <c r="C197" s="17" t="s">
        <v>1145</v>
      </c>
      <c r="D197" s="22" t="s">
        <v>1146</v>
      </c>
      <c r="E197" s="27">
        <f t="shared" si="59"/>
        <v>1.8252314810524695E-2</v>
      </c>
      <c r="F197" s="18" t="s">
        <v>97</v>
      </c>
      <c r="G197" s="30">
        <f t="shared" si="52"/>
        <v>3.3425925925257616E-2</v>
      </c>
      <c r="H197" s="23" t="str">
        <f t="shared" si="53"/>
        <v>BASE RAZEL PREFECTURE - CARRIERE RAZEL NKOMETOU</v>
      </c>
      <c r="I197" s="33" t="str">
        <f>IF(F196='Données Hebdo'!A197, VLOOKUP(Feuil1!A197, 'Données Hebdo'!B:J, 8, FALSE), "")</f>
        <v/>
      </c>
      <c r="J197" s="27" t="str">
        <f t="shared" si="54"/>
        <v>13:07:21 à 13:53:36</v>
      </c>
      <c r="K197" s="27" t="str">
        <f t="shared" si="55"/>
        <v>2016-06-04 13:53:36</v>
      </c>
      <c r="L197" s="27">
        <f t="shared" si="56"/>
        <v>3.2118055554747116E-2</v>
      </c>
      <c r="M197" s="30">
        <f t="shared" si="57"/>
        <v>1.8252314810524695E-2</v>
      </c>
      <c r="N197" s="18" t="str">
        <f t="shared" si="58"/>
        <v>CARRIERE RAZEL NKOMETOU - BASE RAZEL PREFECTURE</v>
      </c>
    </row>
    <row r="198" spans="1:14" s="18" customFormat="1" ht="17.25" customHeight="1">
      <c r="A198" s="16" t="s">
        <v>90</v>
      </c>
      <c r="B198" s="17" t="s">
        <v>197</v>
      </c>
      <c r="C198" s="17" t="s">
        <v>1147</v>
      </c>
      <c r="D198" s="22" t="s">
        <v>1148</v>
      </c>
      <c r="E198" s="27">
        <f t="shared" si="59"/>
        <v>1.4187500000043656</v>
      </c>
      <c r="F198" s="18" t="s">
        <v>97</v>
      </c>
      <c r="G198" s="30">
        <f t="shared" si="52"/>
        <v>3.2118055554747116E-2</v>
      </c>
      <c r="H198" s="23" t="str">
        <f t="shared" si="53"/>
        <v>CARRIERE RAZEL NKOMETOU - BASE RAZEL PREFECTURE</v>
      </c>
      <c r="I198" s="33" t="str">
        <f>IF(F197='Données Hebdo'!A198, VLOOKUP(Feuil1!A198, 'Données Hebdo'!B:J, 8, FALSE), "")</f>
        <v/>
      </c>
      <c r="J198" s="27" t="str">
        <f t="shared" si="54"/>
        <v/>
      </c>
      <c r="K198" s="27" t="str">
        <f t="shared" si="55"/>
        <v/>
      </c>
      <c r="L198" s="27" t="str">
        <f t="shared" si="56"/>
        <v/>
      </c>
      <c r="M198" s="30" t="str">
        <f t="shared" si="57"/>
        <v/>
      </c>
      <c r="N198" s="18" t="str">
        <f t="shared" si="58"/>
        <v/>
      </c>
    </row>
    <row r="199" spans="1:14" s="18" customFormat="1" ht="17.25" customHeight="1">
      <c r="A199" s="16" t="s">
        <v>91</v>
      </c>
      <c r="B199" s="17" t="s">
        <v>56</v>
      </c>
      <c r="C199" s="17" t="s">
        <v>1149</v>
      </c>
      <c r="D199" s="22" t="s">
        <v>1150</v>
      </c>
      <c r="E199" s="27">
        <f t="shared" si="59"/>
        <v>6.9444444452528842E-3</v>
      </c>
      <c r="F199" s="18" t="s">
        <v>97</v>
      </c>
      <c r="G199" s="30" t="str">
        <f t="shared" si="52"/>
        <v/>
      </c>
      <c r="H199" s="23" t="str">
        <f t="shared" si="53"/>
        <v/>
      </c>
      <c r="I199" s="33" t="str">
        <f>IF(F198='Données Hebdo'!A199, VLOOKUP(Feuil1!A199, 'Données Hebdo'!B:J, 8, FALSE), "")</f>
        <v/>
      </c>
      <c r="J199" s="27" t="str">
        <f t="shared" si="54"/>
        <v>08:04:27 à 09:18:27</v>
      </c>
      <c r="K199" s="27" t="str">
        <f t="shared" si="55"/>
        <v>2016-06-04 09:18:27</v>
      </c>
      <c r="L199" s="27">
        <f t="shared" si="56"/>
        <v>5.1388888889050577E-2</v>
      </c>
      <c r="M199" s="30">
        <f t="shared" si="57"/>
        <v>6.9444444452528842E-3</v>
      </c>
      <c r="N199" s="18" t="str">
        <f t="shared" si="58"/>
        <v>DEPOT RAZEL YASSA - CARRIERE RAZEL LOGBADJECK</v>
      </c>
    </row>
    <row r="200" spans="1:14" s="18" customFormat="1" ht="17.25" customHeight="1">
      <c r="A200" s="16" t="s">
        <v>91</v>
      </c>
      <c r="B200" s="17" t="s">
        <v>796</v>
      </c>
      <c r="C200" s="17" t="s">
        <v>1151</v>
      </c>
      <c r="D200" s="22" t="s">
        <v>1152</v>
      </c>
      <c r="E200" s="27">
        <f t="shared" si="59"/>
        <v>3.4027777779556345E-2</v>
      </c>
      <c r="F200" s="18" t="s">
        <v>97</v>
      </c>
      <c r="G200" s="30">
        <f t="shared" si="52"/>
        <v>5.1388888889050577E-2</v>
      </c>
      <c r="H200" s="23" t="str">
        <f t="shared" si="53"/>
        <v>DEPOT RAZEL YASSA - CARRIERE RAZEL LOGBADJECK</v>
      </c>
      <c r="I200" s="33" t="str">
        <f>IF(F199='Données Hebdo'!A200, VLOOKUP(Feuil1!A200, 'Données Hebdo'!B:J, 8, FALSE), "")</f>
        <v/>
      </c>
      <c r="J200" s="27" t="str">
        <f t="shared" si="54"/>
        <v>10:07:27 à 11:06:27</v>
      </c>
      <c r="K200" s="27" t="str">
        <f t="shared" si="55"/>
        <v>2016-06-04 11:06:27</v>
      </c>
      <c r="L200" s="27">
        <f t="shared" si="56"/>
        <v>4.0972222224809229E-2</v>
      </c>
      <c r="M200" s="30">
        <f t="shared" si="57"/>
        <v>3.4027777779556345E-2</v>
      </c>
      <c r="N200" s="18" t="str">
        <f t="shared" si="58"/>
        <v>CARRIERE RAZEL LOGBADJECK - DEPOT RAZEL YASSA</v>
      </c>
    </row>
    <row r="201" spans="1:14" s="18" customFormat="1" ht="17.25" customHeight="1">
      <c r="A201" s="16" t="s">
        <v>91</v>
      </c>
      <c r="B201" s="17" t="s">
        <v>56</v>
      </c>
      <c r="C201" s="17" t="s">
        <v>1153</v>
      </c>
      <c r="D201" s="22" t="s">
        <v>1154</v>
      </c>
      <c r="E201" s="27">
        <f t="shared" si="59"/>
        <v>7.6388888846850023E-3</v>
      </c>
      <c r="F201" s="18" t="s">
        <v>97</v>
      </c>
      <c r="G201" s="30">
        <f t="shared" si="52"/>
        <v>4.0972222224809229E-2</v>
      </c>
      <c r="H201" s="23" t="str">
        <f t="shared" si="53"/>
        <v>CARRIERE RAZEL LOGBADJECK - DEPOT RAZEL YASSA</v>
      </c>
      <c r="I201" s="33" t="str">
        <f>IF(F200='Données Hebdo'!A201, VLOOKUP(Feuil1!A201, 'Données Hebdo'!B:J, 8, FALSE), "")</f>
        <v/>
      </c>
      <c r="J201" s="27" t="str">
        <f t="shared" si="54"/>
        <v>11:17:27 à 12:24:28</v>
      </c>
      <c r="K201" s="27" t="str">
        <f t="shared" si="55"/>
        <v>2016-06-04 12:24:28</v>
      </c>
      <c r="L201" s="27">
        <f t="shared" si="56"/>
        <v>4.6539351853425615E-2</v>
      </c>
      <c r="M201" s="30">
        <f t="shared" si="57"/>
        <v>7.6388888846850023E-3</v>
      </c>
      <c r="N201" s="18" t="str">
        <f t="shared" si="58"/>
        <v>DEPOT RAZEL YASSA - CARRIERE RAZEL LOGBADJECK</v>
      </c>
    </row>
    <row r="202" spans="1:14" s="18" customFormat="1" ht="17.25" customHeight="1">
      <c r="A202" s="16" t="s">
        <v>91</v>
      </c>
      <c r="B202" s="17" t="s">
        <v>796</v>
      </c>
      <c r="C202" s="17" t="s">
        <v>1155</v>
      </c>
      <c r="D202" s="22" t="s">
        <v>1156</v>
      </c>
      <c r="E202" s="27">
        <f t="shared" si="59"/>
        <v>2.9861111113859806E-2</v>
      </c>
      <c r="F202" s="18" t="s">
        <v>97</v>
      </c>
      <c r="G202" s="30">
        <f t="shared" si="52"/>
        <v>4.6539351853425615E-2</v>
      </c>
      <c r="H202" s="23" t="str">
        <f t="shared" si="53"/>
        <v>DEPOT RAZEL YASSA - CARRIERE RAZEL LOGBADJECK</v>
      </c>
      <c r="I202" s="33" t="str">
        <f>IF(F201='Données Hebdo'!A202, VLOOKUP(Feuil1!A202, 'Données Hebdo'!B:J, 8, FALSE), "")</f>
        <v/>
      </c>
      <c r="J202" s="27" t="str">
        <f t="shared" si="54"/>
        <v>13:07:28 à 14:10:28</v>
      </c>
      <c r="K202" s="27" t="str">
        <f t="shared" si="55"/>
        <v>2016-06-04 14:10:28</v>
      </c>
      <c r="L202" s="27">
        <f t="shared" si="56"/>
        <v>4.3749999997089617E-2</v>
      </c>
      <c r="M202" s="30">
        <f t="shared" si="57"/>
        <v>2.9861111113859806E-2</v>
      </c>
      <c r="N202" s="18" t="str">
        <f t="shared" si="58"/>
        <v>CARRIERE RAZEL LOGBADJECK - DEPOT RAZEL YASSA</v>
      </c>
    </row>
    <row r="203" spans="1:14" s="18" customFormat="1" ht="17.25" customHeight="1">
      <c r="A203" s="16" t="s">
        <v>91</v>
      </c>
      <c r="B203" s="17" t="s">
        <v>56</v>
      </c>
      <c r="C203" s="17" t="s">
        <v>1157</v>
      </c>
      <c r="D203" s="22" t="s">
        <v>1158</v>
      </c>
      <c r="E203" s="27">
        <f t="shared" si="59"/>
        <v>9.0277777781011537E-3</v>
      </c>
      <c r="F203" s="18" t="s">
        <v>97</v>
      </c>
      <c r="G203" s="30">
        <f t="shared" ref="G203:G267" si="60">IF(A203=A202, C203-D202, "")</f>
        <v>4.3749999997089617E-2</v>
      </c>
      <c r="H203" s="23" t="str">
        <f t="shared" ref="H203:H267" si="61">IF(A203=A202, B202&amp;" - "&amp;B203, "")</f>
        <v>CARRIERE RAZEL LOGBADJECK - DEPOT RAZEL YASSA</v>
      </c>
      <c r="I203" s="33" t="str">
        <f>IF(F202='Données Hebdo'!A203, VLOOKUP(Feuil1!A203, 'Données Hebdo'!B:J, 8, FALSE), "")</f>
        <v/>
      </c>
      <c r="J203" s="27" t="str">
        <f t="shared" ref="J203:J267" si="62">IF(A203=A204, RIGHT(D203, 8)&amp;" à "&amp;RIGHT(C204, 8), "")</f>
        <v>14:23:28 à 15:58:29</v>
      </c>
      <c r="K203" s="27" t="str">
        <f t="shared" ref="K203:K267" si="63">IF(A203=A204, C204, "")</f>
        <v>2016-06-04 15:58:29</v>
      </c>
      <c r="L203" s="27">
        <f t="shared" ref="L203:L267" si="64">IF(A203=A204, G204, "")</f>
        <v>6.5983796295768116E-2</v>
      </c>
      <c r="M203" s="30">
        <f t="shared" ref="M203:M267" si="65">IF(A203=A204, E203, "")</f>
        <v>9.0277777781011537E-3</v>
      </c>
      <c r="N203" s="18" t="str">
        <f t="shared" ref="N203:N267" si="66">IF(A203=A204, H204, "")</f>
        <v>DEPOT RAZEL YASSA - CARRIERE RAZEL LOGBADJECK</v>
      </c>
    </row>
    <row r="204" spans="1:14" s="18" customFormat="1" ht="17.25" customHeight="1">
      <c r="A204" s="16" t="s">
        <v>91</v>
      </c>
      <c r="B204" s="17" t="s">
        <v>796</v>
      </c>
      <c r="C204" s="17" t="s">
        <v>1159</v>
      </c>
      <c r="D204" s="22" t="s">
        <v>1160</v>
      </c>
      <c r="E204" s="27">
        <f t="shared" si="59"/>
        <v>0.42497685185662704</v>
      </c>
      <c r="F204" s="18" t="s">
        <v>97</v>
      </c>
      <c r="G204" s="30">
        <f t="shared" si="60"/>
        <v>6.5983796295768116E-2</v>
      </c>
      <c r="H204" s="23" t="str">
        <f t="shared" si="61"/>
        <v>DEPOT RAZEL YASSA - CARRIERE RAZEL LOGBADJECK</v>
      </c>
      <c r="I204" s="33" t="str">
        <f>IF(F203='Données Hebdo'!A204, VLOOKUP(Feuil1!A204, 'Données Hebdo'!B:J, 8, FALSE), "")</f>
        <v/>
      </c>
      <c r="J204" s="27" t="str">
        <f t="shared" si="62"/>
        <v/>
      </c>
      <c r="K204" s="27" t="str">
        <f t="shared" si="63"/>
        <v/>
      </c>
      <c r="L204" s="27" t="str">
        <f t="shared" si="64"/>
        <v/>
      </c>
      <c r="M204" s="30" t="str">
        <f t="shared" si="65"/>
        <v/>
      </c>
      <c r="N204" s="18" t="str">
        <f t="shared" si="66"/>
        <v/>
      </c>
    </row>
    <row r="205" spans="1:14" s="18" customFormat="1" ht="17.25" customHeight="1">
      <c r="A205" s="16" t="s">
        <v>749</v>
      </c>
      <c r="B205" s="17" t="s">
        <v>52</v>
      </c>
      <c r="C205" s="17" t="s">
        <v>1161</v>
      </c>
      <c r="D205" s="22" t="s">
        <v>1162</v>
      </c>
      <c r="E205" s="27">
        <f t="shared" si="59"/>
        <v>5.3703703670180403E-3</v>
      </c>
      <c r="F205" s="18" t="s">
        <v>97</v>
      </c>
      <c r="G205" s="30" t="str">
        <f t="shared" si="60"/>
        <v/>
      </c>
      <c r="H205" s="23" t="str">
        <f t="shared" si="61"/>
        <v/>
      </c>
      <c r="I205" s="33" t="str">
        <f>IF(F204='Données Hebdo'!A205, VLOOKUP(Feuil1!A205, 'Données Hebdo'!B:J, 8, FALSE), "")</f>
        <v/>
      </c>
      <c r="J205" s="27" t="str">
        <f t="shared" si="62"/>
        <v>07:44:15 à 08:16:08</v>
      </c>
      <c r="K205" s="27" t="str">
        <f t="shared" si="63"/>
        <v>2016-06-04 08:16:08</v>
      </c>
      <c r="L205" s="27">
        <f t="shared" si="64"/>
        <v>2.2141203706269152E-2</v>
      </c>
      <c r="M205" s="30">
        <f t="shared" si="65"/>
        <v>5.3703703670180403E-3</v>
      </c>
      <c r="N205" s="18" t="str">
        <f t="shared" si="66"/>
        <v>BASE RAZEL OLEMBE - BASE RAZEL OLEMBE</v>
      </c>
    </row>
    <row r="206" spans="1:14" s="18" customFormat="1" ht="17.25" customHeight="1">
      <c r="A206" s="16" t="s">
        <v>749</v>
      </c>
      <c r="B206" s="17" t="s">
        <v>52</v>
      </c>
      <c r="C206" s="17" t="s">
        <v>1163</v>
      </c>
      <c r="D206" s="22" t="s">
        <v>1164</v>
      </c>
      <c r="E206" s="27">
        <f t="shared" si="59"/>
        <v>4.6296296204673126E-4</v>
      </c>
      <c r="F206" s="18" t="s">
        <v>97</v>
      </c>
      <c r="G206" s="30">
        <f t="shared" si="60"/>
        <v>2.2141203706269152E-2</v>
      </c>
      <c r="H206" s="23" t="str">
        <f t="shared" si="61"/>
        <v>BASE RAZEL OLEMBE - BASE RAZEL OLEMBE</v>
      </c>
      <c r="I206" s="33" t="str">
        <f>IF(F205='Données Hebdo'!A206, VLOOKUP(Feuil1!A206, 'Données Hebdo'!B:J, 8, FALSE), "")</f>
        <v/>
      </c>
      <c r="J206" s="27" t="str">
        <f t="shared" si="62"/>
        <v/>
      </c>
      <c r="K206" s="27" t="str">
        <f t="shared" si="63"/>
        <v/>
      </c>
      <c r="L206" s="27" t="str">
        <f t="shared" si="64"/>
        <v/>
      </c>
      <c r="M206" s="30" t="str">
        <f t="shared" si="65"/>
        <v/>
      </c>
      <c r="N206" s="18" t="str">
        <f t="shared" si="66"/>
        <v/>
      </c>
    </row>
    <row r="207" spans="1:14" s="18" customFormat="1" ht="17.25" customHeight="1">
      <c r="A207" s="16" t="s">
        <v>71</v>
      </c>
      <c r="B207" s="17" t="s">
        <v>42</v>
      </c>
      <c r="C207" s="17" t="s">
        <v>730</v>
      </c>
      <c r="D207" s="22" t="s">
        <v>731</v>
      </c>
      <c r="E207" s="27">
        <f t="shared" si="59"/>
        <v>1.7353240740776528</v>
      </c>
      <c r="F207" s="18" t="s">
        <v>97</v>
      </c>
      <c r="G207" s="30" t="str">
        <f t="shared" si="60"/>
        <v/>
      </c>
      <c r="H207" s="23" t="str">
        <f t="shared" si="61"/>
        <v/>
      </c>
      <c r="I207" s="33" t="str">
        <f>IF(F206='Données Hebdo'!A207, VLOOKUP(Feuil1!A207, 'Données Hebdo'!B:J, 8, FALSE), "")</f>
        <v/>
      </c>
      <c r="J207" s="27" t="str">
        <f t="shared" si="62"/>
        <v>08:48:43 à 09:39:15</v>
      </c>
      <c r="K207" s="27" t="str">
        <f t="shared" si="63"/>
        <v>2016-05-30 09:39:15</v>
      </c>
      <c r="L207" s="27">
        <f t="shared" si="64"/>
        <v>3.5092592588625848E-2</v>
      </c>
      <c r="M207" s="30">
        <f t="shared" si="65"/>
        <v>1.7353240740776528</v>
      </c>
      <c r="N207" s="18" t="str">
        <f t="shared" si="66"/>
        <v>CARRIERE RAZEL NKOMETOU - BASE RAZEL PREFECTURE</v>
      </c>
    </row>
    <row r="208" spans="1:14" s="18" customFormat="1" ht="17.25" customHeight="1">
      <c r="A208" s="16" t="s">
        <v>71</v>
      </c>
      <c r="B208" s="17" t="s">
        <v>197</v>
      </c>
      <c r="C208" s="17" t="s">
        <v>1165</v>
      </c>
      <c r="D208" s="22" t="s">
        <v>1166</v>
      </c>
      <c r="E208" s="27">
        <f t="shared" si="59"/>
        <v>4.652777781302575E-3</v>
      </c>
      <c r="F208" s="18" t="s">
        <v>97</v>
      </c>
      <c r="G208" s="30">
        <f t="shared" si="60"/>
        <v>3.5092592588625848E-2</v>
      </c>
      <c r="H208" s="23" t="str">
        <f t="shared" si="61"/>
        <v>CARRIERE RAZEL NKOMETOU - BASE RAZEL PREFECTURE</v>
      </c>
      <c r="I208" s="33" t="str">
        <f>IF(F207='Données Hebdo'!A208, VLOOKUP(Feuil1!A208, 'Données Hebdo'!B:J, 8, FALSE), "")</f>
        <v/>
      </c>
      <c r="J208" s="27" t="str">
        <f t="shared" si="62"/>
        <v>09:45:57 à 10:19:06</v>
      </c>
      <c r="K208" s="27" t="str">
        <f t="shared" si="63"/>
        <v>2016-05-30 10:19:06</v>
      </c>
      <c r="L208" s="27">
        <f t="shared" si="64"/>
        <v>2.3020833330519963E-2</v>
      </c>
      <c r="M208" s="30">
        <f t="shared" si="65"/>
        <v>4.652777781302575E-3</v>
      </c>
      <c r="N208" s="18" t="str">
        <f t="shared" si="66"/>
        <v>BASE RAZEL PREFECTURE - CARRIERE RAZEL NKOMETOU</v>
      </c>
    </row>
    <row r="209" spans="1:14" s="18" customFormat="1" ht="17.25" customHeight="1">
      <c r="A209" s="16" t="s">
        <v>71</v>
      </c>
      <c r="B209" s="17" t="s">
        <v>42</v>
      </c>
      <c r="C209" s="17" t="s">
        <v>1167</v>
      </c>
      <c r="D209" s="22" t="s">
        <v>1168</v>
      </c>
      <c r="E209" s="27">
        <f t="shared" si="59"/>
        <v>1.6412037039117422E-2</v>
      </c>
      <c r="F209" s="18" t="s">
        <v>97</v>
      </c>
      <c r="G209" s="30">
        <f t="shared" si="60"/>
        <v>2.3020833330519963E-2</v>
      </c>
      <c r="H209" s="23" t="str">
        <f t="shared" si="61"/>
        <v>BASE RAZEL PREFECTURE - CARRIERE RAZEL NKOMETOU</v>
      </c>
      <c r="I209" s="33" t="str">
        <f>IF(F208='Données Hebdo'!A209, VLOOKUP(Feuil1!A209, 'Données Hebdo'!B:J, 8, FALSE), "")</f>
        <v/>
      </c>
      <c r="J209" s="27" t="str">
        <f t="shared" si="62"/>
        <v>10:42:44 à 12:09:38</v>
      </c>
      <c r="K209" s="27" t="str">
        <f t="shared" si="63"/>
        <v>2016-05-30 12:09:38</v>
      </c>
      <c r="L209" s="27">
        <f t="shared" si="64"/>
        <v>6.0347222221025731E-2</v>
      </c>
      <c r="M209" s="30">
        <f t="shared" si="65"/>
        <v>1.6412037039117422E-2</v>
      </c>
      <c r="N209" s="18" t="str">
        <f t="shared" si="66"/>
        <v>CARRIERE RAZEL NKOMETOU - BASE RAZEL PREFECTURE</v>
      </c>
    </row>
    <row r="210" spans="1:14" s="18" customFormat="1" ht="17.25" customHeight="1">
      <c r="A210" s="16" t="s">
        <v>71</v>
      </c>
      <c r="B210" s="17" t="s">
        <v>197</v>
      </c>
      <c r="C210" s="17" t="s">
        <v>1169</v>
      </c>
      <c r="D210" s="22" t="s">
        <v>1170</v>
      </c>
      <c r="E210" s="27">
        <f t="shared" si="59"/>
        <v>3.1018518493510783E-3</v>
      </c>
      <c r="F210" s="18" t="s">
        <v>97</v>
      </c>
      <c r="G210" s="30">
        <f t="shared" si="60"/>
        <v>6.0347222221025731E-2</v>
      </c>
      <c r="H210" s="23" t="str">
        <f t="shared" si="61"/>
        <v>CARRIERE RAZEL NKOMETOU - BASE RAZEL PREFECTURE</v>
      </c>
      <c r="I210" s="33" t="str">
        <f>IF(F209='Données Hebdo'!A210, VLOOKUP(Feuil1!A210, 'Données Hebdo'!B:J, 8, FALSE), "")</f>
        <v/>
      </c>
      <c r="J210" s="27" t="str">
        <f t="shared" si="62"/>
        <v>12:14:06 à 12:14:36</v>
      </c>
      <c r="K210" s="27" t="str">
        <f t="shared" si="63"/>
        <v>2016-05-30 12:14:36</v>
      </c>
      <c r="L210" s="27">
        <f t="shared" si="64"/>
        <v>3.4722222335403785E-4</v>
      </c>
      <c r="M210" s="30">
        <f t="shared" si="65"/>
        <v>3.1018518493510783E-3</v>
      </c>
      <c r="N210" s="18" t="str">
        <f t="shared" si="66"/>
        <v>BASE RAZEL PREFECTURE - BASE RAZEL PREFECTURE</v>
      </c>
    </row>
    <row r="211" spans="1:14" s="18" customFormat="1" ht="17.25" customHeight="1">
      <c r="A211" s="16" t="s">
        <v>71</v>
      </c>
      <c r="B211" s="17" t="s">
        <v>197</v>
      </c>
      <c r="C211" s="17" t="s">
        <v>1171</v>
      </c>
      <c r="D211" s="22" t="s">
        <v>1172</v>
      </c>
      <c r="E211" s="27">
        <f t="shared" si="59"/>
        <v>3.7037036963738501E-4</v>
      </c>
      <c r="F211" s="18" t="s">
        <v>97</v>
      </c>
      <c r="G211" s="30">
        <f t="shared" si="60"/>
        <v>3.4722222335403785E-4</v>
      </c>
      <c r="H211" s="23" t="str">
        <f t="shared" si="61"/>
        <v>BASE RAZEL PREFECTURE - BASE RAZEL PREFECTURE</v>
      </c>
      <c r="I211" s="33" t="str">
        <f>IF(F210='Données Hebdo'!A211, VLOOKUP(Feuil1!A211, 'Données Hebdo'!B:J, 8, FALSE), "")</f>
        <v/>
      </c>
      <c r="J211" s="27" t="str">
        <f t="shared" si="62"/>
        <v>12:15:08 à 13:18:37</v>
      </c>
      <c r="K211" s="27" t="str">
        <f t="shared" si="63"/>
        <v>2016-05-30 13:18:37</v>
      </c>
      <c r="L211" s="27">
        <f t="shared" si="64"/>
        <v>4.408564815093996E-2</v>
      </c>
      <c r="M211" s="30">
        <f t="shared" si="65"/>
        <v>3.7037036963738501E-4</v>
      </c>
      <c r="N211" s="18" t="str">
        <f t="shared" si="66"/>
        <v>BASE RAZEL PREFECTURE - CARRIERE RAZEL NKOMETOU</v>
      </c>
    </row>
    <row r="212" spans="1:14" s="18" customFormat="1" ht="17.25" customHeight="1">
      <c r="A212" s="16" t="s">
        <v>71</v>
      </c>
      <c r="B212" s="17" t="s">
        <v>42</v>
      </c>
      <c r="C212" s="17" t="s">
        <v>1173</v>
      </c>
      <c r="D212" s="22" t="s">
        <v>1174</v>
      </c>
      <c r="E212" s="27">
        <f t="shared" si="59"/>
        <v>3.5266203703940846E-2</v>
      </c>
      <c r="F212" s="18" t="s">
        <v>97</v>
      </c>
      <c r="G212" s="30">
        <f t="shared" si="60"/>
        <v>4.408564815093996E-2</v>
      </c>
      <c r="H212" s="23" t="str">
        <f t="shared" si="61"/>
        <v>BASE RAZEL PREFECTURE - CARRIERE RAZEL NKOMETOU</v>
      </c>
      <c r="I212" s="33" t="str">
        <f>IF(F211='Données Hebdo'!A212, VLOOKUP(Feuil1!A212, 'Données Hebdo'!B:J, 8, FALSE), "")</f>
        <v/>
      </c>
      <c r="J212" s="27" t="str">
        <f t="shared" si="62"/>
        <v>14:09:24 à 14:59:24</v>
      </c>
      <c r="K212" s="27" t="str">
        <f t="shared" si="63"/>
        <v>2016-05-30 14:59:24</v>
      </c>
      <c r="L212" s="27">
        <f t="shared" si="64"/>
        <v>3.4722222218988463E-2</v>
      </c>
      <c r="M212" s="30">
        <f t="shared" si="65"/>
        <v>3.5266203703940846E-2</v>
      </c>
      <c r="N212" s="18" t="str">
        <f t="shared" si="66"/>
        <v>CARRIERE RAZEL NKOMETOU - BASE RAZEL PREFECTURE</v>
      </c>
    </row>
    <row r="213" spans="1:14" s="18" customFormat="1" ht="17.25" customHeight="1">
      <c r="A213" s="16" t="s">
        <v>71</v>
      </c>
      <c r="B213" s="17" t="s">
        <v>197</v>
      </c>
      <c r="C213" s="17" t="s">
        <v>1175</v>
      </c>
      <c r="D213" s="22" t="s">
        <v>1176</v>
      </c>
      <c r="E213" s="27">
        <f t="shared" si="59"/>
        <v>3.3912037033587694E-3</v>
      </c>
      <c r="F213" s="18" t="s">
        <v>97</v>
      </c>
      <c r="G213" s="30">
        <f t="shared" si="60"/>
        <v>3.4722222218988463E-2</v>
      </c>
      <c r="H213" s="23" t="str">
        <f t="shared" si="61"/>
        <v>CARRIERE RAZEL NKOMETOU - BASE RAZEL PREFECTURE</v>
      </c>
      <c r="I213" s="33" t="str">
        <f>IF(F212='Données Hebdo'!A213, VLOOKUP(Feuil1!A213, 'Données Hebdo'!B:J, 8, FALSE), "")</f>
        <v/>
      </c>
      <c r="J213" s="27" t="str">
        <f t="shared" si="62"/>
        <v>15:04:17 à 15:58:47</v>
      </c>
      <c r="K213" s="27" t="str">
        <f t="shared" si="63"/>
        <v>2016-05-30 15:58:47</v>
      </c>
      <c r="L213" s="27">
        <f t="shared" si="64"/>
        <v>3.7847222221898846E-2</v>
      </c>
      <c r="M213" s="30">
        <f t="shared" si="65"/>
        <v>3.3912037033587694E-3</v>
      </c>
      <c r="N213" s="18" t="str">
        <f t="shared" si="66"/>
        <v>BASE RAZEL PREFECTURE - CARRIERE RAZEL NKOMETOU</v>
      </c>
    </row>
    <row r="214" spans="1:14" s="18" customFormat="1" ht="17.25" customHeight="1">
      <c r="A214" s="16" t="s">
        <v>71</v>
      </c>
      <c r="B214" s="17" t="s">
        <v>42</v>
      </c>
      <c r="C214" s="17" t="s">
        <v>1177</v>
      </c>
      <c r="D214" s="22" t="s">
        <v>1178</v>
      </c>
      <c r="E214" s="27">
        <f t="shared" si="59"/>
        <v>2.7627314819255844E-2</v>
      </c>
      <c r="F214" s="18" t="s">
        <v>97</v>
      </c>
      <c r="G214" s="30">
        <f t="shared" si="60"/>
        <v>3.7847222221898846E-2</v>
      </c>
      <c r="H214" s="23" t="str">
        <f t="shared" si="61"/>
        <v>BASE RAZEL PREFECTURE - CARRIERE RAZEL NKOMETOU</v>
      </c>
      <c r="I214" s="33" t="str">
        <f>IF(F213='Données Hebdo'!A214, VLOOKUP(Feuil1!A214, 'Données Hebdo'!B:J, 8, FALSE), "")</f>
        <v>02:27:07</v>
      </c>
      <c r="J214" s="27" t="str">
        <f t="shared" si="62"/>
        <v>16:38:34 à 17:22:01</v>
      </c>
      <c r="K214" s="27" t="str">
        <f t="shared" si="63"/>
        <v>2016-05-30 17:22:01</v>
      </c>
      <c r="L214" s="27">
        <f t="shared" si="64"/>
        <v>3.0173611106874887E-2</v>
      </c>
      <c r="M214" s="30">
        <f t="shared" si="65"/>
        <v>2.7627314819255844E-2</v>
      </c>
      <c r="N214" s="18" t="str">
        <f t="shared" si="66"/>
        <v>CARRIERE RAZEL NKOMETOU - BASE RAZEL PREFECTURE</v>
      </c>
    </row>
    <row r="215" spans="1:14" s="18" customFormat="1" ht="17.25" customHeight="1">
      <c r="A215" s="16" t="s">
        <v>71</v>
      </c>
      <c r="B215" s="17" t="s">
        <v>197</v>
      </c>
      <c r="C215" s="17" t="s">
        <v>1179</v>
      </c>
      <c r="D215" s="22" t="s">
        <v>1180</v>
      </c>
      <c r="E215" s="27">
        <f t="shared" si="59"/>
        <v>4.1203703731298447E-3</v>
      </c>
      <c r="F215" s="18" t="s">
        <v>97</v>
      </c>
      <c r="G215" s="30">
        <f t="shared" si="60"/>
        <v>3.0173611106874887E-2</v>
      </c>
      <c r="H215" s="23" t="str">
        <f t="shared" si="61"/>
        <v>CARRIERE RAZEL NKOMETOU - BASE RAZEL PREFECTURE</v>
      </c>
      <c r="I215" s="33" t="str">
        <f>IF(F214='Données Hebdo'!A215, VLOOKUP(Feuil1!A215, 'Données Hebdo'!B:J, 8, FALSE), "")</f>
        <v>02:27:07</v>
      </c>
      <c r="J215" s="27" t="str">
        <f t="shared" si="62"/>
        <v>17:27:57 à 18:08:08</v>
      </c>
      <c r="K215" s="27" t="str">
        <f t="shared" si="63"/>
        <v>2016-05-30 18:08:08</v>
      </c>
      <c r="L215" s="27">
        <f t="shared" si="64"/>
        <v>2.7905092596483883E-2</v>
      </c>
      <c r="M215" s="30">
        <f t="shared" si="65"/>
        <v>4.1203703731298447E-3</v>
      </c>
      <c r="N215" s="18" t="str">
        <f t="shared" si="66"/>
        <v>BASE RAZEL PREFECTURE - CARRIERE RAZEL NKOMETOU</v>
      </c>
    </row>
    <row r="216" spans="1:14" s="18" customFormat="1" ht="17.25" customHeight="1">
      <c r="A216" s="16" t="s">
        <v>71</v>
      </c>
      <c r="B216" s="17" t="s">
        <v>42</v>
      </c>
      <c r="C216" s="17" t="s">
        <v>1181</v>
      </c>
      <c r="D216" s="22" t="s">
        <v>1182</v>
      </c>
      <c r="E216" s="27">
        <f t="shared" si="59"/>
        <v>0.60471064814191777</v>
      </c>
      <c r="F216" s="18" t="s">
        <v>97</v>
      </c>
      <c r="G216" s="30">
        <f t="shared" si="60"/>
        <v>2.7905092596483883E-2</v>
      </c>
      <c r="H216" s="23" t="str">
        <f t="shared" si="61"/>
        <v>BASE RAZEL PREFECTURE - CARRIERE RAZEL NKOMETOU</v>
      </c>
      <c r="I216" s="33" t="str">
        <f>IF(F215='Données Hebdo'!A216, VLOOKUP(Feuil1!A216, 'Données Hebdo'!B:J, 8, FALSE), "")</f>
        <v>02:27:07</v>
      </c>
      <c r="J216" s="27" t="str">
        <f t="shared" si="62"/>
        <v/>
      </c>
      <c r="K216" s="27" t="str">
        <f t="shared" si="63"/>
        <v/>
      </c>
      <c r="L216" s="27" t="str">
        <f t="shared" si="64"/>
        <v/>
      </c>
      <c r="M216" s="30" t="str">
        <f t="shared" si="65"/>
        <v/>
      </c>
      <c r="N216" s="18" t="str">
        <f t="shared" si="66"/>
        <v/>
      </c>
    </row>
    <row r="217" spans="1:14" s="18" customFormat="1" ht="17.25" customHeight="1">
      <c r="A217" s="16" t="s">
        <v>73</v>
      </c>
      <c r="B217" s="17" t="s">
        <v>55</v>
      </c>
      <c r="C217" s="17" t="s">
        <v>1183</v>
      </c>
      <c r="D217" s="22" t="s">
        <v>1184</v>
      </c>
      <c r="E217" s="27">
        <f t="shared" si="59"/>
        <v>2.0040046296344372</v>
      </c>
      <c r="F217" s="18" t="s">
        <v>97</v>
      </c>
      <c r="G217" s="30" t="str">
        <f t="shared" si="60"/>
        <v/>
      </c>
      <c r="H217" s="23" t="str">
        <f t="shared" si="61"/>
        <v/>
      </c>
      <c r="I217" s="33" t="str">
        <f>IF(F216='Données Hebdo'!A217, VLOOKUP(Feuil1!A217, 'Données Hebdo'!B:J, 8, FALSE), "")</f>
        <v>01:19:33</v>
      </c>
      <c r="J217" s="27" t="str">
        <f t="shared" si="62"/>
        <v>12:53:32 à 13:59:09</v>
      </c>
      <c r="K217" s="27" t="str">
        <f t="shared" si="63"/>
        <v>2016-05-30 13:59:09</v>
      </c>
      <c r="L217" s="27">
        <f t="shared" si="64"/>
        <v>4.55671296294895E-2</v>
      </c>
      <c r="M217" s="30">
        <f t="shared" si="65"/>
        <v>2.0040046296344372</v>
      </c>
      <c r="N217" s="18" t="str">
        <f t="shared" si="66"/>
        <v>CARRIERE LOGBADJECK - DEPOT RAZEL YASSA</v>
      </c>
    </row>
    <row r="218" spans="1:14" s="18" customFormat="1" ht="17.25" customHeight="1">
      <c r="A218" s="16" t="s">
        <v>73</v>
      </c>
      <c r="B218" s="17" t="s">
        <v>56</v>
      </c>
      <c r="C218" s="17" t="s">
        <v>1185</v>
      </c>
      <c r="D218" s="22" t="s">
        <v>1186</v>
      </c>
      <c r="E218" s="27">
        <f t="shared" si="59"/>
        <v>2.5613425925257616E-2</v>
      </c>
      <c r="F218" s="18" t="s">
        <v>97</v>
      </c>
      <c r="G218" s="30">
        <f t="shared" si="60"/>
        <v>4.55671296294895E-2</v>
      </c>
      <c r="H218" s="23" t="str">
        <f t="shared" si="61"/>
        <v>CARRIERE LOGBADJECK - DEPOT RAZEL YASSA</v>
      </c>
      <c r="I218" s="33" t="str">
        <f>IF(F217='Données Hebdo'!A218, VLOOKUP(Feuil1!A218, 'Données Hebdo'!B:J, 8, FALSE), "")</f>
        <v>01:19:33</v>
      </c>
      <c r="J218" s="27" t="str">
        <f t="shared" si="62"/>
        <v>14:36:02 à 15:35:05</v>
      </c>
      <c r="K218" s="27" t="str">
        <f t="shared" si="63"/>
        <v>2016-05-30 15:35:05</v>
      </c>
      <c r="L218" s="27">
        <f t="shared" si="64"/>
        <v>4.1006944440596271E-2</v>
      </c>
      <c r="M218" s="30">
        <f t="shared" si="65"/>
        <v>2.5613425925257616E-2</v>
      </c>
      <c r="N218" s="18" t="str">
        <f t="shared" si="66"/>
        <v>DEPOT RAZEL YASSA - CARRIERE LOGBADJECK</v>
      </c>
    </row>
    <row r="219" spans="1:14" s="18" customFormat="1" ht="17.25" customHeight="1">
      <c r="A219" s="16" t="s">
        <v>73</v>
      </c>
      <c r="B219" s="17" t="s">
        <v>55</v>
      </c>
      <c r="C219" s="17" t="s">
        <v>1187</v>
      </c>
      <c r="D219" s="22" t="s">
        <v>1188</v>
      </c>
      <c r="E219" s="27">
        <f t="shared" si="59"/>
        <v>4.1527777779265307E-2</v>
      </c>
      <c r="F219" s="18" t="s">
        <v>97</v>
      </c>
      <c r="G219" s="30">
        <f t="shared" si="60"/>
        <v>4.1006944440596271E-2</v>
      </c>
      <c r="H219" s="23" t="str">
        <f t="shared" si="61"/>
        <v>DEPOT RAZEL YASSA - CARRIERE LOGBADJECK</v>
      </c>
      <c r="I219" s="33" t="str">
        <f>IF(F218='Données Hebdo'!A219, VLOOKUP(Feuil1!A219, 'Données Hebdo'!B:J, 8, FALSE), "")</f>
        <v>01:19:33</v>
      </c>
      <c r="J219" s="27" t="str">
        <f t="shared" si="62"/>
        <v>16:34:53 à 17:36:12</v>
      </c>
      <c r="K219" s="27" t="str">
        <f t="shared" si="63"/>
        <v>2016-05-30 17:36:12</v>
      </c>
      <c r="L219" s="27">
        <f t="shared" si="64"/>
        <v>4.2581018518831115E-2</v>
      </c>
      <c r="M219" s="30">
        <f t="shared" si="65"/>
        <v>4.1527777779265307E-2</v>
      </c>
      <c r="N219" s="18" t="str">
        <f t="shared" si="66"/>
        <v>CARRIERE LOGBADJECK - DEPOT RAZEL YASSA</v>
      </c>
    </row>
    <row r="220" spans="1:14" s="18" customFormat="1" ht="17.25" customHeight="1">
      <c r="A220" s="16" t="s">
        <v>73</v>
      </c>
      <c r="B220" s="17" t="s">
        <v>56</v>
      </c>
      <c r="C220" s="17" t="s">
        <v>1189</v>
      </c>
      <c r="D220" s="22" t="s">
        <v>1190</v>
      </c>
      <c r="E220" s="27">
        <f t="shared" si="59"/>
        <v>6.5162037062691525E-3</v>
      </c>
      <c r="F220" s="18" t="s">
        <v>97</v>
      </c>
      <c r="G220" s="30">
        <f t="shared" si="60"/>
        <v>4.2581018518831115E-2</v>
      </c>
      <c r="H220" s="23" t="str">
        <f t="shared" si="61"/>
        <v>CARRIERE LOGBADJECK - DEPOT RAZEL YASSA</v>
      </c>
      <c r="I220" s="33" t="str">
        <f>IF(F219='Données Hebdo'!A220, VLOOKUP(Feuil1!A220, 'Données Hebdo'!B:J, 8, FALSE), "")</f>
        <v>01:19:33</v>
      </c>
      <c r="J220" s="27" t="str">
        <f t="shared" si="62"/>
        <v>17:45:35 à 18:38:56</v>
      </c>
      <c r="K220" s="27" t="str">
        <f t="shared" si="63"/>
        <v>2016-05-30 18:38:56</v>
      </c>
      <c r="L220" s="27">
        <f t="shared" si="64"/>
        <v>3.7048611106001772E-2</v>
      </c>
      <c r="M220" s="30">
        <f t="shared" si="65"/>
        <v>6.5162037062691525E-3</v>
      </c>
      <c r="N220" s="18" t="str">
        <f t="shared" si="66"/>
        <v>DEPOT RAZEL YASSA - CARRIERE LOGBADJECK</v>
      </c>
    </row>
    <row r="221" spans="1:14" s="18" customFormat="1" ht="17.25" customHeight="1">
      <c r="A221" s="16" t="s">
        <v>73</v>
      </c>
      <c r="B221" s="17" t="s">
        <v>55</v>
      </c>
      <c r="C221" s="17" t="s">
        <v>1191</v>
      </c>
      <c r="D221" s="22" t="s">
        <v>1192</v>
      </c>
      <c r="E221" s="27">
        <f t="shared" si="59"/>
        <v>0.57612268519005738</v>
      </c>
      <c r="F221" s="18" t="s">
        <v>97</v>
      </c>
      <c r="G221" s="30">
        <f t="shared" si="60"/>
        <v>3.7048611106001772E-2</v>
      </c>
      <c r="H221" s="23" t="str">
        <f t="shared" si="61"/>
        <v>DEPOT RAZEL YASSA - CARRIERE LOGBADJECK</v>
      </c>
      <c r="I221" s="33" t="str">
        <f>IF(F220='Données Hebdo'!A221, VLOOKUP(Feuil1!A221, 'Données Hebdo'!B:J, 8, FALSE), "")</f>
        <v>01:19:33</v>
      </c>
      <c r="J221" s="27" t="str">
        <f t="shared" si="62"/>
        <v/>
      </c>
      <c r="K221" s="27" t="str">
        <f t="shared" si="63"/>
        <v/>
      </c>
      <c r="L221" s="27" t="str">
        <f t="shared" si="64"/>
        <v/>
      </c>
      <c r="M221" s="30" t="str">
        <f t="shared" si="65"/>
        <v/>
      </c>
      <c r="N221" s="18" t="str">
        <f t="shared" si="66"/>
        <v/>
      </c>
    </row>
    <row r="222" spans="1:14" s="18" customFormat="1" ht="17.25" customHeight="1">
      <c r="A222" s="16" t="s">
        <v>76</v>
      </c>
      <c r="B222" s="17" t="s">
        <v>58</v>
      </c>
      <c r="C222" s="17" t="s">
        <v>1193</v>
      </c>
      <c r="D222" s="22" t="s">
        <v>1194</v>
      </c>
      <c r="E222" s="27">
        <f t="shared" si="59"/>
        <v>2.7751388888864312</v>
      </c>
      <c r="F222" s="18" t="s">
        <v>97</v>
      </c>
      <c r="G222" s="30" t="str">
        <f t="shared" si="60"/>
        <v/>
      </c>
      <c r="H222" s="23" t="str">
        <f t="shared" si="61"/>
        <v/>
      </c>
      <c r="I222" s="33" t="str">
        <f>IF(F221='Données Hebdo'!A222, VLOOKUP(Feuil1!A222, 'Données Hebdo'!B:J, 8, FALSE), "")</f>
        <v>00:29:40</v>
      </c>
      <c r="J222" s="27" t="str">
        <f t="shared" si="62"/>
        <v/>
      </c>
      <c r="K222" s="27" t="str">
        <f t="shared" si="63"/>
        <v/>
      </c>
      <c r="L222" s="27" t="str">
        <f t="shared" si="64"/>
        <v/>
      </c>
      <c r="M222" s="30" t="str">
        <f t="shared" si="65"/>
        <v/>
      </c>
      <c r="N222" s="18" t="str">
        <f t="shared" si="66"/>
        <v/>
      </c>
    </row>
    <row r="223" spans="1:14" s="18" customFormat="1" ht="17.25" customHeight="1">
      <c r="A223" s="16" t="s">
        <v>78</v>
      </c>
      <c r="B223" s="17" t="s">
        <v>58</v>
      </c>
      <c r="C223" s="17" t="s">
        <v>732</v>
      </c>
      <c r="D223" s="22" t="s">
        <v>733</v>
      </c>
      <c r="E223" s="27">
        <f t="shared" si="59"/>
        <v>2.4989004629678675</v>
      </c>
      <c r="F223" s="18" t="s">
        <v>97</v>
      </c>
      <c r="G223" s="30" t="str">
        <f t="shared" si="60"/>
        <v/>
      </c>
      <c r="H223" s="23" t="str">
        <f t="shared" si="61"/>
        <v/>
      </c>
      <c r="I223" s="33" t="str">
        <f>IF(F222='Données Hebdo'!A223, VLOOKUP(Feuil1!A223, 'Données Hebdo'!B:J, 8, FALSE), "")</f>
        <v/>
      </c>
      <c r="J223" s="27" t="str">
        <f t="shared" si="62"/>
        <v/>
      </c>
      <c r="K223" s="27" t="str">
        <f t="shared" si="63"/>
        <v/>
      </c>
      <c r="L223" s="27" t="str">
        <f t="shared" si="64"/>
        <v/>
      </c>
      <c r="M223" s="30" t="str">
        <f t="shared" si="65"/>
        <v/>
      </c>
      <c r="N223" s="18" t="str">
        <f t="shared" si="66"/>
        <v/>
      </c>
    </row>
    <row r="224" spans="1:14" s="18" customFormat="1" ht="17.25" customHeight="1">
      <c r="A224" s="16" t="s">
        <v>82</v>
      </c>
      <c r="B224" s="17" t="s">
        <v>58</v>
      </c>
      <c r="C224" s="17" t="s">
        <v>734</v>
      </c>
      <c r="D224" s="22" t="s">
        <v>735</v>
      </c>
      <c r="E224" s="27">
        <f t="shared" si="59"/>
        <v>1.7407754629603005</v>
      </c>
      <c r="F224" s="18" t="s">
        <v>97</v>
      </c>
      <c r="G224" s="30" t="str">
        <f t="shared" si="60"/>
        <v/>
      </c>
      <c r="H224" s="23" t="str">
        <f t="shared" si="61"/>
        <v/>
      </c>
      <c r="I224" s="33" t="str">
        <f>IF(F223='Données Hebdo'!A224, VLOOKUP(Feuil1!A224, 'Données Hebdo'!B:J, 8, FALSE), "")</f>
        <v/>
      </c>
      <c r="J224" s="27" t="str">
        <f t="shared" si="62"/>
        <v>08:28:08 à 08:50:18</v>
      </c>
      <c r="K224" s="27" t="str">
        <f t="shared" si="63"/>
        <v>2016-05-30 08:50:18</v>
      </c>
      <c r="L224" s="27">
        <f t="shared" si="64"/>
        <v>1.5393518515338656E-2</v>
      </c>
      <c r="M224" s="30">
        <f t="shared" si="65"/>
        <v>1.7407754629603005</v>
      </c>
      <c r="N224" s="18" t="str">
        <f t="shared" si="66"/>
        <v>BASE RAZEL WOURI - AEROPORT DE DOUALA</v>
      </c>
    </row>
    <row r="225" spans="1:16" s="18" customFormat="1" ht="17.25" customHeight="1">
      <c r="A225" s="16" t="s">
        <v>82</v>
      </c>
      <c r="B225" s="17" t="s">
        <v>729</v>
      </c>
      <c r="C225" s="17" t="s">
        <v>1195</v>
      </c>
      <c r="D225" s="22" t="s">
        <v>1196</v>
      </c>
      <c r="E225" s="27">
        <f t="shared" si="59"/>
        <v>3.3564815385034308E-4</v>
      </c>
      <c r="F225" s="18" t="s">
        <v>97</v>
      </c>
      <c r="G225" s="30">
        <f t="shared" si="60"/>
        <v>1.5393518515338656E-2</v>
      </c>
      <c r="H225" s="23" t="str">
        <f t="shared" si="61"/>
        <v>BASE RAZEL WOURI - AEROPORT DE DOUALA</v>
      </c>
      <c r="I225" s="33" t="str">
        <f>IF(F224='Données Hebdo'!A225, VLOOKUP(Feuil1!A225, 'Données Hebdo'!B:J, 8, FALSE), "")</f>
        <v/>
      </c>
      <c r="J225" s="27" t="str">
        <f t="shared" si="62"/>
        <v>08:50:47 à 19:02:16</v>
      </c>
      <c r="K225" s="27" t="str">
        <f t="shared" si="63"/>
        <v>2016-05-30 19:02:16</v>
      </c>
      <c r="L225" s="27">
        <f t="shared" si="64"/>
        <v>0.42464120370277669</v>
      </c>
      <c r="M225" s="30">
        <f t="shared" si="65"/>
        <v>3.3564815385034308E-4</v>
      </c>
      <c r="N225" s="18" t="str">
        <f t="shared" si="66"/>
        <v>AEROPORT DE DOUALA - BASE RAZEL AEROPORT</v>
      </c>
    </row>
    <row r="226" spans="1:16" s="18" customFormat="1" ht="17.25" customHeight="1">
      <c r="A226" s="16" t="s">
        <v>82</v>
      </c>
      <c r="B226" s="17" t="s">
        <v>53</v>
      </c>
      <c r="C226" s="17" t="s">
        <v>1197</v>
      </c>
      <c r="D226" s="22" t="s">
        <v>1198</v>
      </c>
      <c r="E226" s="27">
        <f t="shared" si="59"/>
        <v>0.57793981481518131</v>
      </c>
      <c r="F226" s="18" t="s">
        <v>97</v>
      </c>
      <c r="G226" s="30">
        <f t="shared" si="60"/>
        <v>0.42464120370277669</v>
      </c>
      <c r="H226" s="23" t="str">
        <f t="shared" si="61"/>
        <v>AEROPORT DE DOUALA - BASE RAZEL AEROPORT</v>
      </c>
      <c r="I226" s="33" t="str">
        <f>IF(F225='Données Hebdo'!A226, VLOOKUP(Feuil1!A226, 'Données Hebdo'!B:J, 8, FALSE), "")</f>
        <v/>
      </c>
      <c r="J226" s="27" t="str">
        <f t="shared" si="62"/>
        <v/>
      </c>
      <c r="K226" s="27" t="str">
        <f t="shared" si="63"/>
        <v/>
      </c>
      <c r="L226" s="27" t="str">
        <f t="shared" si="64"/>
        <v/>
      </c>
      <c r="M226" s="30" t="str">
        <f t="shared" si="65"/>
        <v/>
      </c>
      <c r="N226" s="18" t="str">
        <f t="shared" si="66"/>
        <v/>
      </c>
    </row>
    <row r="227" spans="1:16" s="18" customFormat="1" ht="17.25" customHeight="1">
      <c r="A227" s="43" t="s">
        <v>86</v>
      </c>
      <c r="B227" s="43" t="s">
        <v>53</v>
      </c>
      <c r="C227" s="43" t="s">
        <v>736</v>
      </c>
      <c r="D227" s="43" t="s">
        <v>737</v>
      </c>
      <c r="E227" s="27">
        <f t="shared" si="59"/>
        <v>1.6934953703748761</v>
      </c>
      <c r="F227" s="18" t="s">
        <v>97</v>
      </c>
      <c r="G227" s="30" t="str">
        <f t="shared" si="60"/>
        <v/>
      </c>
      <c r="H227" s="23" t="str">
        <f t="shared" si="61"/>
        <v/>
      </c>
      <c r="I227" s="33" t="str">
        <f>IF(F226='Données Hebdo'!A227, VLOOKUP(Feuil1!A227, 'Données Hebdo'!B:J, 8, FALSE), "")</f>
        <v/>
      </c>
      <c r="J227" s="27" t="str">
        <f t="shared" si="62"/>
        <v>05:23:59 à 06:42:02</v>
      </c>
      <c r="K227" s="27" t="str">
        <f t="shared" si="63"/>
        <v>2016-05-30 06:42:02</v>
      </c>
      <c r="L227" s="27">
        <f t="shared" si="64"/>
        <v>5.4201388884393964E-2</v>
      </c>
      <c r="M227" s="30">
        <f t="shared" si="65"/>
        <v>1.6934953703748761</v>
      </c>
      <c r="N227" s="18" t="str">
        <f t="shared" si="66"/>
        <v>BASE RAZEL AEROPORT - CARRIERE LOGBADJECK</v>
      </c>
    </row>
    <row r="228" spans="1:16" s="18" customFormat="1" ht="17.25" customHeight="1">
      <c r="A228" s="43" t="s">
        <v>86</v>
      </c>
      <c r="B228" s="43" t="s">
        <v>55</v>
      </c>
      <c r="C228" s="43" t="s">
        <v>1199</v>
      </c>
      <c r="D228" s="43" t="s">
        <v>1200</v>
      </c>
      <c r="E228" s="27">
        <f t="shared" si="59"/>
        <v>9.3240740745386574E-2</v>
      </c>
      <c r="F228" s="18" t="s">
        <v>97</v>
      </c>
      <c r="G228" s="30">
        <f t="shared" si="60"/>
        <v>5.4201388884393964E-2</v>
      </c>
      <c r="H228" s="23" t="str">
        <f t="shared" si="61"/>
        <v>BASE RAZEL AEROPORT - CARRIERE LOGBADJECK</v>
      </c>
      <c r="I228" s="33" t="str">
        <f>IF(F227='Données Hebdo'!A228, VLOOKUP(Feuil1!A228, 'Données Hebdo'!B:J, 8, FALSE), "")</f>
        <v/>
      </c>
      <c r="J228" s="27" t="str">
        <f t="shared" si="62"/>
        <v>08:56:18 à 10:52:21</v>
      </c>
      <c r="K228" s="27" t="str">
        <f t="shared" si="63"/>
        <v>2016-05-30 10:52:21</v>
      </c>
      <c r="L228" s="27">
        <f t="shared" si="64"/>
        <v>8.0590277771989349E-2</v>
      </c>
      <c r="M228" s="30">
        <f t="shared" si="65"/>
        <v>9.3240740745386574E-2</v>
      </c>
      <c r="N228" s="18" t="str">
        <f t="shared" si="66"/>
        <v>CARRIERE LOGBADJECK - BASE RAZEL AEROPORT</v>
      </c>
    </row>
    <row r="229" spans="1:16" s="18" customFormat="1" ht="17.25" customHeight="1">
      <c r="A229" s="43" t="s">
        <v>86</v>
      </c>
      <c r="B229" s="43" t="s">
        <v>53</v>
      </c>
      <c r="C229" s="43" t="s">
        <v>1201</v>
      </c>
      <c r="D229" s="43" t="s">
        <v>1202</v>
      </c>
      <c r="E229" s="27">
        <f t="shared" si="59"/>
        <v>1.6319444475811906E-3</v>
      </c>
      <c r="F229" s="18" t="s">
        <v>97</v>
      </c>
      <c r="G229" s="30">
        <f t="shared" si="60"/>
        <v>8.0590277771989349E-2</v>
      </c>
      <c r="H229" s="23" t="str">
        <f t="shared" si="61"/>
        <v>CARRIERE LOGBADJECK - BASE RAZEL AEROPORT</v>
      </c>
      <c r="I229" s="33" t="str">
        <f>IF(F228='Données Hebdo'!A229, VLOOKUP(Feuil1!A229, 'Données Hebdo'!B:J, 8, FALSE), "")</f>
        <v/>
      </c>
      <c r="J229" s="27" t="str">
        <f t="shared" si="62"/>
        <v>10:54:42 à 10:56:13</v>
      </c>
      <c r="K229" s="27" t="str">
        <f t="shared" si="63"/>
        <v>2016-05-30 10:56:13</v>
      </c>
      <c r="L229" s="27">
        <f t="shared" si="64"/>
        <v>1.0532407395658083E-3</v>
      </c>
      <c r="M229" s="30">
        <f t="shared" si="65"/>
        <v>1.6319444475811906E-3</v>
      </c>
      <c r="N229" s="18" t="str">
        <f t="shared" si="66"/>
        <v>BASE RAZEL AEROPORT - AEROPORT DE DOUALA</v>
      </c>
    </row>
    <row r="230" spans="1:16" s="18" customFormat="1" ht="17.25" customHeight="1">
      <c r="A230" s="43" t="s">
        <v>86</v>
      </c>
      <c r="B230" s="43" t="s">
        <v>729</v>
      </c>
      <c r="C230" s="43" t="s">
        <v>1203</v>
      </c>
      <c r="D230" s="43" t="s">
        <v>1204</v>
      </c>
      <c r="E230" s="27">
        <f t="shared" si="59"/>
        <v>2.5231481486116536E-3</v>
      </c>
      <c r="F230" s="18" t="s">
        <v>97</v>
      </c>
      <c r="G230" s="30">
        <f t="shared" si="60"/>
        <v>1.0532407395658083E-3</v>
      </c>
      <c r="H230" s="23" t="str">
        <f t="shared" si="61"/>
        <v>BASE RAZEL AEROPORT - AEROPORT DE DOUALA</v>
      </c>
      <c r="I230" s="33" t="str">
        <f>IF(F229='Données Hebdo'!A230, VLOOKUP(Feuil1!A230, 'Données Hebdo'!B:J, 8, FALSE), "")</f>
        <v/>
      </c>
      <c r="J230" s="27" t="str">
        <f t="shared" si="62"/>
        <v>10:59:51 à 11:08:04</v>
      </c>
      <c r="K230" s="27" t="str">
        <f t="shared" si="63"/>
        <v>2016-05-30 11:08:04</v>
      </c>
      <c r="L230" s="27">
        <f t="shared" si="64"/>
        <v>5.7060185208683833E-3</v>
      </c>
      <c r="M230" s="30">
        <f t="shared" si="65"/>
        <v>2.5231481486116536E-3</v>
      </c>
      <c r="N230" s="18" t="str">
        <f t="shared" si="66"/>
        <v>AEROPORT DE DOUALA - AEROPORT DE DOUALA</v>
      </c>
    </row>
    <row r="231" spans="1:16" s="18" customFormat="1" ht="17.25" customHeight="1">
      <c r="A231" s="43" t="s">
        <v>86</v>
      </c>
      <c r="B231" s="43" t="s">
        <v>729</v>
      </c>
      <c r="C231" s="43" t="s">
        <v>1205</v>
      </c>
      <c r="D231" s="43" t="s">
        <v>1206</v>
      </c>
      <c r="E231" s="27">
        <f t="shared" si="59"/>
        <v>1.6284722216369119E-2</v>
      </c>
      <c r="F231" s="18" t="s">
        <v>97</v>
      </c>
      <c r="G231" s="30">
        <f t="shared" si="60"/>
        <v>5.7060185208683833E-3</v>
      </c>
      <c r="H231" s="23" t="str">
        <f t="shared" si="61"/>
        <v>AEROPORT DE DOUALA - AEROPORT DE DOUALA</v>
      </c>
      <c r="I231" s="33" t="str">
        <f>IF(F230='Données Hebdo'!A231, VLOOKUP(Feuil1!A231, 'Données Hebdo'!B:J, 8, FALSE), "")</f>
        <v/>
      </c>
      <c r="J231" s="27" t="str">
        <f t="shared" si="62"/>
        <v>11:31:31 à 11:40:03</v>
      </c>
      <c r="K231" s="27" t="str">
        <f t="shared" si="63"/>
        <v>2016-05-30 11:40:03</v>
      </c>
      <c r="L231" s="27">
        <f t="shared" si="64"/>
        <v>5.9259259287500754E-3</v>
      </c>
      <c r="M231" s="30">
        <f t="shared" si="65"/>
        <v>1.6284722216369119E-2</v>
      </c>
      <c r="N231" s="18" t="str">
        <f t="shared" si="66"/>
        <v>AEROPORT DE DOUALA - AEROPORT DE DOUALA</v>
      </c>
    </row>
    <row r="232" spans="1:16" s="18" customFormat="1" ht="17.25" customHeight="1">
      <c r="A232" s="43" t="s">
        <v>86</v>
      </c>
      <c r="B232" s="43" t="s">
        <v>729</v>
      </c>
      <c r="C232" s="43" t="s">
        <v>1207</v>
      </c>
      <c r="D232" s="43" t="s">
        <v>1208</v>
      </c>
      <c r="E232" s="27">
        <f t="shared" si="59"/>
        <v>3.819444464170374E-4</v>
      </c>
      <c r="F232" s="18" t="s">
        <v>97</v>
      </c>
      <c r="G232" s="30">
        <f t="shared" si="60"/>
        <v>5.9259259287500754E-3</v>
      </c>
      <c r="H232" s="23" t="str">
        <f t="shared" si="61"/>
        <v>AEROPORT DE DOUALA - AEROPORT DE DOUALA</v>
      </c>
      <c r="I232" s="33" t="str">
        <f>IF(F231='Données Hebdo'!A232, VLOOKUP(Feuil1!A232, 'Données Hebdo'!B:J, 8, FALSE), "")</f>
        <v/>
      </c>
      <c r="J232" s="27" t="str">
        <f t="shared" si="62"/>
        <v>11:40:36 à 11:42:13</v>
      </c>
      <c r="K232" s="27" t="str">
        <f t="shared" si="63"/>
        <v>2016-05-30 11:42:13</v>
      </c>
      <c r="L232" s="27">
        <f t="shared" si="64"/>
        <v>1.1226851856918074E-3</v>
      </c>
      <c r="M232" s="30">
        <f t="shared" si="65"/>
        <v>3.819444464170374E-4</v>
      </c>
      <c r="N232" s="18" t="str">
        <f t="shared" si="66"/>
        <v>AEROPORT DE DOUALA - BASE RAZEL AEROPORT</v>
      </c>
    </row>
    <row r="233" spans="1:16" ht="27.6">
      <c r="A233" s="43" t="s">
        <v>86</v>
      </c>
      <c r="B233" s="43" t="s">
        <v>53</v>
      </c>
      <c r="C233" s="43" t="s">
        <v>1209</v>
      </c>
      <c r="D233" s="43" t="s">
        <v>1210</v>
      </c>
      <c r="E233" s="27">
        <f t="shared" si="59"/>
        <v>2.1990740715409629E-3</v>
      </c>
      <c r="F233" s="18" t="s">
        <v>97</v>
      </c>
      <c r="G233" s="30">
        <f t="shared" si="60"/>
        <v>1.1226851856918074E-3</v>
      </c>
      <c r="H233" s="23" t="str">
        <f t="shared" si="61"/>
        <v>AEROPORT DE DOUALA - BASE RAZEL AEROPORT</v>
      </c>
      <c r="I233" s="33" t="str">
        <f>IF(F232='Données Hebdo'!A233, VLOOKUP(Feuil1!A233, 'Données Hebdo'!B:J, 8, FALSE), "")</f>
        <v/>
      </c>
      <c r="J233" s="27" t="str">
        <f t="shared" si="62"/>
        <v>11:45:23 à 13:15:18</v>
      </c>
      <c r="K233" s="27" t="str">
        <f t="shared" si="63"/>
        <v>2016-05-30 13:15:18</v>
      </c>
      <c r="L233" s="27">
        <f t="shared" si="64"/>
        <v>6.2442129630653653E-2</v>
      </c>
      <c r="M233" s="30">
        <f t="shared" si="65"/>
        <v>2.1990740715409629E-3</v>
      </c>
      <c r="N233" s="18" t="str">
        <f t="shared" si="66"/>
        <v>BASE RAZEL AEROPORT - CARRIERE LOGBADJECK</v>
      </c>
      <c r="O233" s="18"/>
      <c r="P233" s="18"/>
    </row>
    <row r="234" spans="1:16" ht="27.6">
      <c r="A234" s="43" t="s">
        <v>86</v>
      </c>
      <c r="B234" s="43" t="s">
        <v>55</v>
      </c>
      <c r="C234" s="43" t="s">
        <v>1211</v>
      </c>
      <c r="D234" s="43" t="s">
        <v>1212</v>
      </c>
      <c r="E234" s="27">
        <f t="shared" si="59"/>
        <v>4.3749999997089617E-2</v>
      </c>
      <c r="F234" s="18" t="s">
        <v>97</v>
      </c>
      <c r="G234" s="30">
        <f t="shared" si="60"/>
        <v>6.2442129630653653E-2</v>
      </c>
      <c r="H234" s="23" t="str">
        <f t="shared" si="61"/>
        <v>BASE RAZEL AEROPORT - CARRIERE LOGBADJECK</v>
      </c>
      <c r="I234" s="33" t="str">
        <f>IF(F233='Données Hebdo'!A234, VLOOKUP(Feuil1!A234, 'Données Hebdo'!B:J, 8, FALSE), "")</f>
        <v/>
      </c>
      <c r="J234" s="27" t="str">
        <f t="shared" si="62"/>
        <v>14:18:18 à 15:30:05</v>
      </c>
      <c r="K234" s="27" t="str">
        <f t="shared" si="63"/>
        <v>2016-05-30 15:30:05</v>
      </c>
      <c r="L234" s="27">
        <f t="shared" si="64"/>
        <v>4.984953704115469E-2</v>
      </c>
      <c r="M234" s="30">
        <f t="shared" si="65"/>
        <v>4.3749999997089617E-2</v>
      </c>
      <c r="N234" s="18" t="str">
        <f t="shared" si="66"/>
        <v>CARRIERE LOGBADJECK - BASE RAZEL AEROPORT</v>
      </c>
      <c r="O234" s="18"/>
      <c r="P234" s="18"/>
    </row>
    <row r="235" spans="1:16" ht="27.6">
      <c r="A235" s="43" t="s">
        <v>86</v>
      </c>
      <c r="B235" s="43" t="s">
        <v>53</v>
      </c>
      <c r="C235" s="43" t="s">
        <v>1213</v>
      </c>
      <c r="D235" s="43" t="s">
        <v>1214</v>
      </c>
      <c r="E235" s="27">
        <f t="shared" si="59"/>
        <v>8.1018518540076911E-3</v>
      </c>
      <c r="F235" s="18" t="s">
        <v>97</v>
      </c>
      <c r="G235" s="30">
        <f t="shared" si="60"/>
        <v>4.984953704115469E-2</v>
      </c>
      <c r="H235" s="23" t="str">
        <f t="shared" si="61"/>
        <v>CARRIERE LOGBADJECK - BASE RAZEL AEROPORT</v>
      </c>
      <c r="I235" s="33" t="str">
        <f>IF(F234='Données Hebdo'!A235, VLOOKUP(Feuil1!A235, 'Données Hebdo'!B:J, 8, FALSE), "")</f>
        <v/>
      </c>
      <c r="J235" s="27" t="str">
        <f t="shared" si="62"/>
        <v>15:41:45 à 15:42:58</v>
      </c>
      <c r="K235" s="27" t="str">
        <f t="shared" si="63"/>
        <v>2016-05-30 15:42:58</v>
      </c>
      <c r="L235" s="27">
        <f t="shared" si="64"/>
        <v>8.4490740118781105E-4</v>
      </c>
      <c r="M235" s="30">
        <f t="shared" si="65"/>
        <v>8.1018518540076911E-3</v>
      </c>
      <c r="N235" s="18" t="str">
        <f t="shared" si="66"/>
        <v>BASE RAZEL AEROPORT - AEROPORT DE DOUALA</v>
      </c>
      <c r="O235" s="18"/>
      <c r="P235" s="18"/>
    </row>
    <row r="236" spans="1:16" ht="27.6">
      <c r="A236" s="43" t="s">
        <v>86</v>
      </c>
      <c r="B236" s="43" t="s">
        <v>729</v>
      </c>
      <c r="C236" s="43" t="s">
        <v>1215</v>
      </c>
      <c r="D236" s="43" t="s">
        <v>1216</v>
      </c>
      <c r="E236" s="27">
        <f t="shared" si="59"/>
        <v>2.6273148178006522E-3</v>
      </c>
      <c r="F236" s="18" t="s">
        <v>97</v>
      </c>
      <c r="G236" s="30">
        <f t="shared" si="60"/>
        <v>8.4490740118781105E-4</v>
      </c>
      <c r="H236" s="23" t="str">
        <f t="shared" si="61"/>
        <v>BASE RAZEL AEROPORT - AEROPORT DE DOUALA</v>
      </c>
      <c r="I236" s="33" t="str">
        <f>IF(F235='Données Hebdo'!A236, VLOOKUP(Feuil1!A236, 'Données Hebdo'!B:J, 8, FALSE), "")</f>
        <v/>
      </c>
      <c r="J236" s="27" t="str">
        <f t="shared" si="62"/>
        <v>15:46:45 à 15:56:33</v>
      </c>
      <c r="K236" s="27" t="str">
        <f t="shared" si="63"/>
        <v>2016-05-30 15:56:33</v>
      </c>
      <c r="L236" s="27">
        <f t="shared" si="64"/>
        <v>6.805555553000886E-3</v>
      </c>
      <c r="M236" s="30">
        <f t="shared" si="65"/>
        <v>2.6273148178006522E-3</v>
      </c>
      <c r="N236" s="18" t="str">
        <f t="shared" si="66"/>
        <v>AEROPORT DE DOUALA - AEROPORT DE DOUALA</v>
      </c>
      <c r="O236" s="18"/>
      <c r="P236" s="18"/>
    </row>
    <row r="237" spans="1:16" ht="27.6">
      <c r="A237" s="43" t="s">
        <v>86</v>
      </c>
      <c r="B237" s="43" t="s">
        <v>729</v>
      </c>
      <c r="C237" s="43" t="s">
        <v>1217</v>
      </c>
      <c r="D237" s="43" t="s">
        <v>1218</v>
      </c>
      <c r="E237" s="27">
        <f t="shared" si="59"/>
        <v>3.4143518569180742E-3</v>
      </c>
      <c r="F237" s="18" t="s">
        <v>97</v>
      </c>
      <c r="G237" s="30">
        <f t="shared" si="60"/>
        <v>6.805555553000886E-3</v>
      </c>
      <c r="H237" s="23" t="str">
        <f t="shared" si="61"/>
        <v>AEROPORT DE DOUALA - AEROPORT DE DOUALA</v>
      </c>
      <c r="I237" s="33" t="str">
        <f>IF(F236='Données Hebdo'!A237, VLOOKUP(Feuil1!A237, 'Données Hebdo'!B:J, 8, FALSE), "")</f>
        <v/>
      </c>
      <c r="J237" s="27" t="str">
        <f t="shared" si="62"/>
        <v>16:01:28 à 16:09:20</v>
      </c>
      <c r="K237" s="27" t="str">
        <f t="shared" si="63"/>
        <v>2016-05-30 16:09:20</v>
      </c>
      <c r="L237" s="27">
        <f t="shared" si="64"/>
        <v>5.4629629594273865E-3</v>
      </c>
      <c r="M237" s="30">
        <f t="shared" si="65"/>
        <v>3.4143518569180742E-3</v>
      </c>
      <c r="N237" s="18" t="str">
        <f t="shared" si="66"/>
        <v>AEROPORT DE DOUALA - AEROPORT DE DOUALA</v>
      </c>
      <c r="O237" s="18"/>
      <c r="P237" s="18"/>
    </row>
    <row r="238" spans="1:16" ht="27.6">
      <c r="A238" s="43" t="s">
        <v>86</v>
      </c>
      <c r="B238" s="43" t="s">
        <v>729</v>
      </c>
      <c r="C238" s="43" t="s">
        <v>1219</v>
      </c>
      <c r="D238" s="43" t="s">
        <v>1220</v>
      </c>
      <c r="E238" s="27">
        <f t="shared" si="59"/>
        <v>4.0509259270038456E-4</v>
      </c>
      <c r="F238" s="18" t="s">
        <v>97</v>
      </c>
      <c r="G238" s="30">
        <f t="shared" si="60"/>
        <v>5.4629629594273865E-3</v>
      </c>
      <c r="H238" s="23" t="str">
        <f t="shared" ref="H238:H241" si="67">IF(A238=A237, B237&amp;" - "&amp;B238, "")</f>
        <v>AEROPORT DE DOUALA - AEROPORT DE DOUALA</v>
      </c>
      <c r="I238" s="33" t="str">
        <f>IF(F237='Données Hebdo'!A238, VLOOKUP(Feuil1!A238, 'Données Hebdo'!B:J, 8, FALSE), "")</f>
        <v/>
      </c>
      <c r="J238" s="27" t="str">
        <f t="shared" ref="J238:J241" si="68">IF(A238=A239, RIGHT(D238, 8)&amp;" à "&amp;RIGHT(C239, 8), "")</f>
        <v>16:09:55 à 16:11:37</v>
      </c>
      <c r="K238" s="27" t="str">
        <f t="shared" ref="K238:K241" si="69">IF(A238=A239, C239, "")</f>
        <v>2016-05-30 16:11:37</v>
      </c>
      <c r="L238" s="27">
        <f t="shared" ref="L238:L241" si="70">IF(A238=A239, G239, "")</f>
        <v>1.1805555550381541E-3</v>
      </c>
      <c r="M238" s="30">
        <f t="shared" ref="M238:M241" si="71">IF(A238=A239, E238, "")</f>
        <v>4.0509259270038456E-4</v>
      </c>
      <c r="N238" s="18" t="str">
        <f t="shared" ref="N238:N241" si="72">IF(A238=A239, H239, "")</f>
        <v>AEROPORT DE DOUALA - BASE RAZEL AEROPORT</v>
      </c>
      <c r="O238" s="18"/>
      <c r="P238" s="18"/>
    </row>
    <row r="239" spans="1:16">
      <c r="A239" s="43" t="s">
        <v>86</v>
      </c>
      <c r="B239" s="43" t="s">
        <v>53</v>
      </c>
      <c r="C239" s="43" t="s">
        <v>1221</v>
      </c>
      <c r="D239" s="43" t="s">
        <v>1222</v>
      </c>
      <c r="E239" s="27">
        <f t="shared" si="59"/>
        <v>0.62903935185022419</v>
      </c>
      <c r="F239" s="18" t="s">
        <v>97</v>
      </c>
      <c r="G239" s="30">
        <f t="shared" si="60"/>
        <v>1.1805555550381541E-3</v>
      </c>
      <c r="H239" s="23" t="str">
        <f t="shared" si="67"/>
        <v>AEROPORT DE DOUALA - BASE RAZEL AEROPORT</v>
      </c>
      <c r="I239" s="33" t="str">
        <f>IF(F238='Données Hebdo'!A239, VLOOKUP(Feuil1!A239, 'Données Hebdo'!B:J, 8, FALSE), "")</f>
        <v/>
      </c>
      <c r="J239" s="27" t="str">
        <f t="shared" si="68"/>
        <v/>
      </c>
      <c r="K239" s="27" t="str">
        <f t="shared" si="69"/>
        <v/>
      </c>
      <c r="L239" s="27" t="str">
        <f t="shared" si="70"/>
        <v/>
      </c>
      <c r="M239" s="30" t="str">
        <f t="shared" si="71"/>
        <v/>
      </c>
      <c r="N239" s="18" t="str">
        <f t="shared" si="72"/>
        <v/>
      </c>
      <c r="O239" s="18"/>
      <c r="P239" s="18"/>
    </row>
    <row r="240" spans="1:16" ht="27.6">
      <c r="A240" s="43" t="s">
        <v>87</v>
      </c>
      <c r="B240" s="43" t="s">
        <v>42</v>
      </c>
      <c r="C240" s="43" t="s">
        <v>1223</v>
      </c>
      <c r="D240" s="43" t="s">
        <v>1224</v>
      </c>
      <c r="E240" s="27">
        <f t="shared" si="59"/>
        <v>0.15157407407969004</v>
      </c>
      <c r="F240" s="18" t="s">
        <v>97</v>
      </c>
      <c r="G240" s="30" t="str">
        <f t="shared" si="60"/>
        <v/>
      </c>
      <c r="H240" s="23" t="str">
        <f t="shared" si="67"/>
        <v/>
      </c>
      <c r="I240" s="33" t="str">
        <f>IF(F239='Données Hebdo'!A240, VLOOKUP(Feuil1!A240, 'Données Hebdo'!B:J, 8, FALSE), "")</f>
        <v/>
      </c>
      <c r="J240" s="27" t="str">
        <f t="shared" si="68"/>
        <v>16:12:11 à 11:23:49</v>
      </c>
      <c r="K240" s="27" t="str">
        <f t="shared" si="69"/>
        <v>2016-06-03 11:23:49</v>
      </c>
      <c r="L240" s="27">
        <f t="shared" si="70"/>
        <v>3.7997453703646897</v>
      </c>
      <c r="M240" s="30">
        <f t="shared" si="71"/>
        <v>0.15157407407969004</v>
      </c>
      <c r="N240" s="18" t="str">
        <f t="shared" si="72"/>
        <v>CARRIERE RAZEL NKOMETOU - BASE RAZEL PREFECTURE</v>
      </c>
      <c r="O240" s="18"/>
      <c r="P240" s="18"/>
    </row>
    <row r="241" spans="1:16">
      <c r="A241" s="43" t="s">
        <v>87</v>
      </c>
      <c r="B241" s="43" t="s">
        <v>197</v>
      </c>
      <c r="C241" s="43" t="s">
        <v>1610</v>
      </c>
      <c r="D241" s="43" t="s">
        <v>1611</v>
      </c>
      <c r="E241" s="27">
        <f>IFERROR(D241-C241, "")</f>
        <v>0.17825231481401715</v>
      </c>
      <c r="F241" s="18" t="s">
        <v>106</v>
      </c>
      <c r="G241" s="30">
        <f t="shared" si="60"/>
        <v>3.7997453703646897</v>
      </c>
      <c r="H241" s="23" t="str">
        <f t="shared" si="67"/>
        <v>CARRIERE RAZEL NKOMETOU - BASE RAZEL PREFECTURE</v>
      </c>
      <c r="I241" s="33" t="str">
        <f>IF(F240='Données Hebdo'!A241, VLOOKUP(Feuil1!A241, 'Données Hebdo'!B:J, 8, FALSE), "")</f>
        <v/>
      </c>
      <c r="J241" s="27" t="str">
        <f t="shared" si="68"/>
        <v/>
      </c>
      <c r="K241" s="27" t="str">
        <f t="shared" si="69"/>
        <v/>
      </c>
      <c r="L241" s="27" t="str">
        <f t="shared" si="70"/>
        <v/>
      </c>
      <c r="M241" s="30" t="str">
        <f t="shared" si="71"/>
        <v/>
      </c>
      <c r="N241" s="18" t="str">
        <f t="shared" si="72"/>
        <v/>
      </c>
      <c r="O241" s="18"/>
      <c r="P241" s="18"/>
    </row>
    <row r="242" spans="1:16" ht="27.6">
      <c r="A242" s="43" t="s">
        <v>88</v>
      </c>
      <c r="B242" s="43" t="s">
        <v>53</v>
      </c>
      <c r="C242" s="43" t="s">
        <v>738</v>
      </c>
      <c r="D242" s="43" t="s">
        <v>739</v>
      </c>
      <c r="E242" s="27">
        <f t="shared" si="59"/>
        <v>1.7434143518548808</v>
      </c>
      <c r="F242" s="18" t="s">
        <v>97</v>
      </c>
      <c r="G242" s="30" t="str">
        <f>IF(A242=A240, C242-D240, "")</f>
        <v/>
      </c>
      <c r="H242" s="23" t="str">
        <f>IF(A242=A240, B240&amp;" - "&amp;B242, "")</f>
        <v/>
      </c>
      <c r="I242" s="33" t="str">
        <f>IF(F240='Données Hebdo'!A241, VLOOKUP(Feuil1!A242, 'Données Hebdo'!B:J, 8, FALSE), "")</f>
        <v/>
      </c>
      <c r="J242" s="27" t="str">
        <f t="shared" si="62"/>
        <v>05:26:31 à 06:45:07</v>
      </c>
      <c r="K242" s="27" t="str">
        <f t="shared" si="63"/>
        <v>2016-05-30 06:45:07</v>
      </c>
      <c r="L242" s="27">
        <f t="shared" si="64"/>
        <v>5.4583333330811001E-2</v>
      </c>
      <c r="M242" s="30">
        <f t="shared" si="65"/>
        <v>1.7434143518548808</v>
      </c>
      <c r="N242" s="18" t="str">
        <f t="shared" si="66"/>
        <v>BASE RAZEL AEROPORT - CARRIERE LOGBADJECK</v>
      </c>
      <c r="O242" s="18"/>
      <c r="P242" s="18"/>
    </row>
    <row r="243" spans="1:16" ht="27.6">
      <c r="A243" s="43" t="s">
        <v>88</v>
      </c>
      <c r="B243" s="43" t="s">
        <v>55</v>
      </c>
      <c r="C243" s="43" t="s">
        <v>1225</v>
      </c>
      <c r="D243" s="43" t="s">
        <v>1226</v>
      </c>
      <c r="E243" s="27">
        <f t="shared" si="59"/>
        <v>9.0694444450491574E-2</v>
      </c>
      <c r="F243" s="18" t="s">
        <v>97</v>
      </c>
      <c r="G243" s="30">
        <f t="shared" si="60"/>
        <v>5.4583333330811001E-2</v>
      </c>
      <c r="H243" s="23" t="str">
        <f t="shared" si="61"/>
        <v>BASE RAZEL AEROPORT - CARRIERE LOGBADJECK</v>
      </c>
      <c r="I243" s="33" t="str">
        <f>IF(F242='Données Hebdo'!A242, VLOOKUP(Feuil1!A243, 'Données Hebdo'!B:J, 8, FALSE), "")</f>
        <v/>
      </c>
      <c r="J243" s="27" t="str">
        <f t="shared" si="62"/>
        <v>08:55:43 à 10:52:13</v>
      </c>
      <c r="K243" s="27" t="str">
        <f t="shared" si="63"/>
        <v>2016-05-30 10:52:13</v>
      </c>
      <c r="L243" s="27">
        <f t="shared" si="64"/>
        <v>8.0902777772280388E-2</v>
      </c>
      <c r="M243" s="30">
        <f t="shared" si="65"/>
        <v>9.0694444450491574E-2</v>
      </c>
      <c r="N243" s="18" t="str">
        <f t="shared" si="66"/>
        <v>CARRIERE LOGBADJECK - BASE RAZEL AEROPORT</v>
      </c>
      <c r="O243" s="18"/>
      <c r="P243" s="18"/>
    </row>
    <row r="244" spans="1:16" ht="27.6">
      <c r="A244" s="43" t="s">
        <v>88</v>
      </c>
      <c r="B244" s="43" t="s">
        <v>53</v>
      </c>
      <c r="C244" s="43" t="s">
        <v>1227</v>
      </c>
      <c r="D244" s="43" t="s">
        <v>1228</v>
      </c>
      <c r="E244" s="27">
        <f t="shared" si="59"/>
        <v>1.2152777781011537E-3</v>
      </c>
      <c r="F244" s="18" t="s">
        <v>97</v>
      </c>
      <c r="G244" s="30">
        <f t="shared" si="60"/>
        <v>8.0902777772280388E-2</v>
      </c>
      <c r="H244" s="23" t="str">
        <f t="shared" si="61"/>
        <v>CARRIERE LOGBADJECK - BASE RAZEL AEROPORT</v>
      </c>
      <c r="I244" s="33" t="str">
        <f>IF(F243='Données Hebdo'!A243, VLOOKUP(Feuil1!A244, 'Données Hebdo'!B:J, 8, FALSE), "")</f>
        <v/>
      </c>
      <c r="J244" s="27" t="str">
        <f t="shared" si="62"/>
        <v>10:53:58 à 10:54:56</v>
      </c>
      <c r="K244" s="27" t="str">
        <f t="shared" si="63"/>
        <v>2016-05-30 10:54:56</v>
      </c>
      <c r="L244" s="27">
        <f t="shared" si="64"/>
        <v>6.7129630042472854E-4</v>
      </c>
      <c r="M244" s="30">
        <f t="shared" si="65"/>
        <v>1.2152777781011537E-3</v>
      </c>
      <c r="N244" s="18" t="str">
        <f t="shared" si="66"/>
        <v>BASE RAZEL AEROPORT - AEROPORT DE DOUALA</v>
      </c>
      <c r="O244" s="18"/>
      <c r="P244" s="18"/>
    </row>
    <row r="245" spans="1:16" ht="27.6">
      <c r="A245" s="43" t="s">
        <v>88</v>
      </c>
      <c r="B245" s="43" t="s">
        <v>729</v>
      </c>
      <c r="C245" s="43" t="s">
        <v>1229</v>
      </c>
      <c r="D245" s="43" t="s">
        <v>1230</v>
      </c>
      <c r="E245" s="27">
        <f t="shared" si="59"/>
        <v>2.7314814797136933E-3</v>
      </c>
      <c r="F245" s="18" t="s">
        <v>97</v>
      </c>
      <c r="G245" s="30">
        <f t="shared" si="60"/>
        <v>6.7129630042472854E-4</v>
      </c>
      <c r="H245" s="23" t="str">
        <f t="shared" si="61"/>
        <v>BASE RAZEL AEROPORT - AEROPORT DE DOUALA</v>
      </c>
      <c r="I245" s="33" t="str">
        <f>IF(F244='Données Hebdo'!A244, VLOOKUP(Feuil1!A245, 'Données Hebdo'!B:J, 8, FALSE), "")</f>
        <v/>
      </c>
      <c r="J245" s="27" t="str">
        <f t="shared" si="62"/>
        <v>10:58:52 à 11:11:39</v>
      </c>
      <c r="K245" s="27" t="str">
        <f t="shared" si="63"/>
        <v>2016-05-30 11:11:39</v>
      </c>
      <c r="L245" s="27">
        <f t="shared" si="64"/>
        <v>8.8773148163454607E-3</v>
      </c>
      <c r="M245" s="30">
        <f t="shared" si="65"/>
        <v>2.7314814797136933E-3</v>
      </c>
      <c r="N245" s="18" t="str">
        <f t="shared" si="66"/>
        <v>AEROPORT DE DOUALA - AEROPORT DE DOUALA</v>
      </c>
      <c r="O245" s="18"/>
      <c r="P245" s="18"/>
    </row>
    <row r="246" spans="1:16" ht="27.6">
      <c r="A246" s="43" t="s">
        <v>88</v>
      </c>
      <c r="B246" s="43" t="s">
        <v>729</v>
      </c>
      <c r="C246" s="43" t="s">
        <v>1231</v>
      </c>
      <c r="D246" s="43" t="s">
        <v>1232</v>
      </c>
      <c r="E246" s="27">
        <f t="shared" si="59"/>
        <v>7.6388888555811718E-4</v>
      </c>
      <c r="F246" s="18" t="s">
        <v>97</v>
      </c>
      <c r="G246" s="30">
        <f t="shared" si="60"/>
        <v>8.8773148163454607E-3</v>
      </c>
      <c r="H246" s="23" t="str">
        <f t="shared" si="61"/>
        <v>AEROPORT DE DOUALA - AEROPORT DE DOUALA</v>
      </c>
      <c r="I246" s="33" t="str">
        <f>IF(F245='Données Hebdo'!A245, VLOOKUP(Feuil1!A246, 'Données Hebdo'!B:J, 8, FALSE), "")</f>
        <v/>
      </c>
      <c r="J246" s="27" t="str">
        <f t="shared" si="62"/>
        <v>11:12:45 à 11:15:15</v>
      </c>
      <c r="K246" s="27" t="str">
        <f t="shared" si="63"/>
        <v>2016-05-30 11:15:15</v>
      </c>
      <c r="L246" s="27">
        <f t="shared" si="64"/>
        <v>1.7361111094942316E-3</v>
      </c>
      <c r="M246" s="30">
        <f t="shared" si="65"/>
        <v>7.6388888555811718E-4</v>
      </c>
      <c r="N246" s="18" t="str">
        <f t="shared" si="66"/>
        <v>AEROPORT DE DOUALA - AEROPORT DE DOUALA</v>
      </c>
      <c r="O246" s="18"/>
      <c r="P246" s="18"/>
    </row>
    <row r="247" spans="1:16" ht="27.6">
      <c r="A247" s="43" t="s">
        <v>88</v>
      </c>
      <c r="B247" s="43" t="s">
        <v>729</v>
      </c>
      <c r="C247" s="43" t="s">
        <v>1233</v>
      </c>
      <c r="D247" s="43" t="s">
        <v>1234</v>
      </c>
      <c r="E247" s="27">
        <f t="shared" si="59"/>
        <v>1.1574074596865103E-4</v>
      </c>
      <c r="F247" s="18" t="s">
        <v>97</v>
      </c>
      <c r="G247" s="30">
        <f t="shared" si="60"/>
        <v>1.7361111094942316E-3</v>
      </c>
      <c r="H247" s="23" t="str">
        <f t="shared" si="61"/>
        <v>AEROPORT DE DOUALA - AEROPORT DE DOUALA</v>
      </c>
      <c r="I247" s="33" t="str">
        <f>IF(F246='Données Hebdo'!A246, VLOOKUP(Feuil1!A247, 'Données Hebdo'!B:J, 8, FALSE), "")</f>
        <v/>
      </c>
      <c r="J247" s="27" t="str">
        <f t="shared" si="62"/>
        <v>11:15:25 à 11:20:53</v>
      </c>
      <c r="K247" s="27" t="str">
        <f t="shared" si="63"/>
        <v>2016-05-30 11:20:53</v>
      </c>
      <c r="L247" s="27">
        <f t="shared" si="64"/>
        <v>3.796296296059154E-3</v>
      </c>
      <c r="M247" s="30">
        <f t="shared" si="65"/>
        <v>1.1574074596865103E-4</v>
      </c>
      <c r="N247" s="18" t="str">
        <f t="shared" si="66"/>
        <v>AEROPORT DE DOUALA - AEROPORT DE DOUALA</v>
      </c>
      <c r="O247" s="18"/>
      <c r="P247" s="18"/>
    </row>
    <row r="248" spans="1:16" ht="27.6">
      <c r="A248" s="43" t="s">
        <v>88</v>
      </c>
      <c r="B248" s="43" t="s">
        <v>729</v>
      </c>
      <c r="C248" s="43" t="s">
        <v>1235</v>
      </c>
      <c r="D248" s="43" t="s">
        <v>1236</v>
      </c>
      <c r="E248" s="27">
        <f t="shared" si="59"/>
        <v>1.1574073869269341E-4</v>
      </c>
      <c r="F248" s="18" t="s">
        <v>97</v>
      </c>
      <c r="G248" s="30">
        <f t="shared" si="60"/>
        <v>3.796296296059154E-3</v>
      </c>
      <c r="H248" s="23" t="str">
        <f t="shared" si="61"/>
        <v>AEROPORT DE DOUALA - AEROPORT DE DOUALA</v>
      </c>
      <c r="I248" s="33" t="str">
        <f>IF(F247='Données Hebdo'!A247, VLOOKUP(Feuil1!A248, 'Données Hebdo'!B:J, 8, FALSE), "")</f>
        <v/>
      </c>
      <c r="J248" s="27" t="str">
        <f t="shared" si="62"/>
        <v>11:21:03 à 11:23:10</v>
      </c>
      <c r="K248" s="27" t="str">
        <f t="shared" si="63"/>
        <v>2016-05-30 11:23:10</v>
      </c>
      <c r="L248" s="27">
        <f t="shared" si="64"/>
        <v>1.4699074090458453E-3</v>
      </c>
      <c r="M248" s="30">
        <f t="shared" si="65"/>
        <v>1.1574073869269341E-4</v>
      </c>
      <c r="N248" s="18" t="str">
        <f t="shared" si="66"/>
        <v>AEROPORT DE DOUALA - BASE RAZEL AEROPORT</v>
      </c>
      <c r="O248" s="18"/>
      <c r="P248" s="18"/>
    </row>
    <row r="249" spans="1:16" ht="27.6">
      <c r="A249" s="43" t="s">
        <v>88</v>
      </c>
      <c r="B249" s="43" t="s">
        <v>53</v>
      </c>
      <c r="C249" s="43" t="s">
        <v>1237</v>
      </c>
      <c r="D249" s="43" t="s">
        <v>1238</v>
      </c>
      <c r="E249" s="27">
        <f t="shared" si="59"/>
        <v>2.5613425925257616E-2</v>
      </c>
      <c r="F249" s="18" t="s">
        <v>97</v>
      </c>
      <c r="G249" s="30">
        <f t="shared" si="60"/>
        <v>1.4699074090458453E-3</v>
      </c>
      <c r="H249" s="23" t="str">
        <f t="shared" si="61"/>
        <v>AEROPORT DE DOUALA - BASE RAZEL AEROPORT</v>
      </c>
      <c r="I249" s="33" t="str">
        <f>IF(F248='Données Hebdo'!A248, VLOOKUP(Feuil1!A249, 'Données Hebdo'!B:J, 8, FALSE), "")</f>
        <v/>
      </c>
      <c r="J249" s="27" t="str">
        <f t="shared" si="62"/>
        <v>12:00:03 à 13:15:35</v>
      </c>
      <c r="K249" s="27" t="str">
        <f t="shared" si="63"/>
        <v>2016-05-30 13:15:35</v>
      </c>
      <c r="L249" s="27">
        <f t="shared" si="64"/>
        <v>5.2453703705396038E-2</v>
      </c>
      <c r="M249" s="30">
        <f t="shared" si="65"/>
        <v>2.5613425925257616E-2</v>
      </c>
      <c r="N249" s="18" t="str">
        <f t="shared" si="66"/>
        <v>BASE RAZEL AEROPORT - CARRIERE LOGBADJECK</v>
      </c>
      <c r="O249" s="18"/>
      <c r="P249" s="18"/>
    </row>
    <row r="250" spans="1:16" ht="27.6">
      <c r="A250" s="43" t="s">
        <v>88</v>
      </c>
      <c r="B250" s="43" t="s">
        <v>55</v>
      </c>
      <c r="C250" s="43" t="s">
        <v>1239</v>
      </c>
      <c r="D250" s="43" t="s">
        <v>1240</v>
      </c>
      <c r="E250" s="27">
        <f t="shared" si="59"/>
        <v>4.3194444442633539E-2</v>
      </c>
      <c r="F250" s="18" t="s">
        <v>97</v>
      </c>
      <c r="G250" s="30">
        <f t="shared" si="60"/>
        <v>5.2453703705396038E-2</v>
      </c>
      <c r="H250" s="23" t="str">
        <f t="shared" si="61"/>
        <v>BASE RAZEL AEROPORT - CARRIERE LOGBADJECK</v>
      </c>
      <c r="I250" s="33" t="str">
        <f>IF(F249='Données Hebdo'!A249, VLOOKUP(Feuil1!A250, 'Données Hebdo'!B:J, 8, FALSE), "")</f>
        <v/>
      </c>
      <c r="J250" s="27" t="str">
        <f t="shared" si="62"/>
        <v>14:17:47 à 15:29:45</v>
      </c>
      <c r="K250" s="27" t="str">
        <f t="shared" si="63"/>
        <v>2016-05-30 15:29:45</v>
      </c>
      <c r="L250" s="27">
        <f t="shared" si="64"/>
        <v>4.9976851849351078E-2</v>
      </c>
      <c r="M250" s="30">
        <f t="shared" si="65"/>
        <v>4.3194444442633539E-2</v>
      </c>
      <c r="N250" s="18" t="str">
        <f t="shared" si="66"/>
        <v>CARRIERE LOGBADJECK - BASE RAZEL AEROPORT</v>
      </c>
      <c r="O250" s="18"/>
      <c r="P250" s="18"/>
    </row>
    <row r="251" spans="1:16" ht="27.6">
      <c r="A251" s="43" t="s">
        <v>88</v>
      </c>
      <c r="B251" s="43" t="s">
        <v>53</v>
      </c>
      <c r="C251" s="43" t="s">
        <v>1241</v>
      </c>
      <c r="D251" s="43" t="s">
        <v>1242</v>
      </c>
      <c r="E251" s="27">
        <f t="shared" si="59"/>
        <v>6.3773148140171543E-3</v>
      </c>
      <c r="F251" s="18" t="s">
        <v>97</v>
      </c>
      <c r="G251" s="30">
        <f t="shared" si="60"/>
        <v>4.9976851849351078E-2</v>
      </c>
      <c r="H251" s="23" t="str">
        <f t="shared" si="61"/>
        <v>CARRIERE LOGBADJECK - BASE RAZEL AEROPORT</v>
      </c>
      <c r="I251" s="33" t="str">
        <f>IF(F250='Données Hebdo'!A250, VLOOKUP(Feuil1!A251, 'Données Hebdo'!B:J, 8, FALSE), "")</f>
        <v/>
      </c>
      <c r="J251" s="27" t="str">
        <f t="shared" si="62"/>
        <v>15:38:56 à 15:40:14</v>
      </c>
      <c r="K251" s="27" t="str">
        <f t="shared" si="63"/>
        <v>2016-05-30 15:40:14</v>
      </c>
      <c r="L251" s="27">
        <f t="shared" si="64"/>
        <v>9.0277777781011537E-4</v>
      </c>
      <c r="M251" s="30">
        <f t="shared" si="65"/>
        <v>6.3773148140171543E-3</v>
      </c>
      <c r="N251" s="18" t="str">
        <f t="shared" si="66"/>
        <v>BASE RAZEL AEROPORT - AEROPORT DE DOUALA</v>
      </c>
      <c r="O251" s="18"/>
      <c r="P251" s="18"/>
    </row>
    <row r="252" spans="1:16" ht="27.6">
      <c r="A252" s="43" t="s">
        <v>88</v>
      </c>
      <c r="B252" s="43" t="s">
        <v>729</v>
      </c>
      <c r="C252" s="43" t="s">
        <v>1243</v>
      </c>
      <c r="D252" s="43" t="s">
        <v>1244</v>
      </c>
      <c r="E252" s="27">
        <f t="shared" si="59"/>
        <v>3.4143518569180742E-3</v>
      </c>
      <c r="F252" s="18" t="s">
        <v>97</v>
      </c>
      <c r="G252" s="30">
        <f t="shared" si="60"/>
        <v>9.0277777781011537E-4</v>
      </c>
      <c r="H252" s="23" t="str">
        <f t="shared" si="61"/>
        <v>BASE RAZEL AEROPORT - AEROPORT DE DOUALA</v>
      </c>
      <c r="I252" s="33" t="str">
        <f>IF(F251='Données Hebdo'!A251, VLOOKUP(Feuil1!A252, 'Données Hebdo'!B:J, 8, FALSE), "")</f>
        <v/>
      </c>
      <c r="J252" s="27" t="str">
        <f t="shared" si="62"/>
        <v>15:45:09 à 15:49:34</v>
      </c>
      <c r="K252" s="27" t="str">
        <f t="shared" si="63"/>
        <v>2016-05-30 15:49:34</v>
      </c>
      <c r="L252" s="27">
        <f t="shared" si="64"/>
        <v>3.0671296262880787E-3</v>
      </c>
      <c r="M252" s="30">
        <f t="shared" si="65"/>
        <v>3.4143518569180742E-3</v>
      </c>
      <c r="N252" s="18" t="str">
        <f t="shared" si="66"/>
        <v>AEROPORT DE DOUALA - AEROPORT DE DOUALA</v>
      </c>
      <c r="O252" s="18"/>
      <c r="P252" s="18"/>
    </row>
    <row r="253" spans="1:16" ht="27.6">
      <c r="A253" s="43" t="s">
        <v>88</v>
      </c>
      <c r="B253" s="43" t="s">
        <v>729</v>
      </c>
      <c r="C253" s="43" t="s">
        <v>1245</v>
      </c>
      <c r="D253" s="43" t="s">
        <v>1246</v>
      </c>
      <c r="E253" s="27">
        <f t="shared" si="59"/>
        <v>7.9513888922519982E-3</v>
      </c>
      <c r="F253" s="18" t="s">
        <v>97</v>
      </c>
      <c r="G253" s="30">
        <f t="shared" si="60"/>
        <v>3.0671296262880787E-3</v>
      </c>
      <c r="H253" s="23" t="str">
        <f t="shared" si="61"/>
        <v>AEROPORT DE DOUALA - AEROPORT DE DOUALA</v>
      </c>
      <c r="I253" s="33" t="str">
        <f>IF(F252='Données Hebdo'!A252, VLOOKUP(Feuil1!A253, 'Données Hebdo'!B:J, 8, FALSE), "")</f>
        <v/>
      </c>
      <c r="J253" s="27" t="str">
        <f t="shared" si="62"/>
        <v>16:01:01 à 16:01:56</v>
      </c>
      <c r="K253" s="27" t="str">
        <f t="shared" si="63"/>
        <v>2016-05-30 16:01:56</v>
      </c>
      <c r="L253" s="27">
        <f t="shared" si="64"/>
        <v>6.3657407008577138E-4</v>
      </c>
      <c r="M253" s="30">
        <f t="shared" si="65"/>
        <v>7.9513888922519982E-3</v>
      </c>
      <c r="N253" s="18" t="str">
        <f t="shared" si="66"/>
        <v>AEROPORT DE DOUALA - BASE RAZEL AEROPORT</v>
      </c>
      <c r="O253" s="18"/>
      <c r="P253" s="18"/>
    </row>
    <row r="254" spans="1:16" ht="27.6">
      <c r="A254" s="43" t="s">
        <v>88</v>
      </c>
      <c r="B254" s="43" t="s">
        <v>53</v>
      </c>
      <c r="C254" s="43" t="s">
        <v>1247</v>
      </c>
      <c r="D254" s="43" t="s">
        <v>1248</v>
      </c>
      <c r="E254" s="27">
        <f t="shared" si="59"/>
        <v>8.6805555474711582E-4</v>
      </c>
      <c r="F254" s="18" t="s">
        <v>97</v>
      </c>
      <c r="G254" s="30">
        <f t="shared" si="60"/>
        <v>6.3657407008577138E-4</v>
      </c>
      <c r="H254" s="23" t="str">
        <f t="shared" si="61"/>
        <v>AEROPORT DE DOUALA - BASE RAZEL AEROPORT</v>
      </c>
      <c r="I254" s="33" t="str">
        <f>IF(F253='Données Hebdo'!A253, VLOOKUP(Feuil1!A254, 'Données Hebdo'!B:J, 8, FALSE), "")</f>
        <v/>
      </c>
      <c r="J254" s="27" t="str">
        <f t="shared" si="62"/>
        <v>16:03:11 à 16:03:11</v>
      </c>
      <c r="K254" s="27" t="str">
        <f t="shared" si="63"/>
        <v>2016-05-30 16:03:11</v>
      </c>
      <c r="L254" s="27">
        <f t="shared" si="64"/>
        <v>0</v>
      </c>
      <c r="M254" s="30">
        <f t="shared" si="65"/>
        <v>8.6805555474711582E-4</v>
      </c>
      <c r="N254" s="18" t="str">
        <f t="shared" si="66"/>
        <v>BASE RAZEL AEROPORT - AEROPORT DE DOUALA</v>
      </c>
      <c r="O254" s="18"/>
      <c r="P254" s="18"/>
    </row>
    <row r="255" spans="1:16" ht="27.6">
      <c r="A255" s="43" t="s">
        <v>88</v>
      </c>
      <c r="B255" s="43" t="s">
        <v>729</v>
      </c>
      <c r="C255" s="43" t="s">
        <v>1248</v>
      </c>
      <c r="D255" s="43" t="s">
        <v>1249</v>
      </c>
      <c r="E255" s="27">
        <f t="shared" si="59"/>
        <v>8.4490740846376866E-4</v>
      </c>
      <c r="F255" s="18" t="s">
        <v>97</v>
      </c>
      <c r="G255" s="30">
        <f t="shared" si="60"/>
        <v>0</v>
      </c>
      <c r="H255" s="23" t="str">
        <f t="shared" si="61"/>
        <v>BASE RAZEL AEROPORT - AEROPORT DE DOUALA</v>
      </c>
      <c r="I255" s="33" t="str">
        <f>IF(F254='Données Hebdo'!A254, VLOOKUP(Feuil1!A255, 'Données Hebdo'!B:J, 8, FALSE), "")</f>
        <v/>
      </c>
      <c r="J255" s="27" t="str">
        <f t="shared" si="62"/>
        <v>16:04:24 à 16:08:40</v>
      </c>
      <c r="K255" s="27" t="str">
        <f t="shared" si="63"/>
        <v>2016-05-30 16:08:40</v>
      </c>
      <c r="L255" s="27">
        <f t="shared" si="64"/>
        <v>2.9629629643750377E-3</v>
      </c>
      <c r="M255" s="30">
        <f t="shared" si="65"/>
        <v>8.4490740846376866E-4</v>
      </c>
      <c r="N255" s="18" t="str">
        <f t="shared" si="66"/>
        <v>AEROPORT DE DOUALA - AEROPORT DE DOUALA</v>
      </c>
      <c r="O255" s="18"/>
      <c r="P255" s="18"/>
    </row>
    <row r="256" spans="1:16" ht="27.6">
      <c r="A256" s="43" t="s">
        <v>88</v>
      </c>
      <c r="B256" s="43" t="s">
        <v>729</v>
      </c>
      <c r="C256" s="43" t="s">
        <v>1250</v>
      </c>
      <c r="D256" s="43" t="s">
        <v>1251</v>
      </c>
      <c r="E256" s="27">
        <f t="shared" si="59"/>
        <v>5.7870369346346706E-5</v>
      </c>
      <c r="F256" s="18" t="s">
        <v>97</v>
      </c>
      <c r="G256" s="30">
        <f t="shared" si="60"/>
        <v>2.9629629643750377E-3</v>
      </c>
      <c r="H256" s="23" t="str">
        <f t="shared" si="61"/>
        <v>AEROPORT DE DOUALA - AEROPORT DE DOUALA</v>
      </c>
      <c r="I256" s="33" t="str">
        <f>IF(F255='Données Hebdo'!A255, VLOOKUP(Feuil1!A256, 'Données Hebdo'!B:J, 8, FALSE), "")</f>
        <v/>
      </c>
      <c r="J256" s="27" t="str">
        <f t="shared" si="62"/>
        <v>16:08:45 à 16:10:36</v>
      </c>
      <c r="K256" s="27" t="str">
        <f t="shared" si="63"/>
        <v>2016-05-30 16:10:36</v>
      </c>
      <c r="L256" s="27">
        <f t="shared" si="64"/>
        <v>1.2847222242271528E-3</v>
      </c>
      <c r="M256" s="30">
        <f t="shared" si="65"/>
        <v>5.7870369346346706E-5</v>
      </c>
      <c r="N256" s="18" t="str">
        <f t="shared" si="66"/>
        <v>AEROPORT DE DOUALA - BASE RAZEL AEROPORT</v>
      </c>
      <c r="O256" s="18"/>
      <c r="P256" s="18"/>
    </row>
    <row r="257" spans="1:16">
      <c r="A257" s="43" t="s">
        <v>88</v>
      </c>
      <c r="B257" s="43" t="s">
        <v>53</v>
      </c>
      <c r="C257" s="43" t="s">
        <v>1252</v>
      </c>
      <c r="D257" s="43" t="s">
        <v>1253</v>
      </c>
      <c r="E257" s="27">
        <f t="shared" si="59"/>
        <v>0.63004629629722331</v>
      </c>
      <c r="F257" s="18" t="s">
        <v>97</v>
      </c>
      <c r="G257" s="30">
        <f t="shared" si="60"/>
        <v>1.2847222242271528E-3</v>
      </c>
      <c r="H257" s="23" t="str">
        <f t="shared" si="61"/>
        <v>AEROPORT DE DOUALA - BASE RAZEL AEROPORT</v>
      </c>
      <c r="I257" s="33" t="str">
        <f>IF(F256='Données Hebdo'!A256, VLOOKUP(Feuil1!A257, 'Données Hebdo'!B:J, 8, FALSE), "")</f>
        <v/>
      </c>
      <c r="J257" s="27" t="str">
        <f t="shared" si="62"/>
        <v/>
      </c>
      <c r="K257" s="27" t="str">
        <f t="shared" si="63"/>
        <v/>
      </c>
      <c r="L257" s="27" t="str">
        <f t="shared" si="64"/>
        <v/>
      </c>
      <c r="M257" s="30" t="str">
        <f t="shared" si="65"/>
        <v/>
      </c>
      <c r="N257" s="18" t="str">
        <f t="shared" si="66"/>
        <v/>
      </c>
      <c r="O257" s="18"/>
      <c r="P257" s="18"/>
    </row>
    <row r="258" spans="1:16" ht="27.6">
      <c r="A258" s="43" t="s">
        <v>89</v>
      </c>
      <c r="B258" s="43" t="s">
        <v>56</v>
      </c>
      <c r="C258" s="43" t="s">
        <v>740</v>
      </c>
      <c r="D258" s="43" t="s">
        <v>741</v>
      </c>
      <c r="E258" s="27">
        <f t="shared" si="59"/>
        <v>3.5038310185191222</v>
      </c>
      <c r="F258" s="18" t="s">
        <v>97</v>
      </c>
      <c r="G258" s="30" t="str">
        <f t="shared" si="60"/>
        <v/>
      </c>
      <c r="H258" s="23" t="str">
        <f t="shared" si="61"/>
        <v/>
      </c>
      <c r="I258" s="33" t="str">
        <f>IF(F257='Données Hebdo'!A257, VLOOKUP(Feuil1!A258, 'Données Hebdo'!B:J, 8, FALSE), "")</f>
        <v/>
      </c>
      <c r="J258" s="27" t="str">
        <f t="shared" si="62"/>
        <v>05:37:47 à 06:35:51</v>
      </c>
      <c r="K258" s="27" t="str">
        <f t="shared" si="63"/>
        <v>2016-05-30 06:35:51</v>
      </c>
      <c r="L258" s="27">
        <f t="shared" si="64"/>
        <v>4.0324074070667848E-2</v>
      </c>
      <c r="M258" s="30">
        <f t="shared" si="65"/>
        <v>3.5038310185191222</v>
      </c>
      <c r="N258" s="18" t="str">
        <f t="shared" si="66"/>
        <v>DEPOT RAZEL YASSA - CARRIERE LOGBADJECK</v>
      </c>
      <c r="O258" s="18"/>
      <c r="P258" s="18"/>
    </row>
    <row r="259" spans="1:16" ht="27.6">
      <c r="A259" s="43" t="s">
        <v>89</v>
      </c>
      <c r="B259" s="43" t="s">
        <v>55</v>
      </c>
      <c r="C259" s="43" t="s">
        <v>1254</v>
      </c>
      <c r="D259" s="43" t="s">
        <v>1255</v>
      </c>
      <c r="E259" s="27">
        <f t="shared" ref="E259:E322" si="73">IFERROR(D259-C259, "")</f>
        <v>0.10409722222539131</v>
      </c>
      <c r="F259" s="18" t="s">
        <v>97</v>
      </c>
      <c r="G259" s="30">
        <f t="shared" si="60"/>
        <v>4.0324074070667848E-2</v>
      </c>
      <c r="H259" s="23" t="str">
        <f t="shared" si="61"/>
        <v>DEPOT RAZEL YASSA - CARRIERE LOGBADJECK</v>
      </c>
      <c r="I259" s="33" t="str">
        <f>IF(F258='Données Hebdo'!A258, VLOOKUP(Feuil1!A259, 'Données Hebdo'!B:J, 8, FALSE), "")</f>
        <v/>
      </c>
      <c r="J259" s="27" t="str">
        <f t="shared" si="62"/>
        <v>09:05:45 à 09:58:51</v>
      </c>
      <c r="K259" s="27" t="str">
        <f t="shared" si="63"/>
        <v>2016-05-30 09:58:51</v>
      </c>
      <c r="L259" s="27">
        <f t="shared" si="64"/>
        <v>3.6874999997962732E-2</v>
      </c>
      <c r="M259" s="30">
        <f t="shared" si="65"/>
        <v>0.10409722222539131</v>
      </c>
      <c r="N259" s="18" t="str">
        <f t="shared" si="66"/>
        <v>CARRIERE LOGBADJECK - DEPOT RAZEL YASSA</v>
      </c>
      <c r="O259" s="18"/>
      <c r="P259" s="18"/>
    </row>
    <row r="260" spans="1:16" ht="27.6">
      <c r="A260" s="43" t="s">
        <v>89</v>
      </c>
      <c r="B260" s="43" t="s">
        <v>56</v>
      </c>
      <c r="C260" s="43" t="s">
        <v>1256</v>
      </c>
      <c r="D260" s="43" t="s">
        <v>1257</v>
      </c>
      <c r="E260" s="27">
        <f t="shared" si="73"/>
        <v>1.0428240741021E-2</v>
      </c>
      <c r="F260" s="18" t="s">
        <v>97</v>
      </c>
      <c r="G260" s="30">
        <f t="shared" si="60"/>
        <v>3.6874999997962732E-2</v>
      </c>
      <c r="H260" s="23" t="str">
        <f t="shared" si="61"/>
        <v>CARRIERE LOGBADJECK - DEPOT RAZEL YASSA</v>
      </c>
      <c r="I260" s="33" t="str">
        <f>IF(F259='Données Hebdo'!A259, VLOOKUP(Feuil1!A260, 'Données Hebdo'!B:J, 8, FALSE), "")</f>
        <v/>
      </c>
      <c r="J260" s="27" t="str">
        <f t="shared" si="62"/>
        <v>10:13:52 à 11:35:52</v>
      </c>
      <c r="K260" s="27" t="str">
        <f t="shared" si="63"/>
        <v>2016-05-30 11:35:52</v>
      </c>
      <c r="L260" s="27">
        <f t="shared" si="64"/>
        <v>5.694444444088731E-2</v>
      </c>
      <c r="M260" s="30">
        <f t="shared" si="65"/>
        <v>1.0428240741021E-2</v>
      </c>
      <c r="N260" s="18" t="str">
        <f t="shared" si="66"/>
        <v>DEPOT RAZEL YASSA - CARRIERE LOGBADJECK</v>
      </c>
      <c r="O260" s="18"/>
      <c r="P260" s="18"/>
    </row>
    <row r="261" spans="1:16" ht="27.6">
      <c r="A261" s="43" t="s">
        <v>89</v>
      </c>
      <c r="B261" s="43" t="s">
        <v>55</v>
      </c>
      <c r="C261" s="43" t="s">
        <v>1258</v>
      </c>
      <c r="D261" s="43" t="s">
        <v>1259</v>
      </c>
      <c r="E261" s="27">
        <f t="shared" si="73"/>
        <v>4.3113425927003846E-2</v>
      </c>
      <c r="F261" s="18" t="s">
        <v>97</v>
      </c>
      <c r="G261" s="30">
        <f t="shared" si="60"/>
        <v>5.694444444088731E-2</v>
      </c>
      <c r="H261" s="23" t="str">
        <f t="shared" si="61"/>
        <v>DEPOT RAZEL YASSA - CARRIERE LOGBADJECK</v>
      </c>
      <c r="I261" s="33" t="str">
        <f>IF(F260='Données Hebdo'!A260, VLOOKUP(Feuil1!A261, 'Données Hebdo'!B:J, 8, FALSE), "")</f>
        <v/>
      </c>
      <c r="J261" s="27" t="str">
        <f t="shared" si="62"/>
        <v>12:37:57 à 13:38:52</v>
      </c>
      <c r="K261" s="27" t="str">
        <f t="shared" si="63"/>
        <v>2016-05-30 13:38:52</v>
      </c>
      <c r="L261" s="27">
        <f t="shared" si="64"/>
        <v>4.2303240741603076E-2</v>
      </c>
      <c r="M261" s="30">
        <f t="shared" si="65"/>
        <v>4.3113425927003846E-2</v>
      </c>
      <c r="N261" s="18" t="str">
        <f t="shared" si="66"/>
        <v>CARRIERE LOGBADJECK - DEPOT RAZEL YASSA</v>
      </c>
      <c r="O261" s="18"/>
      <c r="P261" s="18"/>
    </row>
    <row r="262" spans="1:16" ht="27.6">
      <c r="A262" s="43" t="s">
        <v>89</v>
      </c>
      <c r="B262" s="43" t="s">
        <v>56</v>
      </c>
      <c r="C262" s="43" t="s">
        <v>1260</v>
      </c>
      <c r="D262" s="43" t="s">
        <v>1261</v>
      </c>
      <c r="E262" s="27">
        <f t="shared" si="73"/>
        <v>6.9444444452528842E-3</v>
      </c>
      <c r="F262" s="18" t="s">
        <v>97</v>
      </c>
      <c r="G262" s="30">
        <f t="shared" si="60"/>
        <v>4.2303240741603076E-2</v>
      </c>
      <c r="H262" s="23" t="str">
        <f t="shared" si="61"/>
        <v>CARRIERE LOGBADJECK - DEPOT RAZEL YASSA</v>
      </c>
      <c r="I262" s="33" t="str">
        <f>IF(F261='Données Hebdo'!A261, VLOOKUP(Feuil1!A262, 'Données Hebdo'!B:J, 8, FALSE), "")</f>
        <v/>
      </c>
      <c r="J262" s="27" t="str">
        <f t="shared" si="62"/>
        <v>13:48:52 à 15:34:14</v>
      </c>
      <c r="K262" s="27" t="str">
        <f t="shared" si="63"/>
        <v>2016-05-30 15:34:14</v>
      </c>
      <c r="L262" s="27">
        <f t="shared" si="64"/>
        <v>7.3171296295186039E-2</v>
      </c>
      <c r="M262" s="30">
        <f t="shared" si="65"/>
        <v>6.9444444452528842E-3</v>
      </c>
      <c r="N262" s="18" t="str">
        <f t="shared" si="66"/>
        <v>DEPOT RAZEL YASSA - CARRIERE LOGBADJECK</v>
      </c>
      <c r="O262" s="18"/>
      <c r="P262" s="18"/>
    </row>
    <row r="263" spans="1:16" ht="27.6">
      <c r="A263" s="43" t="s">
        <v>89</v>
      </c>
      <c r="B263" s="43" t="s">
        <v>55</v>
      </c>
      <c r="C263" s="43" t="s">
        <v>1262</v>
      </c>
      <c r="D263" s="43" t="s">
        <v>1263</v>
      </c>
      <c r="E263" s="27">
        <f t="shared" si="73"/>
        <v>3.0057870375458151E-2</v>
      </c>
      <c r="F263" s="18" t="s">
        <v>97</v>
      </c>
      <c r="G263" s="30">
        <f t="shared" si="60"/>
        <v>7.3171296295186039E-2</v>
      </c>
      <c r="H263" s="23" t="str">
        <f t="shared" si="61"/>
        <v>DEPOT RAZEL YASSA - CARRIERE LOGBADJECK</v>
      </c>
      <c r="I263" s="33" t="str">
        <f>IF(F262='Données Hebdo'!A262, VLOOKUP(Feuil1!A263, 'Données Hebdo'!B:J, 8, FALSE), "")</f>
        <v/>
      </c>
      <c r="J263" s="27" t="str">
        <f t="shared" si="62"/>
        <v>16:17:31 à 17:13:52</v>
      </c>
      <c r="K263" s="27" t="str">
        <f t="shared" si="63"/>
        <v>2016-05-30 17:13:52</v>
      </c>
      <c r="L263" s="27">
        <f t="shared" si="64"/>
        <v>3.9131944438850041E-2</v>
      </c>
      <c r="M263" s="30">
        <f t="shared" si="65"/>
        <v>3.0057870375458151E-2</v>
      </c>
      <c r="N263" s="18" t="str">
        <f t="shared" si="66"/>
        <v>CARRIERE LOGBADJECK - DEPOT RAZEL YASSA</v>
      </c>
      <c r="O263" s="18"/>
      <c r="P263" s="18"/>
    </row>
    <row r="264" spans="1:16">
      <c r="A264" s="43" t="s">
        <v>89</v>
      </c>
      <c r="B264" s="43" t="s">
        <v>56</v>
      </c>
      <c r="C264" s="43" t="s">
        <v>1264</v>
      </c>
      <c r="D264" s="43" t="s">
        <v>1265</v>
      </c>
      <c r="E264" s="27">
        <f t="shared" si="73"/>
        <v>0.51439814815239515</v>
      </c>
      <c r="F264" s="18" t="s">
        <v>97</v>
      </c>
      <c r="G264" s="30">
        <f t="shared" si="60"/>
        <v>3.9131944438850041E-2</v>
      </c>
      <c r="H264" s="23" t="str">
        <f t="shared" si="61"/>
        <v>CARRIERE LOGBADJECK - DEPOT RAZEL YASSA</v>
      </c>
      <c r="I264" s="33" t="str">
        <f>IF(F263='Données Hebdo'!A263, VLOOKUP(Feuil1!A264, 'Données Hebdo'!B:J, 8, FALSE), "")</f>
        <v/>
      </c>
      <c r="J264" s="27" t="str">
        <f t="shared" si="62"/>
        <v/>
      </c>
      <c r="K264" s="27" t="str">
        <f t="shared" si="63"/>
        <v/>
      </c>
      <c r="L264" s="27" t="str">
        <f t="shared" si="64"/>
        <v/>
      </c>
      <c r="M264" s="30" t="str">
        <f t="shared" si="65"/>
        <v/>
      </c>
      <c r="N264" s="18" t="str">
        <f t="shared" si="66"/>
        <v/>
      </c>
      <c r="O264" s="18"/>
      <c r="P264" s="18"/>
    </row>
    <row r="265" spans="1:16" ht="27.6">
      <c r="A265" s="43" t="s">
        <v>91</v>
      </c>
      <c r="B265" s="43" t="s">
        <v>55</v>
      </c>
      <c r="C265" s="43" t="s">
        <v>742</v>
      </c>
      <c r="D265" s="43" t="s">
        <v>743</v>
      </c>
      <c r="E265" s="27">
        <f t="shared" si="73"/>
        <v>2.7292592592639267</v>
      </c>
      <c r="F265" s="18" t="s">
        <v>97</v>
      </c>
      <c r="G265" s="30" t="str">
        <f t="shared" si="60"/>
        <v/>
      </c>
      <c r="H265" s="23" t="str">
        <f t="shared" si="61"/>
        <v/>
      </c>
      <c r="I265" s="33" t="str">
        <f>IF(F264='Données Hebdo'!A264, VLOOKUP(Feuil1!A265, 'Données Hebdo'!B:J, 8, FALSE), "")</f>
        <v/>
      </c>
      <c r="J265" s="27" t="str">
        <f t="shared" si="62"/>
        <v>08:42:59 à 09:38:03</v>
      </c>
      <c r="K265" s="27" t="str">
        <f t="shared" si="63"/>
        <v>2016-05-30 09:38:03</v>
      </c>
      <c r="L265" s="27">
        <f t="shared" si="64"/>
        <v>3.8240740737819578E-2</v>
      </c>
      <c r="M265" s="30">
        <f t="shared" si="65"/>
        <v>2.7292592592639267</v>
      </c>
      <c r="N265" s="18" t="str">
        <f t="shared" si="66"/>
        <v>CARRIERE LOGBADJECK - DEPOT RAZEL YASSA</v>
      </c>
      <c r="O265" s="18"/>
      <c r="P265" s="18"/>
    </row>
    <row r="266" spans="1:16" ht="27.6">
      <c r="A266" s="43" t="s">
        <v>91</v>
      </c>
      <c r="B266" s="43" t="s">
        <v>56</v>
      </c>
      <c r="C266" s="43" t="s">
        <v>1266</v>
      </c>
      <c r="D266" s="43" t="s">
        <v>1267</v>
      </c>
      <c r="E266" s="27">
        <f t="shared" si="73"/>
        <v>1.0416666664241347E-2</v>
      </c>
      <c r="F266" s="18" t="s">
        <v>97</v>
      </c>
      <c r="G266" s="30">
        <f t="shared" si="60"/>
        <v>3.8240740737819578E-2</v>
      </c>
      <c r="H266" s="23" t="str">
        <f t="shared" si="61"/>
        <v>CARRIERE LOGBADJECK - DEPOT RAZEL YASSA</v>
      </c>
      <c r="I266" s="33" t="str">
        <f>IF(F265='Données Hebdo'!A265, VLOOKUP(Feuil1!A266, 'Données Hebdo'!B:J, 8, FALSE), "")</f>
        <v/>
      </c>
      <c r="J266" s="27" t="str">
        <f t="shared" si="62"/>
        <v>09:53:03 à 11:19:39</v>
      </c>
      <c r="K266" s="27" t="str">
        <f t="shared" si="63"/>
        <v>2016-05-30 11:19:39</v>
      </c>
      <c r="L266" s="27">
        <f t="shared" si="64"/>
        <v>6.0138888889923692E-2</v>
      </c>
      <c r="M266" s="30">
        <f t="shared" si="65"/>
        <v>1.0416666664241347E-2</v>
      </c>
      <c r="N266" s="18" t="str">
        <f t="shared" si="66"/>
        <v>DEPOT RAZEL YASSA - CARRIERE LOGBADJECK</v>
      </c>
      <c r="O266" s="18"/>
      <c r="P266" s="18"/>
    </row>
    <row r="267" spans="1:16" ht="27.6">
      <c r="A267" s="43" t="s">
        <v>91</v>
      </c>
      <c r="B267" s="43" t="s">
        <v>55</v>
      </c>
      <c r="C267" s="43" t="s">
        <v>1268</v>
      </c>
      <c r="D267" s="43" t="s">
        <v>1269</v>
      </c>
      <c r="E267" s="27">
        <f t="shared" si="73"/>
        <v>5.1875000004656613E-2</v>
      </c>
      <c r="F267" s="18" t="s">
        <v>97</v>
      </c>
      <c r="G267" s="30">
        <f t="shared" si="60"/>
        <v>6.0138888889923692E-2</v>
      </c>
      <c r="H267" s="23" t="str">
        <f t="shared" si="61"/>
        <v>DEPOT RAZEL YASSA - CARRIERE LOGBADJECK</v>
      </c>
      <c r="I267" s="33" t="str">
        <f>IF(F266='Données Hebdo'!A266, VLOOKUP(Feuil1!A267, 'Données Hebdo'!B:J, 8, FALSE), "")</f>
        <v/>
      </c>
      <c r="J267" s="27" t="str">
        <f t="shared" si="62"/>
        <v>12:34:21 à 13:38:03</v>
      </c>
      <c r="K267" s="27" t="str">
        <f t="shared" si="63"/>
        <v>2016-05-30 13:38:03</v>
      </c>
      <c r="L267" s="27">
        <f t="shared" si="64"/>
        <v>4.4236111105419695E-2</v>
      </c>
      <c r="M267" s="30">
        <f t="shared" si="65"/>
        <v>5.1875000004656613E-2</v>
      </c>
      <c r="N267" s="18" t="str">
        <f t="shared" si="66"/>
        <v>CARRIERE LOGBADJECK - DEPOT RAZEL YASSA</v>
      </c>
      <c r="O267" s="18"/>
      <c r="P267" s="18"/>
    </row>
    <row r="268" spans="1:16" ht="27.6">
      <c r="A268" s="43" t="s">
        <v>91</v>
      </c>
      <c r="B268" s="43" t="s">
        <v>56</v>
      </c>
      <c r="C268" s="43" t="s">
        <v>1270</v>
      </c>
      <c r="D268" s="43" t="s">
        <v>1271</v>
      </c>
      <c r="E268" s="27">
        <f t="shared" si="73"/>
        <v>1.0416666671517305E-2</v>
      </c>
      <c r="F268" s="18" t="s">
        <v>97</v>
      </c>
      <c r="G268" s="30">
        <f t="shared" ref="G268:G331" si="74">IF(A268=A267, C268-D267, "")</f>
        <v>4.4236111105419695E-2</v>
      </c>
      <c r="H268" s="23" t="str">
        <f t="shared" ref="H268:H331" si="75">IF(A268=A267, B267&amp;" - "&amp;B268, "")</f>
        <v>CARRIERE LOGBADJECK - DEPOT RAZEL YASSA</v>
      </c>
      <c r="I268" s="33" t="str">
        <f>IF(F267='Données Hebdo'!A267, VLOOKUP(Feuil1!A268, 'Données Hebdo'!B:J, 8, FALSE), "")</f>
        <v/>
      </c>
      <c r="J268" s="27" t="str">
        <f t="shared" ref="J268:J331" si="76">IF(A268=A269, RIGHT(D268, 8)&amp;" à "&amp;RIGHT(C269, 8), "")</f>
        <v>13:53:03 à 15:39:54</v>
      </c>
      <c r="K268" s="27" t="str">
        <f t="shared" ref="K268:K331" si="77">IF(A268=A269, C269, "")</f>
        <v>2016-05-30 15:39:54</v>
      </c>
      <c r="L268" s="27">
        <f t="shared" ref="L268:L331" si="78">IF(A268=A269, G269, "")</f>
        <v>7.42013888884685E-2</v>
      </c>
      <c r="M268" s="30">
        <f t="shared" ref="M268:M331" si="79">IF(A268=A269, E268, "")</f>
        <v>1.0416666671517305E-2</v>
      </c>
      <c r="N268" s="18" t="str">
        <f t="shared" ref="N268:N331" si="80">IF(A268=A269, H269, "")</f>
        <v>DEPOT RAZEL YASSA - CARRIERE LOGBADJECK</v>
      </c>
      <c r="O268" s="18"/>
      <c r="P268" s="18"/>
    </row>
    <row r="269" spans="1:16" ht="27.6">
      <c r="A269" s="43" t="s">
        <v>91</v>
      </c>
      <c r="B269" s="43" t="s">
        <v>55</v>
      </c>
      <c r="C269" s="43" t="s">
        <v>1272</v>
      </c>
      <c r="D269" s="43" t="s">
        <v>1273</v>
      </c>
      <c r="E269" s="27">
        <f t="shared" si="73"/>
        <v>3.5983796296932269E-2</v>
      </c>
      <c r="F269" s="18" t="s">
        <v>97</v>
      </c>
      <c r="G269" s="30">
        <f t="shared" si="74"/>
        <v>7.42013888884685E-2</v>
      </c>
      <c r="H269" s="23" t="str">
        <f t="shared" si="75"/>
        <v>DEPOT RAZEL YASSA - CARRIERE LOGBADJECK</v>
      </c>
      <c r="I269" s="33" t="str">
        <f>IF(F268='Données Hebdo'!A268, VLOOKUP(Feuil1!A269, 'Données Hebdo'!B:J, 8, FALSE), "")</f>
        <v/>
      </c>
      <c r="J269" s="27" t="str">
        <f t="shared" si="76"/>
        <v>16:31:43 à 17:30:33</v>
      </c>
      <c r="K269" s="27" t="str">
        <f t="shared" si="77"/>
        <v>2016-05-30 17:30:33</v>
      </c>
      <c r="L269" s="27">
        <f t="shared" si="78"/>
        <v>4.0856481478840578E-2</v>
      </c>
      <c r="M269" s="30">
        <f t="shared" si="79"/>
        <v>3.5983796296932269E-2</v>
      </c>
      <c r="N269" s="18" t="str">
        <f t="shared" si="80"/>
        <v>CARRIERE LOGBADJECK - DEPOT RAZEL YASSA</v>
      </c>
      <c r="O269" s="18"/>
      <c r="P269" s="18"/>
    </row>
    <row r="270" spans="1:16" ht="27.6">
      <c r="A270" s="43" t="s">
        <v>91</v>
      </c>
      <c r="B270" s="43" t="s">
        <v>56</v>
      </c>
      <c r="C270" s="43" t="s">
        <v>1274</v>
      </c>
      <c r="D270" s="43" t="s">
        <v>1275</v>
      </c>
      <c r="E270" s="27">
        <f t="shared" si="73"/>
        <v>1.527777778392192E-3</v>
      </c>
      <c r="F270" s="18" t="s">
        <v>97</v>
      </c>
      <c r="G270" s="30">
        <f t="shared" si="74"/>
        <v>4.0856481478840578E-2</v>
      </c>
      <c r="H270" s="23" t="str">
        <f t="shared" si="75"/>
        <v>CARRIERE LOGBADJECK - DEPOT RAZEL YASSA</v>
      </c>
      <c r="I270" s="33" t="str">
        <f>IF(F269='Données Hebdo'!A269, VLOOKUP(Feuil1!A270, 'Données Hebdo'!B:J, 8, FALSE), "")</f>
        <v/>
      </c>
      <c r="J270" s="27" t="str">
        <f t="shared" si="76"/>
        <v>17:32:45 à 18:35:11</v>
      </c>
      <c r="K270" s="27" t="str">
        <f t="shared" si="77"/>
        <v>2016-05-30 18:35:11</v>
      </c>
      <c r="L270" s="27">
        <f t="shared" si="78"/>
        <v>4.3356481481168885E-2</v>
      </c>
      <c r="M270" s="30">
        <f t="shared" si="79"/>
        <v>1.527777778392192E-3</v>
      </c>
      <c r="N270" s="18" t="str">
        <f t="shared" si="80"/>
        <v>DEPOT RAZEL YASSA - CARRIERE LOGBADJECK</v>
      </c>
      <c r="O270" s="18"/>
      <c r="P270" s="18"/>
    </row>
    <row r="271" spans="1:16">
      <c r="A271" s="43" t="s">
        <v>91</v>
      </c>
      <c r="B271" s="43" t="s">
        <v>55</v>
      </c>
      <c r="C271" s="43" t="s">
        <v>1276</v>
      </c>
      <c r="D271" s="43" t="s">
        <v>1277</v>
      </c>
      <c r="E271" s="27">
        <f t="shared" si="73"/>
        <v>0.57581018518249039</v>
      </c>
      <c r="F271" s="18" t="s">
        <v>97</v>
      </c>
      <c r="G271" s="30">
        <f t="shared" si="74"/>
        <v>4.3356481481168885E-2</v>
      </c>
      <c r="H271" s="23" t="str">
        <f t="shared" si="75"/>
        <v>DEPOT RAZEL YASSA - CARRIERE LOGBADJECK</v>
      </c>
      <c r="I271" s="33" t="str">
        <f>IF(F270='Données Hebdo'!A270, VLOOKUP(Feuil1!A271, 'Données Hebdo'!B:J, 8, FALSE), "")</f>
        <v/>
      </c>
      <c r="J271" s="27" t="str">
        <f t="shared" si="76"/>
        <v/>
      </c>
      <c r="K271" s="27" t="str">
        <f t="shared" si="77"/>
        <v/>
      </c>
      <c r="L271" s="27" t="str">
        <f t="shared" si="78"/>
        <v/>
      </c>
      <c r="M271" s="30" t="str">
        <f t="shared" si="79"/>
        <v/>
      </c>
      <c r="N271" s="18" t="str">
        <f t="shared" si="80"/>
        <v/>
      </c>
      <c r="O271" s="18"/>
      <c r="P271" s="18"/>
    </row>
    <row r="272" spans="1:16" ht="27.6">
      <c r="A272" s="43" t="s">
        <v>68</v>
      </c>
      <c r="B272" s="43" t="s">
        <v>52</v>
      </c>
      <c r="C272" s="43" t="s">
        <v>1278</v>
      </c>
      <c r="D272" s="43" t="s">
        <v>1279</v>
      </c>
      <c r="E272" s="27">
        <f t="shared" si="73"/>
        <v>0.7800115740756155</v>
      </c>
      <c r="F272" s="18" t="s">
        <v>97</v>
      </c>
      <c r="G272" s="30" t="str">
        <f t="shared" si="74"/>
        <v/>
      </c>
      <c r="H272" s="23" t="str">
        <f t="shared" si="75"/>
        <v/>
      </c>
      <c r="I272" s="33" t="str">
        <f>IF(F271='Données Hebdo'!A271, VLOOKUP(Feuil1!A272, 'Données Hebdo'!B:J, 8, FALSE), "")</f>
        <v/>
      </c>
      <c r="J272" s="27" t="str">
        <f t="shared" si="76"/>
        <v>11:54:33 à 12:16:48</v>
      </c>
      <c r="K272" s="27" t="str">
        <f t="shared" si="77"/>
        <v>2016-05-31 12:16:48</v>
      </c>
      <c r="L272" s="27">
        <f t="shared" si="78"/>
        <v>1.5451388884685002E-2</v>
      </c>
      <c r="M272" s="30">
        <f t="shared" si="79"/>
        <v>0.7800115740756155</v>
      </c>
      <c r="N272" s="18" t="str">
        <f t="shared" si="80"/>
        <v>BASE RAZEL OLEMBE - CARRIERE RAZEL NKOMETOU</v>
      </c>
      <c r="O272" s="18"/>
      <c r="P272" s="18"/>
    </row>
    <row r="273" spans="1:16">
      <c r="A273" s="43" t="s">
        <v>68</v>
      </c>
      <c r="B273" s="43" t="s">
        <v>42</v>
      </c>
      <c r="C273" s="43" t="s">
        <v>1280</v>
      </c>
      <c r="D273" s="43" t="s">
        <v>1281</v>
      </c>
      <c r="E273" s="27">
        <f t="shared" si="73"/>
        <v>0.20462962963210884</v>
      </c>
      <c r="F273" s="18" t="s">
        <v>97</v>
      </c>
      <c r="G273" s="30">
        <f t="shared" si="74"/>
        <v>1.5451388884685002E-2</v>
      </c>
      <c r="H273" s="23" t="str">
        <f t="shared" si="75"/>
        <v>BASE RAZEL OLEMBE - CARRIERE RAZEL NKOMETOU</v>
      </c>
      <c r="I273" s="33" t="str">
        <f>IF(F272='Données Hebdo'!A272, VLOOKUP(Feuil1!A273, 'Données Hebdo'!B:J, 8, FALSE), "")</f>
        <v/>
      </c>
      <c r="J273" s="27" t="str">
        <f t="shared" si="76"/>
        <v/>
      </c>
      <c r="K273" s="27" t="str">
        <f t="shared" si="77"/>
        <v/>
      </c>
      <c r="L273" s="27" t="str">
        <f t="shared" si="78"/>
        <v/>
      </c>
      <c r="M273" s="30" t="str">
        <f t="shared" si="79"/>
        <v/>
      </c>
      <c r="N273" s="18" t="str">
        <f t="shared" si="80"/>
        <v/>
      </c>
      <c r="O273" s="18"/>
      <c r="P273" s="18"/>
    </row>
    <row r="274" spans="1:16" ht="27.6">
      <c r="A274" s="43" t="s">
        <v>71</v>
      </c>
      <c r="B274" s="43" t="s">
        <v>42</v>
      </c>
      <c r="C274" s="43" t="s">
        <v>1181</v>
      </c>
      <c r="D274" s="43" t="s">
        <v>1182</v>
      </c>
      <c r="E274" s="27">
        <f t="shared" si="73"/>
        <v>0.60471064814191777</v>
      </c>
      <c r="F274" s="18" t="s">
        <v>97</v>
      </c>
      <c r="G274" s="30" t="str">
        <f t="shared" si="74"/>
        <v/>
      </c>
      <c r="H274" s="23" t="str">
        <f t="shared" si="75"/>
        <v/>
      </c>
      <c r="I274" s="33" t="str">
        <f>IF(F273='Données Hebdo'!A273, VLOOKUP(Feuil1!A274, 'Données Hebdo'!B:J, 8, FALSE), "")</f>
        <v/>
      </c>
      <c r="J274" s="27" t="str">
        <f t="shared" si="76"/>
        <v>08:38:55 à 09:32:41</v>
      </c>
      <c r="K274" s="27" t="str">
        <f t="shared" si="77"/>
        <v>2016-05-31 09:32:41</v>
      </c>
      <c r="L274" s="27">
        <f t="shared" si="78"/>
        <v>3.7337962967285421E-2</v>
      </c>
      <c r="M274" s="30">
        <f t="shared" si="79"/>
        <v>0.60471064814191777</v>
      </c>
      <c r="N274" s="18" t="str">
        <f t="shared" si="80"/>
        <v>CARRIERE RAZEL NKOMETOU - BASE RAZEL PREFECTURE</v>
      </c>
      <c r="O274" s="18"/>
      <c r="P274" s="18"/>
    </row>
    <row r="275" spans="1:16" ht="27.6">
      <c r="A275" s="43" t="s">
        <v>71</v>
      </c>
      <c r="B275" s="43" t="s">
        <v>197</v>
      </c>
      <c r="C275" s="43" t="s">
        <v>1282</v>
      </c>
      <c r="D275" s="43" t="s">
        <v>1283</v>
      </c>
      <c r="E275" s="27">
        <f t="shared" si="73"/>
        <v>5.1157407360733487E-3</v>
      </c>
      <c r="F275" s="18" t="s">
        <v>97</v>
      </c>
      <c r="G275" s="30">
        <f t="shared" si="74"/>
        <v>3.7337962967285421E-2</v>
      </c>
      <c r="H275" s="23" t="str">
        <f t="shared" si="75"/>
        <v>CARRIERE RAZEL NKOMETOU - BASE RAZEL PREFECTURE</v>
      </c>
      <c r="I275" s="33" t="str">
        <f>IF(F274='Données Hebdo'!A274, VLOOKUP(Feuil1!A275, 'Données Hebdo'!B:J, 8, FALSE), "")</f>
        <v/>
      </c>
      <c r="J275" s="27" t="str">
        <f t="shared" si="76"/>
        <v>09:40:03 à 10:25:31</v>
      </c>
      <c r="K275" s="27" t="str">
        <f t="shared" si="77"/>
        <v>2016-05-31 10:25:31</v>
      </c>
      <c r="L275" s="27">
        <f t="shared" si="78"/>
        <v>3.1574074077070691E-2</v>
      </c>
      <c r="M275" s="30">
        <f t="shared" si="79"/>
        <v>5.1157407360733487E-3</v>
      </c>
      <c r="N275" s="18" t="str">
        <f t="shared" si="80"/>
        <v>BASE RAZEL PREFECTURE - CARRIERE RAZEL NKOMETOU</v>
      </c>
      <c r="O275" s="18"/>
      <c r="P275" s="18"/>
    </row>
    <row r="276" spans="1:16" ht="27.6">
      <c r="A276" s="43" t="s">
        <v>71</v>
      </c>
      <c r="B276" s="43" t="s">
        <v>42</v>
      </c>
      <c r="C276" s="43" t="s">
        <v>1284</v>
      </c>
      <c r="D276" s="43" t="s">
        <v>1285</v>
      </c>
      <c r="E276" s="27">
        <f t="shared" si="73"/>
        <v>7.7800925922929309E-2</v>
      </c>
      <c r="F276" s="18" t="s">
        <v>97</v>
      </c>
      <c r="G276" s="30">
        <f t="shared" si="74"/>
        <v>3.1574074077070691E-2</v>
      </c>
      <c r="H276" s="23" t="str">
        <f t="shared" si="75"/>
        <v>BASE RAZEL PREFECTURE - CARRIERE RAZEL NKOMETOU</v>
      </c>
      <c r="I276" s="33" t="str">
        <f>IF(F275='Données Hebdo'!A275, VLOOKUP(Feuil1!A276, 'Données Hebdo'!B:J, 8, FALSE), "")</f>
        <v/>
      </c>
      <c r="J276" s="27" t="str">
        <f t="shared" si="76"/>
        <v>12:17:33 à 13:06:18</v>
      </c>
      <c r="K276" s="27" t="str">
        <f t="shared" si="77"/>
        <v>2016-05-31 13:06:18</v>
      </c>
      <c r="L276" s="27">
        <f t="shared" si="78"/>
        <v>3.3854166671517305E-2</v>
      </c>
      <c r="M276" s="30">
        <f t="shared" si="79"/>
        <v>7.7800925922929309E-2</v>
      </c>
      <c r="N276" s="18" t="str">
        <f t="shared" si="80"/>
        <v>CARRIERE RAZEL NKOMETOU - BASE RAZEL PREFECTURE</v>
      </c>
      <c r="O276" s="18"/>
      <c r="P276" s="18"/>
    </row>
    <row r="277" spans="1:16" ht="27.6">
      <c r="A277" s="43" t="s">
        <v>71</v>
      </c>
      <c r="B277" s="43" t="s">
        <v>197</v>
      </c>
      <c r="C277" s="43" t="s">
        <v>1286</v>
      </c>
      <c r="D277" s="43" t="s">
        <v>1287</v>
      </c>
      <c r="E277" s="27">
        <f t="shared" si="73"/>
        <v>1.4722222222189885E-2</v>
      </c>
      <c r="F277" s="18" t="s">
        <v>97</v>
      </c>
      <c r="G277" s="30">
        <f t="shared" si="74"/>
        <v>3.3854166671517305E-2</v>
      </c>
      <c r="H277" s="23" t="str">
        <f t="shared" si="75"/>
        <v>CARRIERE RAZEL NKOMETOU - BASE RAZEL PREFECTURE</v>
      </c>
      <c r="I277" s="33" t="str">
        <f>IF(F276='Données Hebdo'!A276, VLOOKUP(Feuil1!A277, 'Données Hebdo'!B:J, 8, FALSE), "")</f>
        <v/>
      </c>
      <c r="J277" s="27" t="str">
        <f t="shared" si="76"/>
        <v>13:27:30 à 14:03:04</v>
      </c>
      <c r="K277" s="27" t="str">
        <f t="shared" si="77"/>
        <v>2016-05-31 14:03:04</v>
      </c>
      <c r="L277" s="27">
        <f t="shared" si="78"/>
        <v>2.4699074070667848E-2</v>
      </c>
      <c r="M277" s="30">
        <f t="shared" si="79"/>
        <v>1.4722222222189885E-2</v>
      </c>
      <c r="N277" s="18" t="str">
        <f t="shared" si="80"/>
        <v>BASE RAZEL PREFECTURE - CARRIERE RAZEL NKOMETOU</v>
      </c>
      <c r="O277" s="18"/>
      <c r="P277" s="18"/>
    </row>
    <row r="278" spans="1:16">
      <c r="A278" s="43" t="s">
        <v>71</v>
      </c>
      <c r="B278" s="43" t="s">
        <v>42</v>
      </c>
      <c r="C278" s="43" t="s">
        <v>1288</v>
      </c>
      <c r="D278" s="43" t="s">
        <v>1289</v>
      </c>
      <c r="E278" s="27">
        <f t="shared" si="73"/>
        <v>2.9004629628616385E-2</v>
      </c>
      <c r="F278" s="18" t="s">
        <v>97</v>
      </c>
      <c r="G278" s="30">
        <f t="shared" si="74"/>
        <v>2.4699074070667848E-2</v>
      </c>
      <c r="H278" s="23" t="str">
        <f t="shared" si="75"/>
        <v>BASE RAZEL PREFECTURE - CARRIERE RAZEL NKOMETOU</v>
      </c>
      <c r="I278" s="33" t="str">
        <f>IF(F277='Données Hebdo'!A277, VLOOKUP(Feuil1!A278, 'Données Hebdo'!B:J, 8, FALSE), "")</f>
        <v/>
      </c>
      <c r="J278" s="27" t="str">
        <f t="shared" si="76"/>
        <v/>
      </c>
      <c r="K278" s="27" t="str">
        <f t="shared" si="77"/>
        <v/>
      </c>
      <c r="L278" s="27" t="str">
        <f t="shared" si="78"/>
        <v/>
      </c>
      <c r="M278" s="30" t="str">
        <f t="shared" si="79"/>
        <v/>
      </c>
      <c r="N278" s="18" t="str">
        <f t="shared" si="80"/>
        <v/>
      </c>
      <c r="O278" s="18"/>
      <c r="P278" s="18"/>
    </row>
    <row r="279" spans="1:16" ht="27.6">
      <c r="A279" s="43" t="s">
        <v>73</v>
      </c>
      <c r="B279" s="43" t="s">
        <v>55</v>
      </c>
      <c r="C279" s="43" t="s">
        <v>1191</v>
      </c>
      <c r="D279" s="43" t="s">
        <v>1192</v>
      </c>
      <c r="E279" s="27">
        <f t="shared" si="73"/>
        <v>0.57612268519005738</v>
      </c>
      <c r="F279" s="18" t="s">
        <v>97</v>
      </c>
      <c r="G279" s="30" t="str">
        <f t="shared" si="74"/>
        <v/>
      </c>
      <c r="H279" s="23" t="str">
        <f t="shared" si="75"/>
        <v/>
      </c>
      <c r="I279" s="33" t="str">
        <f>IF(F278='Données Hebdo'!A278, VLOOKUP(Feuil1!A279, 'Données Hebdo'!B:J, 8, FALSE), "")</f>
        <v/>
      </c>
      <c r="J279" s="27" t="str">
        <f t="shared" si="76"/>
        <v>08:28:33 à 09:31:24</v>
      </c>
      <c r="K279" s="27" t="str">
        <f t="shared" si="77"/>
        <v>2016-05-31 09:31:24</v>
      </c>
      <c r="L279" s="27">
        <f t="shared" si="78"/>
        <v>4.3645833327900618E-2</v>
      </c>
      <c r="M279" s="30">
        <f t="shared" si="79"/>
        <v>0.57612268519005738</v>
      </c>
      <c r="N279" s="18" t="str">
        <f t="shared" si="80"/>
        <v>CARRIERE LOGBADJECK - DEPOT RAZEL YASSA</v>
      </c>
      <c r="O279" s="18"/>
      <c r="P279" s="18"/>
    </row>
    <row r="280" spans="1:16" ht="27.6">
      <c r="A280" s="43" t="s">
        <v>73</v>
      </c>
      <c r="B280" s="43" t="s">
        <v>56</v>
      </c>
      <c r="C280" s="43" t="s">
        <v>1290</v>
      </c>
      <c r="D280" s="43" t="s">
        <v>1291</v>
      </c>
      <c r="E280" s="27">
        <f t="shared" si="73"/>
        <v>9.1666666703531519E-3</v>
      </c>
      <c r="F280" s="18" t="s">
        <v>97</v>
      </c>
      <c r="G280" s="30">
        <f t="shared" si="74"/>
        <v>4.3645833327900618E-2</v>
      </c>
      <c r="H280" s="23" t="str">
        <f t="shared" si="75"/>
        <v>CARRIERE LOGBADJECK - DEPOT RAZEL YASSA</v>
      </c>
      <c r="I280" s="33" t="str">
        <f>IF(F279='Données Hebdo'!A279, VLOOKUP(Feuil1!A280, 'Données Hebdo'!B:J, 8, FALSE), "")</f>
        <v/>
      </c>
      <c r="J280" s="27" t="str">
        <f t="shared" si="76"/>
        <v>09:44:36 à 10:43:00</v>
      </c>
      <c r="K280" s="27" t="str">
        <f t="shared" si="77"/>
        <v>2016-05-31 10:43:00</v>
      </c>
      <c r="L280" s="27">
        <f t="shared" si="78"/>
        <v>4.0555555555329192E-2</v>
      </c>
      <c r="M280" s="30">
        <f t="shared" si="79"/>
        <v>9.1666666703531519E-3</v>
      </c>
      <c r="N280" s="18" t="str">
        <f t="shared" si="80"/>
        <v>DEPOT RAZEL YASSA - CARRIERE LOGBADJECK</v>
      </c>
      <c r="O280" s="18"/>
      <c r="P280" s="18"/>
    </row>
    <row r="281" spans="1:16" ht="27.6">
      <c r="A281" s="43" t="s">
        <v>73</v>
      </c>
      <c r="B281" s="43" t="s">
        <v>55</v>
      </c>
      <c r="C281" s="43" t="s">
        <v>1292</v>
      </c>
      <c r="D281" s="43" t="s">
        <v>1293</v>
      </c>
      <c r="E281" s="27">
        <f t="shared" si="73"/>
        <v>2.7476851850224193E-2</v>
      </c>
      <c r="F281" s="18" t="s">
        <v>97</v>
      </c>
      <c r="G281" s="30">
        <f t="shared" si="74"/>
        <v>4.0555555555329192E-2</v>
      </c>
      <c r="H281" s="23" t="str">
        <f t="shared" si="75"/>
        <v>DEPOT RAZEL YASSA - CARRIERE LOGBADJECK</v>
      </c>
      <c r="I281" s="33" t="str">
        <f>IF(F280='Données Hebdo'!A280, VLOOKUP(Feuil1!A281, 'Données Hebdo'!B:J, 8, FALSE), "")</f>
        <v/>
      </c>
      <c r="J281" s="27" t="str">
        <f t="shared" si="76"/>
        <v>11:22:34 à 12:25:16</v>
      </c>
      <c r="K281" s="27" t="str">
        <f t="shared" si="77"/>
        <v>2016-05-31 12:25:16</v>
      </c>
      <c r="L281" s="27">
        <f t="shared" si="78"/>
        <v>4.3541666665987577E-2</v>
      </c>
      <c r="M281" s="30">
        <f t="shared" si="79"/>
        <v>2.7476851850224193E-2</v>
      </c>
      <c r="N281" s="18" t="str">
        <f t="shared" si="80"/>
        <v>CARRIERE LOGBADJECK - DEPOT RAZEL YASSA</v>
      </c>
      <c r="O281" s="18"/>
      <c r="P281" s="18"/>
    </row>
    <row r="282" spans="1:16" ht="27.6">
      <c r="A282" s="43" t="s">
        <v>73</v>
      </c>
      <c r="B282" s="43" t="s">
        <v>56</v>
      </c>
      <c r="C282" s="43" t="s">
        <v>1294</v>
      </c>
      <c r="D282" s="43" t="s">
        <v>1295</v>
      </c>
      <c r="E282" s="27">
        <f t="shared" si="73"/>
        <v>1.1192129633855075E-2</v>
      </c>
      <c r="F282" s="18" t="s">
        <v>97</v>
      </c>
      <c r="G282" s="30">
        <f t="shared" si="74"/>
        <v>4.3541666665987577E-2</v>
      </c>
      <c r="H282" s="23" t="str">
        <f t="shared" si="75"/>
        <v>CARRIERE LOGBADJECK - DEPOT RAZEL YASSA</v>
      </c>
      <c r="I282" s="33" t="str">
        <f>IF(F281='Données Hebdo'!A281, VLOOKUP(Feuil1!A282, 'Données Hebdo'!B:J, 8, FALSE), "")</f>
        <v/>
      </c>
      <c r="J282" s="27" t="str">
        <f t="shared" si="76"/>
        <v>12:41:23 à 13:36:33</v>
      </c>
      <c r="K282" s="27" t="str">
        <f t="shared" si="77"/>
        <v>2016-05-31 13:36:33</v>
      </c>
      <c r="L282" s="27">
        <f t="shared" si="78"/>
        <v>3.8310185183945578E-2</v>
      </c>
      <c r="M282" s="30">
        <f t="shared" si="79"/>
        <v>1.1192129633855075E-2</v>
      </c>
      <c r="N282" s="18" t="str">
        <f t="shared" si="80"/>
        <v>DEPOT RAZEL YASSA - CARRIERE LOGBADJECK</v>
      </c>
      <c r="O282" s="18"/>
      <c r="P282" s="18"/>
    </row>
    <row r="283" spans="1:16" ht="27.6">
      <c r="A283" s="43" t="s">
        <v>73</v>
      </c>
      <c r="B283" s="43" t="s">
        <v>55</v>
      </c>
      <c r="C283" s="43" t="s">
        <v>1296</v>
      </c>
      <c r="D283" s="43" t="s">
        <v>1297</v>
      </c>
      <c r="E283" s="27">
        <f t="shared" si="73"/>
        <v>3.4548611110949423E-2</v>
      </c>
      <c r="F283" s="18" t="s">
        <v>97</v>
      </c>
      <c r="G283" s="30">
        <f t="shared" si="74"/>
        <v>3.8310185183945578E-2</v>
      </c>
      <c r="H283" s="23" t="str">
        <f t="shared" si="75"/>
        <v>DEPOT RAZEL YASSA - CARRIERE LOGBADJECK</v>
      </c>
      <c r="I283" s="33" t="str">
        <f>IF(F282='Données Hebdo'!A282, VLOOKUP(Feuil1!A283, 'Données Hebdo'!B:J, 8, FALSE), "")</f>
        <v/>
      </c>
      <c r="J283" s="27" t="str">
        <f t="shared" si="76"/>
        <v>14:26:18 à 15:24:42</v>
      </c>
      <c r="K283" s="27" t="str">
        <f t="shared" si="77"/>
        <v>2016-05-31 15:24:42</v>
      </c>
      <c r="L283" s="27">
        <f t="shared" si="78"/>
        <v>4.0555555555329192E-2</v>
      </c>
      <c r="M283" s="30">
        <f t="shared" si="79"/>
        <v>3.4548611110949423E-2</v>
      </c>
      <c r="N283" s="18" t="str">
        <f t="shared" si="80"/>
        <v>CARRIERE LOGBADJECK - DEPOT RAZEL YASSA</v>
      </c>
      <c r="O283" s="18"/>
      <c r="P283" s="18"/>
    </row>
    <row r="284" spans="1:16" ht="27.6">
      <c r="A284" s="43" t="s">
        <v>73</v>
      </c>
      <c r="B284" s="43" t="s">
        <v>56</v>
      </c>
      <c r="C284" s="43" t="s">
        <v>1298</v>
      </c>
      <c r="D284" s="43" t="s">
        <v>1299</v>
      </c>
      <c r="E284" s="27">
        <f t="shared" si="73"/>
        <v>6.9097222221898846E-3</v>
      </c>
      <c r="F284" s="18" t="s">
        <v>97</v>
      </c>
      <c r="G284" s="30">
        <f t="shared" si="74"/>
        <v>4.0555555555329192E-2</v>
      </c>
      <c r="H284" s="23" t="str">
        <f t="shared" si="75"/>
        <v>CARRIERE LOGBADJECK - DEPOT RAZEL YASSA</v>
      </c>
      <c r="I284" s="33" t="str">
        <f>IF(F283='Données Hebdo'!A283, VLOOKUP(Feuil1!A284, 'Données Hebdo'!B:J, 8, FALSE), "")</f>
        <v/>
      </c>
      <c r="J284" s="27" t="str">
        <f t="shared" si="76"/>
        <v>15:34:39 à 16:27:40</v>
      </c>
      <c r="K284" s="27" t="str">
        <f t="shared" si="77"/>
        <v>2016-05-31 16:27:40</v>
      </c>
      <c r="L284" s="27">
        <f t="shared" si="78"/>
        <v>3.6817129628616385E-2</v>
      </c>
      <c r="M284" s="30">
        <f t="shared" si="79"/>
        <v>6.9097222221898846E-3</v>
      </c>
      <c r="N284" s="18" t="str">
        <f t="shared" si="80"/>
        <v>DEPOT RAZEL YASSA - CARRIERE LOGBADJECK</v>
      </c>
      <c r="O284" s="18"/>
      <c r="P284" s="18"/>
    </row>
    <row r="285" spans="1:16" ht="27.6">
      <c r="A285" s="43" t="s">
        <v>73</v>
      </c>
      <c r="B285" s="43" t="s">
        <v>55</v>
      </c>
      <c r="C285" s="43" t="s">
        <v>1300</v>
      </c>
      <c r="D285" s="43" t="s">
        <v>1301</v>
      </c>
      <c r="E285" s="27">
        <f t="shared" si="73"/>
        <v>1.8564814818091691E-2</v>
      </c>
      <c r="F285" s="18" t="s">
        <v>97</v>
      </c>
      <c r="G285" s="30">
        <f t="shared" si="74"/>
        <v>3.6817129628616385E-2</v>
      </c>
      <c r="H285" s="23" t="str">
        <f t="shared" si="75"/>
        <v>DEPOT RAZEL YASSA - CARRIERE LOGBADJECK</v>
      </c>
      <c r="I285" s="33" t="str">
        <f>IF(F284='Données Hebdo'!A284, VLOOKUP(Feuil1!A285, 'Données Hebdo'!B:J, 8, FALSE), "")</f>
        <v/>
      </c>
      <c r="J285" s="27" t="str">
        <f t="shared" si="76"/>
        <v>16:54:24 à 17:45:40</v>
      </c>
      <c r="K285" s="27" t="str">
        <f t="shared" si="77"/>
        <v>2016-05-31 17:45:40</v>
      </c>
      <c r="L285" s="27">
        <f t="shared" si="78"/>
        <v>3.5601851850515231E-2</v>
      </c>
      <c r="M285" s="30">
        <f t="shared" si="79"/>
        <v>1.8564814818091691E-2</v>
      </c>
      <c r="N285" s="18" t="str">
        <f t="shared" si="80"/>
        <v>CARRIERE LOGBADJECK - DEPOT RAZEL YASSA</v>
      </c>
      <c r="O285" s="18"/>
      <c r="P285" s="18"/>
    </row>
    <row r="286" spans="1:16" ht="27.6">
      <c r="A286" s="43" t="s">
        <v>73</v>
      </c>
      <c r="B286" s="43" t="s">
        <v>56</v>
      </c>
      <c r="C286" s="43" t="s">
        <v>1302</v>
      </c>
      <c r="D286" s="43" t="s">
        <v>1303</v>
      </c>
      <c r="E286" s="27">
        <f t="shared" si="73"/>
        <v>2.9398148108157329E-3</v>
      </c>
      <c r="F286" s="18" t="s">
        <v>97</v>
      </c>
      <c r="G286" s="30">
        <f t="shared" si="74"/>
        <v>3.5601851850515231E-2</v>
      </c>
      <c r="H286" s="23" t="str">
        <f t="shared" si="75"/>
        <v>CARRIERE LOGBADJECK - DEPOT RAZEL YASSA</v>
      </c>
      <c r="I286" s="33" t="str">
        <f>IF(F285='Données Hebdo'!A285, VLOOKUP(Feuil1!A286, 'Données Hebdo'!B:J, 8, FALSE), "")</f>
        <v/>
      </c>
      <c r="J286" s="27" t="str">
        <f t="shared" si="76"/>
        <v>17:49:54 à 18:39:40</v>
      </c>
      <c r="K286" s="27" t="str">
        <f t="shared" si="77"/>
        <v>2016-05-31 18:39:40</v>
      </c>
      <c r="L286" s="27">
        <f t="shared" si="78"/>
        <v>3.4560185187729076E-2</v>
      </c>
      <c r="M286" s="30">
        <f t="shared" si="79"/>
        <v>2.9398148108157329E-3</v>
      </c>
      <c r="N286" s="18" t="str">
        <f t="shared" si="80"/>
        <v>DEPOT RAZEL YASSA - CARRIERE LOGBADJECK</v>
      </c>
      <c r="O286" s="18"/>
      <c r="P286" s="18"/>
    </row>
    <row r="287" spans="1:16">
      <c r="A287" s="43" t="s">
        <v>73</v>
      </c>
      <c r="B287" s="43" t="s">
        <v>55</v>
      </c>
      <c r="C287" s="43" t="s">
        <v>1304</v>
      </c>
      <c r="D287" s="43" t="s">
        <v>1305</v>
      </c>
      <c r="E287" s="27">
        <f t="shared" si="73"/>
        <v>0.56104166666773381</v>
      </c>
      <c r="F287" s="18" t="s">
        <v>97</v>
      </c>
      <c r="G287" s="30">
        <f t="shared" si="74"/>
        <v>3.4560185187729076E-2</v>
      </c>
      <c r="H287" s="23" t="str">
        <f t="shared" si="75"/>
        <v>DEPOT RAZEL YASSA - CARRIERE LOGBADJECK</v>
      </c>
      <c r="I287" s="33" t="str">
        <f>IF(F286='Données Hebdo'!A286, VLOOKUP(Feuil1!A287, 'Données Hebdo'!B:J, 8, FALSE), "")</f>
        <v/>
      </c>
      <c r="J287" s="27" t="str">
        <f t="shared" si="76"/>
        <v/>
      </c>
      <c r="K287" s="27" t="str">
        <f t="shared" si="77"/>
        <v/>
      </c>
      <c r="L287" s="27" t="str">
        <f t="shared" si="78"/>
        <v/>
      </c>
      <c r="M287" s="30" t="str">
        <f t="shared" si="79"/>
        <v/>
      </c>
      <c r="N287" s="18" t="str">
        <f t="shared" si="80"/>
        <v/>
      </c>
      <c r="O287" s="18"/>
      <c r="P287" s="18"/>
    </row>
    <row r="288" spans="1:16" ht="27.6">
      <c r="A288" s="43" t="s">
        <v>75</v>
      </c>
      <c r="B288" s="43" t="s">
        <v>197</v>
      </c>
      <c r="C288" s="43" t="s">
        <v>1306</v>
      </c>
      <c r="D288" s="43" t="s">
        <v>1307</v>
      </c>
      <c r="E288" s="27">
        <f t="shared" si="73"/>
        <v>0.62276620370539604</v>
      </c>
      <c r="F288" s="18" t="s">
        <v>97</v>
      </c>
      <c r="G288" s="30" t="str">
        <f t="shared" si="74"/>
        <v/>
      </c>
      <c r="H288" s="23" t="str">
        <f t="shared" si="75"/>
        <v/>
      </c>
      <c r="I288" s="33" t="str">
        <f>IF(F287='Données Hebdo'!A287, VLOOKUP(Feuil1!A288, 'Données Hebdo'!B:J, 8, FALSE), "")</f>
        <v/>
      </c>
      <c r="J288" s="27" t="str">
        <f t="shared" si="76"/>
        <v>12:14:58 à 18:20:35</v>
      </c>
      <c r="K288" s="27" t="str">
        <f t="shared" si="77"/>
        <v>2016-05-31 18:20:35</v>
      </c>
      <c r="L288" s="27">
        <f t="shared" si="78"/>
        <v>0.25390046296524815</v>
      </c>
      <c r="M288" s="30">
        <f t="shared" si="79"/>
        <v>0.62276620370539604</v>
      </c>
      <c r="N288" s="18" t="str">
        <f t="shared" si="80"/>
        <v>BASE RAZEL PREFECTURE - CARRIERE LOGBADJECK</v>
      </c>
      <c r="O288" s="18"/>
      <c r="P288" s="18"/>
    </row>
    <row r="289" spans="1:16">
      <c r="A289" s="43" t="s">
        <v>75</v>
      </c>
      <c r="B289" s="43" t="s">
        <v>55</v>
      </c>
      <c r="C289" s="43" t="s">
        <v>1308</v>
      </c>
      <c r="D289" s="43" t="s">
        <v>1309</v>
      </c>
      <c r="E289" s="27">
        <f t="shared" si="73"/>
        <v>0.58655092592380242</v>
      </c>
      <c r="F289" s="18" t="s">
        <v>97</v>
      </c>
      <c r="G289" s="30">
        <f t="shared" si="74"/>
        <v>0.25390046296524815</v>
      </c>
      <c r="H289" s="23" t="str">
        <f t="shared" si="75"/>
        <v>BASE RAZEL PREFECTURE - CARRIERE LOGBADJECK</v>
      </c>
      <c r="I289" s="33" t="str">
        <f>IF(F288='Données Hebdo'!A288, VLOOKUP(Feuil1!A289, 'Données Hebdo'!B:J, 8, FALSE), "")</f>
        <v/>
      </c>
      <c r="J289" s="27" t="str">
        <f t="shared" si="76"/>
        <v/>
      </c>
      <c r="K289" s="27" t="str">
        <f t="shared" si="77"/>
        <v/>
      </c>
      <c r="L289" s="27" t="str">
        <f t="shared" si="78"/>
        <v/>
      </c>
      <c r="M289" s="30" t="str">
        <f t="shared" si="79"/>
        <v/>
      </c>
      <c r="N289" s="18" t="str">
        <f t="shared" si="80"/>
        <v/>
      </c>
      <c r="O289" s="18"/>
      <c r="P289" s="18"/>
    </row>
    <row r="290" spans="1:16" ht="27.6">
      <c r="A290" s="43" t="s">
        <v>76</v>
      </c>
      <c r="B290" s="43" t="s">
        <v>58</v>
      </c>
      <c r="C290" s="43" t="s">
        <v>1193</v>
      </c>
      <c r="D290" s="43" t="s">
        <v>1194</v>
      </c>
      <c r="E290" s="27">
        <f t="shared" si="73"/>
        <v>2.7751388888864312</v>
      </c>
      <c r="F290" s="18" t="s">
        <v>97</v>
      </c>
      <c r="G290" s="30" t="str">
        <f t="shared" si="74"/>
        <v/>
      </c>
      <c r="H290" s="23" t="str">
        <f t="shared" si="75"/>
        <v/>
      </c>
      <c r="I290" s="33" t="str">
        <f>IF(F289='Données Hebdo'!A289, VLOOKUP(Feuil1!A290, 'Données Hebdo'!B:J, 8, FALSE), "")</f>
        <v/>
      </c>
      <c r="J290" s="27" t="str">
        <f t="shared" si="76"/>
        <v>08:31:02 à 13:45:48</v>
      </c>
      <c r="K290" s="27" t="str">
        <f t="shared" si="77"/>
        <v>2016-05-31 13:45:48</v>
      </c>
      <c r="L290" s="27">
        <f t="shared" si="78"/>
        <v>0.21858796296146465</v>
      </c>
      <c r="M290" s="30">
        <f t="shared" si="79"/>
        <v>2.7751388888864312</v>
      </c>
      <c r="N290" s="18" t="str">
        <f t="shared" si="80"/>
        <v>BASE RAZEL WOURI - BASE RAZEL WOURI</v>
      </c>
      <c r="O290" s="18"/>
      <c r="P290" s="18"/>
    </row>
    <row r="291" spans="1:16">
      <c r="A291" s="43" t="s">
        <v>76</v>
      </c>
      <c r="B291" s="43" t="s">
        <v>58</v>
      </c>
      <c r="C291" s="43" t="s">
        <v>1310</v>
      </c>
      <c r="D291" s="43" t="s">
        <v>1311</v>
      </c>
      <c r="E291" s="27">
        <f t="shared" si="73"/>
        <v>0.1159027777830488</v>
      </c>
      <c r="F291" s="18" t="s">
        <v>97</v>
      </c>
      <c r="G291" s="30">
        <f t="shared" si="74"/>
        <v>0.21858796296146465</v>
      </c>
      <c r="H291" s="23" t="str">
        <f t="shared" si="75"/>
        <v>BASE RAZEL WOURI - BASE RAZEL WOURI</v>
      </c>
      <c r="I291" s="33" t="str">
        <f>IF(F290='Données Hebdo'!A290, VLOOKUP(Feuil1!A291, 'Données Hebdo'!B:J, 8, FALSE), "")</f>
        <v/>
      </c>
      <c r="J291" s="27" t="str">
        <f t="shared" si="76"/>
        <v/>
      </c>
      <c r="K291" s="27" t="str">
        <f t="shared" si="77"/>
        <v/>
      </c>
      <c r="L291" s="27" t="str">
        <f t="shared" si="78"/>
        <v/>
      </c>
      <c r="M291" s="30" t="str">
        <f t="shared" si="79"/>
        <v/>
      </c>
      <c r="N291" s="18" t="str">
        <f t="shared" si="80"/>
        <v/>
      </c>
      <c r="O291" s="18"/>
      <c r="P291" s="18"/>
    </row>
    <row r="292" spans="1:16" ht="27.6">
      <c r="A292" s="43" t="s">
        <v>79</v>
      </c>
      <c r="B292" s="43" t="s">
        <v>53</v>
      </c>
      <c r="C292" s="43" t="s">
        <v>1312</v>
      </c>
      <c r="D292" s="43" t="s">
        <v>1313</v>
      </c>
      <c r="E292" s="27">
        <f t="shared" si="73"/>
        <v>0.86417824074305827</v>
      </c>
      <c r="F292" s="18" t="s">
        <v>97</v>
      </c>
      <c r="G292" s="30" t="str">
        <f t="shared" si="74"/>
        <v/>
      </c>
      <c r="H292" s="23" t="str">
        <f t="shared" si="75"/>
        <v/>
      </c>
      <c r="I292" s="33" t="str">
        <f>IF(F291='Données Hebdo'!A291, VLOOKUP(Feuil1!A292, 'Données Hebdo'!B:J, 8, FALSE), "")</f>
        <v/>
      </c>
      <c r="J292" s="27" t="str">
        <f t="shared" si="76"/>
        <v>09:27:47 à 11:06:02</v>
      </c>
      <c r="K292" s="27" t="str">
        <f t="shared" si="77"/>
        <v>2016-05-31 11:06:02</v>
      </c>
      <c r="L292" s="27">
        <f t="shared" si="78"/>
        <v>6.8229166667151731E-2</v>
      </c>
      <c r="M292" s="30">
        <f t="shared" si="79"/>
        <v>0.86417824074305827</v>
      </c>
      <c r="N292" s="18" t="str">
        <f t="shared" si="80"/>
        <v>BASE RAZEL AEROPORT - BASE RAZEL WOURI</v>
      </c>
      <c r="O292" s="18"/>
      <c r="P292" s="18"/>
    </row>
    <row r="293" spans="1:16" ht="27.6">
      <c r="A293" s="43" t="s">
        <v>79</v>
      </c>
      <c r="B293" s="43" t="s">
        <v>58</v>
      </c>
      <c r="C293" s="43" t="s">
        <v>1314</v>
      </c>
      <c r="D293" s="43" t="s">
        <v>1315</v>
      </c>
      <c r="E293" s="27">
        <f t="shared" si="73"/>
        <v>8.1967592595901806E-2</v>
      </c>
      <c r="F293" s="18" t="s">
        <v>97</v>
      </c>
      <c r="G293" s="30">
        <f t="shared" si="74"/>
        <v>6.8229166667151731E-2</v>
      </c>
      <c r="H293" s="23" t="str">
        <f t="shared" si="75"/>
        <v>BASE RAZEL AEROPORT - BASE RAZEL WOURI</v>
      </c>
      <c r="I293" s="33" t="str">
        <f>IF(F292='Données Hebdo'!A292, VLOOKUP(Feuil1!A293, 'Données Hebdo'!B:J, 8, FALSE), "")</f>
        <v/>
      </c>
      <c r="J293" s="27" t="str">
        <f t="shared" si="76"/>
        <v>13:04:04 à 13:23:12</v>
      </c>
      <c r="K293" s="27" t="str">
        <f t="shared" si="77"/>
        <v>2016-05-31 13:23:12</v>
      </c>
      <c r="L293" s="27">
        <f t="shared" si="78"/>
        <v>1.3287037036207039E-2</v>
      </c>
      <c r="M293" s="30">
        <f t="shared" si="79"/>
        <v>8.1967592595901806E-2</v>
      </c>
      <c r="N293" s="18" t="str">
        <f t="shared" si="80"/>
        <v>BASE RAZEL WOURI - BASE RAZEL AEROPORT</v>
      </c>
      <c r="O293" s="18"/>
      <c r="P293" s="18"/>
    </row>
    <row r="294" spans="1:16">
      <c r="A294" s="43" t="s">
        <v>79</v>
      </c>
      <c r="B294" s="43" t="s">
        <v>53</v>
      </c>
      <c r="C294" s="43" t="s">
        <v>1316</v>
      </c>
      <c r="D294" s="43" t="s">
        <v>1317</v>
      </c>
      <c r="E294" s="27">
        <f t="shared" si="73"/>
        <v>0.80013888888788642</v>
      </c>
      <c r="F294" s="18" t="s">
        <v>97</v>
      </c>
      <c r="G294" s="30">
        <f t="shared" si="74"/>
        <v>1.3287037036207039E-2</v>
      </c>
      <c r="H294" s="23" t="str">
        <f t="shared" si="75"/>
        <v>BASE RAZEL WOURI - BASE RAZEL AEROPORT</v>
      </c>
      <c r="I294" s="33" t="str">
        <f>IF(F293='Données Hebdo'!A293, VLOOKUP(Feuil1!A294, 'Données Hebdo'!B:J, 8, FALSE), "")</f>
        <v/>
      </c>
      <c r="J294" s="27" t="str">
        <f t="shared" si="76"/>
        <v/>
      </c>
      <c r="K294" s="27" t="str">
        <f t="shared" si="77"/>
        <v/>
      </c>
      <c r="L294" s="27" t="str">
        <f t="shared" si="78"/>
        <v/>
      </c>
      <c r="M294" s="30" t="str">
        <f t="shared" si="79"/>
        <v/>
      </c>
      <c r="N294" s="18" t="str">
        <f t="shared" si="80"/>
        <v/>
      </c>
      <c r="O294" s="18"/>
      <c r="P294" s="18"/>
    </row>
    <row r="295" spans="1:16" ht="27.6">
      <c r="A295" s="43" t="s">
        <v>80</v>
      </c>
      <c r="B295" s="43" t="s">
        <v>56</v>
      </c>
      <c r="C295" s="43" t="s">
        <v>1318</v>
      </c>
      <c r="D295" s="43" t="s">
        <v>1319</v>
      </c>
      <c r="E295" s="27">
        <f t="shared" si="73"/>
        <v>0.96697916666744277</v>
      </c>
      <c r="F295" s="18" t="s">
        <v>97</v>
      </c>
      <c r="G295" s="30" t="str">
        <f t="shared" si="74"/>
        <v/>
      </c>
      <c r="H295" s="23" t="str">
        <f t="shared" si="75"/>
        <v/>
      </c>
      <c r="I295" s="33" t="str">
        <f>IF(F294='Données Hebdo'!A294, VLOOKUP(Feuil1!A295, 'Données Hebdo'!B:J, 8, FALSE), "")</f>
        <v/>
      </c>
      <c r="J295" s="27" t="str">
        <f t="shared" si="76"/>
        <v>17:26:47 à 18:11:52</v>
      </c>
      <c r="K295" s="27" t="str">
        <f t="shared" si="77"/>
        <v>2016-05-31 18:11:52</v>
      </c>
      <c r="L295" s="27">
        <f t="shared" si="78"/>
        <v>3.1307870369346347E-2</v>
      </c>
      <c r="M295" s="30">
        <f t="shared" si="79"/>
        <v>0.96697916666744277</v>
      </c>
      <c r="N295" s="18" t="str">
        <f t="shared" si="80"/>
        <v>DEPOT RAZEL YASSA - BASE RAZEL AEROPORT</v>
      </c>
      <c r="O295" s="18"/>
      <c r="P295" s="18"/>
    </row>
    <row r="296" spans="1:16">
      <c r="A296" s="43" t="s">
        <v>80</v>
      </c>
      <c r="B296" s="43" t="s">
        <v>53</v>
      </c>
      <c r="C296" s="43" t="s">
        <v>1320</v>
      </c>
      <c r="D296" s="43" t="s">
        <v>1321</v>
      </c>
      <c r="E296" s="27">
        <f t="shared" si="73"/>
        <v>0.61283564814948477</v>
      </c>
      <c r="F296" s="18" t="s">
        <v>97</v>
      </c>
      <c r="G296" s="30">
        <f t="shared" si="74"/>
        <v>3.1307870369346347E-2</v>
      </c>
      <c r="H296" s="23" t="str">
        <f t="shared" si="75"/>
        <v>DEPOT RAZEL YASSA - BASE RAZEL AEROPORT</v>
      </c>
      <c r="I296" s="33" t="str">
        <f>IF(F295='Données Hebdo'!A295, VLOOKUP(Feuil1!A296, 'Données Hebdo'!B:J, 8, FALSE), "")</f>
        <v/>
      </c>
      <c r="J296" s="27" t="str">
        <f t="shared" si="76"/>
        <v/>
      </c>
      <c r="K296" s="27" t="str">
        <f t="shared" si="77"/>
        <v/>
      </c>
      <c r="L296" s="27" t="str">
        <f t="shared" si="78"/>
        <v/>
      </c>
      <c r="M296" s="30" t="str">
        <f t="shared" si="79"/>
        <v/>
      </c>
      <c r="N296" s="18" t="str">
        <f t="shared" si="80"/>
        <v/>
      </c>
      <c r="O296" s="18"/>
      <c r="P296" s="18"/>
    </row>
    <row r="297" spans="1:16" ht="27.6">
      <c r="A297" s="43" t="s">
        <v>82</v>
      </c>
      <c r="B297" s="43" t="s">
        <v>53</v>
      </c>
      <c r="C297" s="43" t="s">
        <v>1197</v>
      </c>
      <c r="D297" s="43" t="s">
        <v>1198</v>
      </c>
      <c r="E297" s="27">
        <f t="shared" si="73"/>
        <v>0.57793981481518131</v>
      </c>
      <c r="F297" s="18" t="s">
        <v>97</v>
      </c>
      <c r="G297" s="30" t="str">
        <f t="shared" si="74"/>
        <v/>
      </c>
      <c r="H297" s="23" t="str">
        <f t="shared" si="75"/>
        <v/>
      </c>
      <c r="I297" s="33" t="str">
        <f>IF(F296='Données Hebdo'!A296, VLOOKUP(Feuil1!A297, 'Données Hebdo'!B:J, 8, FALSE), "")</f>
        <v/>
      </c>
      <c r="J297" s="27" t="str">
        <f t="shared" si="76"/>
        <v>08:54:30 à 08:56:34</v>
      </c>
      <c r="K297" s="27" t="str">
        <f t="shared" si="77"/>
        <v>2016-05-31 08:56:34</v>
      </c>
      <c r="L297" s="27">
        <f t="shared" si="78"/>
        <v>1.4351851859828457E-3</v>
      </c>
      <c r="M297" s="30">
        <f t="shared" si="79"/>
        <v>0.57793981481518131</v>
      </c>
      <c r="N297" s="18" t="str">
        <f t="shared" si="80"/>
        <v>BASE RAZEL AEROPORT - AEROPORT DE DOUALA</v>
      </c>
      <c r="O297" s="18"/>
      <c r="P297" s="18"/>
    </row>
    <row r="298" spans="1:16" ht="27.6">
      <c r="A298" s="43" t="s">
        <v>82</v>
      </c>
      <c r="B298" s="43" t="s">
        <v>729</v>
      </c>
      <c r="C298" s="43" t="s">
        <v>1322</v>
      </c>
      <c r="D298" s="43" t="s">
        <v>1323</v>
      </c>
      <c r="E298" s="27">
        <f t="shared" si="73"/>
        <v>3.3564814657438546E-4</v>
      </c>
      <c r="F298" s="18" t="s">
        <v>97</v>
      </c>
      <c r="G298" s="30">
        <f t="shared" si="74"/>
        <v>1.4351851859828457E-3</v>
      </c>
      <c r="H298" s="23" t="str">
        <f t="shared" si="75"/>
        <v>BASE RAZEL AEROPORT - AEROPORT DE DOUALA</v>
      </c>
      <c r="I298" s="33" t="str">
        <f>IF(F297='Données Hebdo'!A297, VLOOKUP(Feuil1!A298, 'Données Hebdo'!B:J, 8, FALSE), "")</f>
        <v/>
      </c>
      <c r="J298" s="27" t="str">
        <f t="shared" si="76"/>
        <v>08:57:03 à 09:20:53</v>
      </c>
      <c r="K298" s="27" t="str">
        <f t="shared" si="77"/>
        <v>2016-05-31 09:20:53</v>
      </c>
      <c r="L298" s="27">
        <f t="shared" si="78"/>
        <v>1.6550925924093463E-2</v>
      </c>
      <c r="M298" s="30">
        <f t="shared" si="79"/>
        <v>3.3564814657438546E-4</v>
      </c>
      <c r="N298" s="18" t="str">
        <f t="shared" si="80"/>
        <v>AEROPORT DE DOUALA - BASE RAZEL WOURI</v>
      </c>
      <c r="O298" s="18"/>
      <c r="P298" s="18"/>
    </row>
    <row r="299" spans="1:16" ht="27.6">
      <c r="A299" s="43" t="s">
        <v>82</v>
      </c>
      <c r="B299" s="43" t="s">
        <v>58</v>
      </c>
      <c r="C299" s="43" t="s">
        <v>1324</v>
      </c>
      <c r="D299" s="43" t="s">
        <v>1325</v>
      </c>
      <c r="E299" s="27">
        <f t="shared" si="73"/>
        <v>3.4675925926421769E-2</v>
      </c>
      <c r="F299" s="18" t="s">
        <v>97</v>
      </c>
      <c r="G299" s="30">
        <f t="shared" si="74"/>
        <v>1.6550925924093463E-2</v>
      </c>
      <c r="H299" s="23" t="str">
        <f t="shared" si="75"/>
        <v>AEROPORT DE DOUALA - BASE RAZEL WOURI</v>
      </c>
      <c r="I299" s="33" t="str">
        <f>IF(F298='Données Hebdo'!A298, VLOOKUP(Feuil1!A299, 'Données Hebdo'!B:J, 8, FALSE), "")</f>
        <v/>
      </c>
      <c r="J299" s="27" t="str">
        <f t="shared" si="76"/>
        <v>10:10:49 à 11:22:38</v>
      </c>
      <c r="K299" s="27" t="str">
        <f t="shared" si="77"/>
        <v>2016-05-31 11:22:38</v>
      </c>
      <c r="L299" s="27">
        <f t="shared" si="78"/>
        <v>4.9872685187438037E-2</v>
      </c>
      <c r="M299" s="30">
        <f t="shared" si="79"/>
        <v>3.4675925926421769E-2</v>
      </c>
      <c r="N299" s="18" t="str">
        <f t="shared" si="80"/>
        <v>BASE RAZEL WOURI - AEROPORT DE DOUALA</v>
      </c>
      <c r="O299" s="18"/>
      <c r="P299" s="18"/>
    </row>
    <row r="300" spans="1:16" ht="27.6">
      <c r="A300" s="43" t="s">
        <v>82</v>
      </c>
      <c r="B300" s="43" t="s">
        <v>729</v>
      </c>
      <c r="C300" s="43" t="s">
        <v>1326</v>
      </c>
      <c r="D300" s="43" t="s">
        <v>1327</v>
      </c>
      <c r="E300" s="27">
        <f t="shared" si="73"/>
        <v>4.6296296204673126E-4</v>
      </c>
      <c r="F300" s="18" t="s">
        <v>97</v>
      </c>
      <c r="G300" s="30">
        <f t="shared" si="74"/>
        <v>4.9872685187438037E-2</v>
      </c>
      <c r="H300" s="23" t="str">
        <f t="shared" si="75"/>
        <v>BASE RAZEL WOURI - AEROPORT DE DOUALA</v>
      </c>
      <c r="I300" s="33" t="str">
        <f>IF(F299='Données Hebdo'!A299, VLOOKUP(Feuil1!A300, 'Données Hebdo'!B:J, 8, FALSE), "")</f>
        <v/>
      </c>
      <c r="J300" s="27" t="str">
        <f t="shared" si="76"/>
        <v>11:23:18 à 11:25:59</v>
      </c>
      <c r="K300" s="27" t="str">
        <f t="shared" si="77"/>
        <v>2016-05-31 11:25:59</v>
      </c>
      <c r="L300" s="27">
        <f t="shared" si="78"/>
        <v>1.8634259249665774E-3</v>
      </c>
      <c r="M300" s="30">
        <f t="shared" si="79"/>
        <v>4.6296296204673126E-4</v>
      </c>
      <c r="N300" s="18" t="str">
        <f t="shared" si="80"/>
        <v>AEROPORT DE DOUALA - BASE RAZEL AEROPORT</v>
      </c>
      <c r="O300" s="18"/>
      <c r="P300" s="18"/>
    </row>
    <row r="301" spans="1:16" ht="27.6">
      <c r="A301" s="43" t="s">
        <v>82</v>
      </c>
      <c r="B301" s="43" t="s">
        <v>53</v>
      </c>
      <c r="C301" s="43" t="s">
        <v>1328</v>
      </c>
      <c r="D301" s="43" t="s">
        <v>1329</v>
      </c>
      <c r="E301" s="27">
        <f t="shared" si="73"/>
        <v>2.6157407410209998E-2</v>
      </c>
      <c r="F301" s="18" t="s">
        <v>97</v>
      </c>
      <c r="G301" s="30">
        <f t="shared" si="74"/>
        <v>1.8634259249665774E-3</v>
      </c>
      <c r="H301" s="23" t="str">
        <f t="shared" si="75"/>
        <v>AEROPORT DE DOUALA - BASE RAZEL AEROPORT</v>
      </c>
      <c r="I301" s="33" t="str">
        <f>IF(F300='Données Hebdo'!A300, VLOOKUP(Feuil1!A301, 'Données Hebdo'!B:J, 8, FALSE), "")</f>
        <v/>
      </c>
      <c r="J301" s="27" t="str">
        <f t="shared" si="76"/>
        <v>12:03:39 à 12:05:52</v>
      </c>
      <c r="K301" s="27" t="str">
        <f t="shared" si="77"/>
        <v>2016-05-31 12:05:52</v>
      </c>
      <c r="L301" s="27">
        <f t="shared" si="78"/>
        <v>1.5393518478958867E-3</v>
      </c>
      <c r="M301" s="30">
        <f t="shared" si="79"/>
        <v>2.6157407410209998E-2</v>
      </c>
      <c r="N301" s="18" t="str">
        <f t="shared" si="80"/>
        <v>BASE RAZEL AEROPORT - AEROPORT DE DOUALA</v>
      </c>
      <c r="O301" s="18"/>
      <c r="P301" s="18"/>
    </row>
    <row r="302" spans="1:16" ht="27.6">
      <c r="A302" s="43" t="s">
        <v>82</v>
      </c>
      <c r="B302" s="43" t="s">
        <v>729</v>
      </c>
      <c r="C302" s="43" t="s">
        <v>1330</v>
      </c>
      <c r="D302" s="43" t="s">
        <v>1331</v>
      </c>
      <c r="E302" s="27">
        <f t="shared" si="73"/>
        <v>4.5138889254303649E-4</v>
      </c>
      <c r="F302" s="18" t="s">
        <v>97</v>
      </c>
      <c r="G302" s="30">
        <f t="shared" si="74"/>
        <v>1.5393518478958867E-3</v>
      </c>
      <c r="H302" s="23" t="str">
        <f t="shared" si="75"/>
        <v>BASE RAZEL AEROPORT - AEROPORT DE DOUALA</v>
      </c>
      <c r="I302" s="33" t="str">
        <f>IF(F301='Données Hebdo'!A301, VLOOKUP(Feuil1!A302, 'Données Hebdo'!B:J, 8, FALSE), "")</f>
        <v/>
      </c>
      <c r="J302" s="27" t="str">
        <f t="shared" si="76"/>
        <v>12:06:31 à 12:31:48</v>
      </c>
      <c r="K302" s="27" t="str">
        <f t="shared" si="77"/>
        <v>2016-05-31 12:31:48</v>
      </c>
      <c r="L302" s="27">
        <f t="shared" si="78"/>
        <v>1.7557870371092577E-2</v>
      </c>
      <c r="M302" s="30">
        <f t="shared" si="79"/>
        <v>4.5138889254303649E-4</v>
      </c>
      <c r="N302" s="18" t="str">
        <f t="shared" si="80"/>
        <v>AEROPORT DE DOUALA - BASE RAZEL WOURI</v>
      </c>
      <c r="O302" s="18"/>
      <c r="P302" s="18"/>
    </row>
    <row r="303" spans="1:16" ht="27.6">
      <c r="A303" s="43" t="s">
        <v>82</v>
      </c>
      <c r="B303" s="43" t="s">
        <v>58</v>
      </c>
      <c r="C303" s="43" t="s">
        <v>1332</v>
      </c>
      <c r="D303" s="43" t="s">
        <v>1333</v>
      </c>
      <c r="E303" s="27">
        <f t="shared" si="73"/>
        <v>0.15944444444176042</v>
      </c>
      <c r="F303" s="18" t="s">
        <v>97</v>
      </c>
      <c r="G303" s="30">
        <f t="shared" si="74"/>
        <v>1.7557870371092577E-2</v>
      </c>
      <c r="H303" s="23" t="str">
        <f t="shared" si="75"/>
        <v>AEROPORT DE DOUALA - BASE RAZEL WOURI</v>
      </c>
      <c r="I303" s="33" t="str">
        <f>IF(F302='Données Hebdo'!A302, VLOOKUP(Feuil1!A303, 'Données Hebdo'!B:J, 8, FALSE), "")</f>
        <v/>
      </c>
      <c r="J303" s="27" t="str">
        <f t="shared" si="76"/>
        <v>16:21:24 à 16:46:07</v>
      </c>
      <c r="K303" s="27" t="str">
        <f t="shared" si="77"/>
        <v>2016-05-31 16:46:07</v>
      </c>
      <c r="L303" s="27">
        <f t="shared" si="78"/>
        <v>1.7164351847895887E-2</v>
      </c>
      <c r="M303" s="30">
        <f t="shared" si="79"/>
        <v>0.15944444444176042</v>
      </c>
      <c r="N303" s="18" t="str">
        <f t="shared" si="80"/>
        <v>BASE RAZEL WOURI - AEROPORT DE DOUALA</v>
      </c>
      <c r="O303" s="18"/>
      <c r="P303" s="18"/>
    </row>
    <row r="304" spans="1:16" ht="27.6">
      <c r="A304" s="43" t="s">
        <v>82</v>
      </c>
      <c r="B304" s="43" t="s">
        <v>729</v>
      </c>
      <c r="C304" s="43" t="s">
        <v>1334</v>
      </c>
      <c r="D304" s="43" t="s">
        <v>1335</v>
      </c>
      <c r="E304" s="27">
        <f t="shared" si="73"/>
        <v>4.5138889254303649E-4</v>
      </c>
      <c r="F304" s="18" t="s">
        <v>97</v>
      </c>
      <c r="G304" s="30">
        <f t="shared" si="74"/>
        <v>1.7164351847895887E-2</v>
      </c>
      <c r="H304" s="23" t="str">
        <f t="shared" si="75"/>
        <v>BASE RAZEL WOURI - AEROPORT DE DOUALA</v>
      </c>
      <c r="I304" s="33" t="str">
        <f>IF(F303='Données Hebdo'!A303, VLOOKUP(Feuil1!A304, 'Données Hebdo'!B:J, 8, FALSE), "")</f>
        <v/>
      </c>
      <c r="J304" s="27" t="str">
        <f t="shared" si="76"/>
        <v>16:46:46 à 16:49:02</v>
      </c>
      <c r="K304" s="27" t="str">
        <f t="shared" si="77"/>
        <v>2016-05-31 16:49:02</v>
      </c>
      <c r="L304" s="27">
        <f t="shared" si="78"/>
        <v>1.5740740709588863E-3</v>
      </c>
      <c r="M304" s="30">
        <f t="shared" si="79"/>
        <v>4.5138889254303649E-4</v>
      </c>
      <c r="N304" s="18" t="str">
        <f t="shared" si="80"/>
        <v>AEROPORT DE DOUALA - BASE RAZEL AEROPORT</v>
      </c>
      <c r="O304" s="18"/>
      <c r="P304" s="18"/>
    </row>
    <row r="305" spans="1:16">
      <c r="A305" s="43" t="s">
        <v>82</v>
      </c>
      <c r="B305" s="43" t="s">
        <v>53</v>
      </c>
      <c r="C305" s="43" t="s">
        <v>1336</v>
      </c>
      <c r="D305" s="43" t="s">
        <v>1337</v>
      </c>
      <c r="E305" s="27">
        <f t="shared" si="73"/>
        <v>0.56497685185604496</v>
      </c>
      <c r="F305" s="18" t="s">
        <v>97</v>
      </c>
      <c r="G305" s="30">
        <f t="shared" si="74"/>
        <v>1.5740740709588863E-3</v>
      </c>
      <c r="H305" s="23" t="str">
        <f t="shared" si="75"/>
        <v>AEROPORT DE DOUALA - BASE RAZEL AEROPORT</v>
      </c>
      <c r="I305" s="33" t="str">
        <f>IF(F304='Données Hebdo'!A304, VLOOKUP(Feuil1!A305, 'Données Hebdo'!B:J, 8, FALSE), "")</f>
        <v/>
      </c>
      <c r="J305" s="27" t="str">
        <f t="shared" si="76"/>
        <v/>
      </c>
      <c r="K305" s="27" t="str">
        <f t="shared" si="77"/>
        <v/>
      </c>
      <c r="L305" s="27" t="str">
        <f t="shared" si="78"/>
        <v/>
      </c>
      <c r="M305" s="30" t="str">
        <f t="shared" si="79"/>
        <v/>
      </c>
      <c r="N305" s="18" t="str">
        <f t="shared" si="80"/>
        <v/>
      </c>
      <c r="O305" s="18"/>
      <c r="P305" s="18"/>
    </row>
    <row r="306" spans="1:16" ht="27.6">
      <c r="A306" s="43" t="s">
        <v>84</v>
      </c>
      <c r="B306" s="43" t="s">
        <v>58</v>
      </c>
      <c r="C306" s="43" t="s">
        <v>1338</v>
      </c>
      <c r="D306" s="43" t="s">
        <v>1339</v>
      </c>
      <c r="E306" s="27">
        <f t="shared" si="73"/>
        <v>3.7649652777836309</v>
      </c>
      <c r="F306" s="18" t="s">
        <v>97</v>
      </c>
      <c r="G306" s="30" t="str">
        <f t="shared" si="74"/>
        <v/>
      </c>
      <c r="H306" s="23" t="str">
        <f t="shared" si="75"/>
        <v/>
      </c>
      <c r="I306" s="33" t="str">
        <f>IF(F305='Données Hebdo'!A305, VLOOKUP(Feuil1!A306, 'Données Hebdo'!B:J, 8, FALSE), "")</f>
        <v/>
      </c>
      <c r="J306" s="27" t="str">
        <f t="shared" si="76"/>
        <v>09:55:01 à 10:13:28</v>
      </c>
      <c r="K306" s="27" t="str">
        <f t="shared" si="77"/>
        <v>2016-05-31 10:13:28</v>
      </c>
      <c r="L306" s="27">
        <f t="shared" si="78"/>
        <v>1.2812499997380655E-2</v>
      </c>
      <c r="M306" s="30">
        <f t="shared" si="79"/>
        <v>3.7649652777836309</v>
      </c>
      <c r="N306" s="18" t="str">
        <f t="shared" si="80"/>
        <v>BASE RAZEL WOURI - AEROPORT DE DOUALA</v>
      </c>
      <c r="O306" s="18"/>
      <c r="P306" s="18"/>
    </row>
    <row r="307" spans="1:16" ht="27.6">
      <c r="A307" s="43" t="s">
        <v>84</v>
      </c>
      <c r="B307" s="43" t="s">
        <v>729</v>
      </c>
      <c r="C307" s="43" t="s">
        <v>1340</v>
      </c>
      <c r="D307" s="43" t="s">
        <v>1341</v>
      </c>
      <c r="E307" s="27">
        <f t="shared" si="73"/>
        <v>6.0185185429872945E-4</v>
      </c>
      <c r="F307" s="18" t="s">
        <v>97</v>
      </c>
      <c r="G307" s="30">
        <f t="shared" si="74"/>
        <v>1.2812499997380655E-2</v>
      </c>
      <c r="H307" s="23" t="str">
        <f t="shared" si="75"/>
        <v>BASE RAZEL WOURI - AEROPORT DE DOUALA</v>
      </c>
      <c r="I307" s="33" t="str">
        <f>IF(F306='Données Hebdo'!A306, VLOOKUP(Feuil1!A307, 'Données Hebdo'!B:J, 8, FALSE), "")</f>
        <v/>
      </c>
      <c r="J307" s="27" t="str">
        <f t="shared" si="76"/>
        <v>10:14:20 à 10:15:56</v>
      </c>
      <c r="K307" s="27" t="str">
        <f t="shared" si="77"/>
        <v>2016-05-31 10:15:56</v>
      </c>
      <c r="L307" s="27">
        <f t="shared" si="78"/>
        <v>1.111111108912155E-3</v>
      </c>
      <c r="M307" s="30">
        <f t="shared" si="79"/>
        <v>6.0185185429872945E-4</v>
      </c>
      <c r="N307" s="18" t="str">
        <f t="shared" si="80"/>
        <v>AEROPORT DE DOUALA - BASE RAZEL AEROPORT</v>
      </c>
      <c r="O307" s="18"/>
      <c r="P307" s="18"/>
    </row>
    <row r="308" spans="1:16" ht="27.6">
      <c r="A308" s="43" t="s">
        <v>84</v>
      </c>
      <c r="B308" s="43" t="s">
        <v>53</v>
      </c>
      <c r="C308" s="43" t="s">
        <v>1342</v>
      </c>
      <c r="D308" s="43" t="s">
        <v>1343</v>
      </c>
      <c r="E308" s="27">
        <f t="shared" si="73"/>
        <v>2.7164351849933155E-2</v>
      </c>
      <c r="F308" s="18" t="s">
        <v>97</v>
      </c>
      <c r="G308" s="30">
        <f t="shared" si="74"/>
        <v>1.111111108912155E-3</v>
      </c>
      <c r="H308" s="23" t="str">
        <f t="shared" si="75"/>
        <v>AEROPORT DE DOUALA - BASE RAZEL AEROPORT</v>
      </c>
      <c r="I308" s="33" t="str">
        <f>IF(F307='Données Hebdo'!A307, VLOOKUP(Feuil1!A308, 'Données Hebdo'!B:J, 8, FALSE), "")</f>
        <v/>
      </c>
      <c r="J308" s="27" t="str">
        <f t="shared" si="76"/>
        <v>10:55:03 à 10:56:31</v>
      </c>
      <c r="K308" s="27" t="str">
        <f t="shared" si="77"/>
        <v>2016-05-31 10:56:31</v>
      </c>
      <c r="L308" s="27">
        <f t="shared" si="78"/>
        <v>1.0185185165028088E-3</v>
      </c>
      <c r="M308" s="30">
        <f t="shared" si="79"/>
        <v>2.7164351849933155E-2</v>
      </c>
      <c r="N308" s="18" t="str">
        <f t="shared" si="80"/>
        <v>BASE RAZEL AEROPORT - AEROPORT DE DOUALA</v>
      </c>
      <c r="O308" s="18"/>
      <c r="P308" s="18"/>
    </row>
    <row r="309" spans="1:16" ht="27.6">
      <c r="A309" s="43" t="s">
        <v>84</v>
      </c>
      <c r="B309" s="43" t="s">
        <v>729</v>
      </c>
      <c r="C309" s="43" t="s">
        <v>1344</v>
      </c>
      <c r="D309" s="43" t="s">
        <v>1345</v>
      </c>
      <c r="E309" s="27">
        <f t="shared" si="73"/>
        <v>2.3611111173522659E-3</v>
      </c>
      <c r="F309" s="18" t="s">
        <v>97</v>
      </c>
      <c r="G309" s="30">
        <f t="shared" si="74"/>
        <v>1.0185185165028088E-3</v>
      </c>
      <c r="H309" s="23" t="str">
        <f t="shared" si="75"/>
        <v>BASE RAZEL AEROPORT - AEROPORT DE DOUALA</v>
      </c>
      <c r="I309" s="33" t="str">
        <f>IF(F308='Données Hebdo'!A308, VLOOKUP(Feuil1!A309, 'Données Hebdo'!B:J, 8, FALSE), "")</f>
        <v/>
      </c>
      <c r="J309" s="27" t="str">
        <f t="shared" si="76"/>
        <v>10:59:55 à 11:47:50</v>
      </c>
      <c r="K309" s="27" t="str">
        <f t="shared" si="77"/>
        <v>2016-05-31 11:47:50</v>
      </c>
      <c r="L309" s="27">
        <f t="shared" si="78"/>
        <v>3.3275462956225965E-2</v>
      </c>
      <c r="M309" s="30">
        <f t="shared" si="79"/>
        <v>2.3611111173522659E-3</v>
      </c>
      <c r="N309" s="18" t="str">
        <f t="shared" si="80"/>
        <v>AEROPORT DE DOUALA - AEROPORT DE DOUALA</v>
      </c>
      <c r="O309" s="18"/>
      <c r="P309" s="18"/>
    </row>
    <row r="310" spans="1:16" ht="27.6">
      <c r="A310" s="43" t="s">
        <v>84</v>
      </c>
      <c r="B310" s="43" t="s">
        <v>729</v>
      </c>
      <c r="C310" s="43" t="s">
        <v>1346</v>
      </c>
      <c r="D310" s="43" t="s">
        <v>1347</v>
      </c>
      <c r="E310" s="27">
        <f t="shared" si="73"/>
        <v>4.5138889254303649E-4</v>
      </c>
      <c r="F310" s="18" t="s">
        <v>97</v>
      </c>
      <c r="G310" s="30">
        <f t="shared" si="74"/>
        <v>3.3275462956225965E-2</v>
      </c>
      <c r="H310" s="23" t="str">
        <f t="shared" si="75"/>
        <v>AEROPORT DE DOUALA - AEROPORT DE DOUALA</v>
      </c>
      <c r="I310" s="33" t="str">
        <f>IF(F309='Données Hebdo'!A309, VLOOKUP(Feuil1!A310, 'Données Hebdo'!B:J, 8, FALSE), "")</f>
        <v/>
      </c>
      <c r="J310" s="27" t="str">
        <f t="shared" si="76"/>
        <v>11:48:29 à 11:50:13</v>
      </c>
      <c r="K310" s="27" t="str">
        <f t="shared" si="77"/>
        <v>2016-05-31 11:50:13</v>
      </c>
      <c r="L310" s="27">
        <f t="shared" si="78"/>
        <v>1.2037037013215013E-3</v>
      </c>
      <c r="M310" s="30">
        <f t="shared" si="79"/>
        <v>4.5138889254303649E-4</v>
      </c>
      <c r="N310" s="18" t="str">
        <f t="shared" si="80"/>
        <v>AEROPORT DE DOUALA - AEROPORT DE DOUALA</v>
      </c>
      <c r="O310" s="18"/>
      <c r="P310" s="18"/>
    </row>
    <row r="311" spans="1:16" ht="27.6">
      <c r="A311" s="43" t="s">
        <v>84</v>
      </c>
      <c r="B311" s="43" t="s">
        <v>729</v>
      </c>
      <c r="C311" s="43" t="s">
        <v>1348</v>
      </c>
      <c r="D311" s="43" t="s">
        <v>1349</v>
      </c>
      <c r="E311" s="27">
        <f t="shared" si="73"/>
        <v>2.0833333837799728E-4</v>
      </c>
      <c r="F311" s="18" t="s">
        <v>97</v>
      </c>
      <c r="G311" s="30">
        <f t="shared" si="74"/>
        <v>1.2037037013215013E-3</v>
      </c>
      <c r="H311" s="23" t="str">
        <f t="shared" si="75"/>
        <v>AEROPORT DE DOUALA - AEROPORT DE DOUALA</v>
      </c>
      <c r="I311" s="33" t="str">
        <f>IF(F310='Données Hebdo'!A310, VLOOKUP(Feuil1!A311, 'Données Hebdo'!B:J, 8, FALSE), "")</f>
        <v/>
      </c>
      <c r="J311" s="27" t="str">
        <f t="shared" si="76"/>
        <v>11:50:31 à 11:51:51</v>
      </c>
      <c r="K311" s="27" t="str">
        <f t="shared" si="77"/>
        <v>2016-05-31 11:51:51</v>
      </c>
      <c r="L311" s="27">
        <f t="shared" si="78"/>
        <v>9.2592592409346253E-4</v>
      </c>
      <c r="M311" s="30">
        <f t="shared" si="79"/>
        <v>2.0833333837799728E-4</v>
      </c>
      <c r="N311" s="18" t="str">
        <f t="shared" si="80"/>
        <v>AEROPORT DE DOUALA - BASE RAZEL AEROPORT</v>
      </c>
      <c r="O311" s="18"/>
      <c r="P311" s="18"/>
    </row>
    <row r="312" spans="1:16" ht="27.6">
      <c r="A312" s="43" t="s">
        <v>84</v>
      </c>
      <c r="B312" s="43" t="s">
        <v>53</v>
      </c>
      <c r="C312" s="43" t="s">
        <v>1350</v>
      </c>
      <c r="D312" s="43" t="s">
        <v>1351</v>
      </c>
      <c r="E312" s="27">
        <f t="shared" si="73"/>
        <v>1.9675926159834489E-4</v>
      </c>
      <c r="F312" s="18" t="s">
        <v>97</v>
      </c>
      <c r="G312" s="30">
        <f t="shared" si="74"/>
        <v>9.2592592409346253E-4</v>
      </c>
      <c r="H312" s="23" t="str">
        <f t="shared" si="75"/>
        <v>AEROPORT DE DOUALA - BASE RAZEL AEROPORT</v>
      </c>
      <c r="I312" s="33" t="str">
        <f>IF(F311='Données Hebdo'!A311, VLOOKUP(Feuil1!A312, 'Données Hebdo'!B:J, 8, FALSE), "")</f>
        <v/>
      </c>
      <c r="J312" s="27" t="str">
        <f t="shared" si="76"/>
        <v>11:52:08 à 13:17:42</v>
      </c>
      <c r="K312" s="27" t="str">
        <f t="shared" si="77"/>
        <v>2016-05-31 13:17:42</v>
      </c>
      <c r="L312" s="27">
        <f t="shared" si="78"/>
        <v>5.9421296289656311E-2</v>
      </c>
      <c r="M312" s="30">
        <f t="shared" si="79"/>
        <v>1.9675926159834489E-4</v>
      </c>
      <c r="N312" s="18" t="str">
        <f t="shared" si="80"/>
        <v>BASE RAZEL AEROPORT - AEROPORT DE DOUALA</v>
      </c>
      <c r="O312" s="18"/>
      <c r="P312" s="18"/>
    </row>
    <row r="313" spans="1:16" ht="27.6">
      <c r="A313" s="43" t="s">
        <v>84</v>
      </c>
      <c r="B313" s="43" t="s">
        <v>729</v>
      </c>
      <c r="C313" s="43" t="s">
        <v>1352</v>
      </c>
      <c r="D313" s="43" t="s">
        <v>1353</v>
      </c>
      <c r="E313" s="27">
        <f t="shared" si="73"/>
        <v>3.3564815385034308E-4</v>
      </c>
      <c r="F313" s="18" t="s">
        <v>97</v>
      </c>
      <c r="G313" s="30">
        <f t="shared" si="74"/>
        <v>5.9421296289656311E-2</v>
      </c>
      <c r="H313" s="23" t="str">
        <f t="shared" si="75"/>
        <v>BASE RAZEL AEROPORT - AEROPORT DE DOUALA</v>
      </c>
      <c r="I313" s="33" t="str">
        <f>IF(F312='Données Hebdo'!A312, VLOOKUP(Feuil1!A313, 'Données Hebdo'!B:J, 8, FALSE), "")</f>
        <v/>
      </c>
      <c r="J313" s="27" t="str">
        <f t="shared" si="76"/>
        <v>13:18:11 à 13:18:32</v>
      </c>
      <c r="K313" s="27" t="str">
        <f t="shared" si="77"/>
        <v>2016-05-31 13:18:32</v>
      </c>
      <c r="L313" s="27">
        <f t="shared" si="78"/>
        <v>2.4305555416503921E-4</v>
      </c>
      <c r="M313" s="30">
        <f t="shared" si="79"/>
        <v>3.3564815385034308E-4</v>
      </c>
      <c r="N313" s="18" t="str">
        <f t="shared" si="80"/>
        <v>AEROPORT DE DOUALA - AEROPORT DE DOUALA</v>
      </c>
      <c r="O313" s="18"/>
      <c r="P313" s="18"/>
    </row>
    <row r="314" spans="1:16" ht="27.6">
      <c r="A314" s="43" t="s">
        <v>84</v>
      </c>
      <c r="B314" s="43" t="s">
        <v>729</v>
      </c>
      <c r="C314" s="43" t="s">
        <v>1354</v>
      </c>
      <c r="D314" s="43" t="s">
        <v>1355</v>
      </c>
      <c r="E314" s="27">
        <f t="shared" si="73"/>
        <v>1.9560185173759237E-3</v>
      </c>
      <c r="F314" s="18" t="s">
        <v>97</v>
      </c>
      <c r="G314" s="30">
        <f t="shared" si="74"/>
        <v>2.4305555416503921E-4</v>
      </c>
      <c r="H314" s="23" t="str">
        <f t="shared" si="75"/>
        <v>AEROPORT DE DOUALA - AEROPORT DE DOUALA</v>
      </c>
      <c r="I314" s="33" t="str">
        <f>IF(F313='Données Hebdo'!A313, VLOOKUP(Feuil1!A314, 'Données Hebdo'!B:J, 8, FALSE), "")</f>
        <v/>
      </c>
      <c r="J314" s="27" t="str">
        <f t="shared" si="76"/>
        <v>13:21:21 à 13:47:37</v>
      </c>
      <c r="K314" s="27" t="str">
        <f t="shared" si="77"/>
        <v>2016-05-31 13:47:37</v>
      </c>
      <c r="L314" s="27">
        <f t="shared" si="78"/>
        <v>1.8240740741021E-2</v>
      </c>
      <c r="M314" s="30">
        <f t="shared" si="79"/>
        <v>1.9560185173759237E-3</v>
      </c>
      <c r="N314" s="18" t="str">
        <f t="shared" si="80"/>
        <v>AEROPORT DE DOUALA - AEROPORT DE DOUALA</v>
      </c>
      <c r="O314" s="18"/>
      <c r="P314" s="18"/>
    </row>
    <row r="315" spans="1:16" ht="27.6">
      <c r="A315" s="43" t="s">
        <v>84</v>
      </c>
      <c r="B315" s="43" t="s">
        <v>729</v>
      </c>
      <c r="C315" s="43" t="s">
        <v>1356</v>
      </c>
      <c r="D315" s="43" t="s">
        <v>1357</v>
      </c>
      <c r="E315" s="27">
        <f t="shared" si="73"/>
        <v>1.5393518478958867E-3</v>
      </c>
      <c r="F315" s="18" t="s">
        <v>97</v>
      </c>
      <c r="G315" s="30">
        <f t="shared" si="74"/>
        <v>1.8240740741021E-2</v>
      </c>
      <c r="H315" s="23" t="str">
        <f t="shared" si="75"/>
        <v>AEROPORT DE DOUALA - AEROPORT DE DOUALA</v>
      </c>
      <c r="I315" s="33" t="str">
        <f>IF(F314='Données Hebdo'!A314, VLOOKUP(Feuil1!A315, 'Données Hebdo'!B:J, 8, FALSE), "")</f>
        <v/>
      </c>
      <c r="J315" s="27" t="str">
        <f t="shared" si="76"/>
        <v>13:49:50 à 13:51:02</v>
      </c>
      <c r="K315" s="27" t="str">
        <f t="shared" si="77"/>
        <v>2016-05-31 13:51:02</v>
      </c>
      <c r="L315" s="27">
        <f t="shared" si="78"/>
        <v>8.3333333896007389E-4</v>
      </c>
      <c r="M315" s="30">
        <f t="shared" si="79"/>
        <v>1.5393518478958867E-3</v>
      </c>
      <c r="N315" s="18" t="str">
        <f t="shared" si="80"/>
        <v>AEROPORT DE DOUALA - BASE RAZEL AEROPORT</v>
      </c>
      <c r="O315" s="18"/>
      <c r="P315" s="18"/>
    </row>
    <row r="316" spans="1:16" ht="27.6">
      <c r="A316" s="43" t="s">
        <v>84</v>
      </c>
      <c r="B316" s="43" t="s">
        <v>53</v>
      </c>
      <c r="C316" s="43" t="s">
        <v>1358</v>
      </c>
      <c r="D316" s="43" t="s">
        <v>1359</v>
      </c>
      <c r="E316" s="27">
        <f t="shared" si="73"/>
        <v>9.2592592409346253E-5</v>
      </c>
      <c r="F316" s="18" t="s">
        <v>97</v>
      </c>
      <c r="G316" s="30">
        <f t="shared" si="74"/>
        <v>8.3333333896007389E-4</v>
      </c>
      <c r="H316" s="23" t="str">
        <f t="shared" si="75"/>
        <v>AEROPORT DE DOUALA - BASE RAZEL AEROPORT</v>
      </c>
      <c r="I316" s="33" t="str">
        <f>IF(F315='Données Hebdo'!A315, VLOOKUP(Feuil1!A316, 'Données Hebdo'!B:J, 8, FALSE), "")</f>
        <v/>
      </c>
      <c r="J316" s="27" t="str">
        <f t="shared" si="76"/>
        <v>13:51:10 à 14:52:26</v>
      </c>
      <c r="K316" s="27" t="str">
        <f t="shared" si="77"/>
        <v>2016-05-31 14:52:26</v>
      </c>
      <c r="L316" s="27">
        <f t="shared" si="78"/>
        <v>4.2546296295768116E-2</v>
      </c>
      <c r="M316" s="30">
        <f t="shared" si="79"/>
        <v>9.2592592409346253E-5</v>
      </c>
      <c r="N316" s="18" t="str">
        <f t="shared" si="80"/>
        <v>BASE RAZEL AEROPORT - AEROPORT DE DOUALA</v>
      </c>
      <c r="O316" s="18"/>
      <c r="P316" s="18"/>
    </row>
    <row r="317" spans="1:16" ht="27.6">
      <c r="A317" s="43" t="s">
        <v>84</v>
      </c>
      <c r="B317" s="43" t="s">
        <v>729</v>
      </c>
      <c r="C317" s="43" t="s">
        <v>1360</v>
      </c>
      <c r="D317" s="43" t="s">
        <v>1361</v>
      </c>
      <c r="E317" s="27">
        <f t="shared" si="73"/>
        <v>4.398148157633841E-4</v>
      </c>
      <c r="F317" s="18" t="s">
        <v>97</v>
      </c>
      <c r="G317" s="30">
        <f t="shared" si="74"/>
        <v>4.2546296295768116E-2</v>
      </c>
      <c r="H317" s="23" t="str">
        <f t="shared" si="75"/>
        <v>BASE RAZEL AEROPORT - AEROPORT DE DOUALA</v>
      </c>
      <c r="I317" s="33" t="str">
        <f>IF(F316='Données Hebdo'!A316, VLOOKUP(Feuil1!A317, 'Données Hebdo'!B:J, 8, FALSE), "")</f>
        <v/>
      </c>
      <c r="J317" s="27" t="str">
        <f t="shared" si="76"/>
        <v>14:53:04 à 14:53:48</v>
      </c>
      <c r="K317" s="27" t="str">
        <f t="shared" si="77"/>
        <v>2016-05-31 14:53:48</v>
      </c>
      <c r="L317" s="27">
        <f t="shared" si="78"/>
        <v>5.0925925461342558E-4</v>
      </c>
      <c r="M317" s="30">
        <f t="shared" si="79"/>
        <v>4.398148157633841E-4</v>
      </c>
      <c r="N317" s="18" t="str">
        <f t="shared" si="80"/>
        <v>AEROPORT DE DOUALA - AEROPORT DE DOUALA</v>
      </c>
      <c r="O317" s="18"/>
      <c r="P317" s="18"/>
    </row>
    <row r="318" spans="1:16" ht="27.6">
      <c r="A318" s="43" t="s">
        <v>84</v>
      </c>
      <c r="B318" s="43" t="s">
        <v>729</v>
      </c>
      <c r="C318" s="43" t="s">
        <v>1362</v>
      </c>
      <c r="D318" s="43" t="s">
        <v>1363</v>
      </c>
      <c r="E318" s="27">
        <f t="shared" si="73"/>
        <v>5.7870370801538229E-4</v>
      </c>
      <c r="F318" s="18" t="s">
        <v>97</v>
      </c>
      <c r="G318" s="30">
        <f t="shared" si="74"/>
        <v>5.0925925461342558E-4</v>
      </c>
      <c r="H318" s="23" t="str">
        <f t="shared" si="75"/>
        <v>AEROPORT DE DOUALA - AEROPORT DE DOUALA</v>
      </c>
      <c r="I318" s="33" t="str">
        <f>IF(F317='Données Hebdo'!A317, VLOOKUP(Feuil1!A318, 'Données Hebdo'!B:J, 8, FALSE), "")</f>
        <v/>
      </c>
      <c r="J318" s="27" t="str">
        <f t="shared" si="76"/>
        <v>14:54:38 à 15:00:40</v>
      </c>
      <c r="K318" s="27" t="str">
        <f t="shared" si="77"/>
        <v>2016-05-31 15:00:40</v>
      </c>
      <c r="L318" s="27">
        <f t="shared" si="78"/>
        <v>4.1898148119798861E-3</v>
      </c>
      <c r="M318" s="30">
        <f t="shared" si="79"/>
        <v>5.7870370801538229E-4</v>
      </c>
      <c r="N318" s="18" t="str">
        <f t="shared" si="80"/>
        <v>AEROPORT DE DOUALA - AEROPORT DE DOUALA</v>
      </c>
      <c r="O318" s="18"/>
      <c r="P318" s="18"/>
    </row>
    <row r="319" spans="1:16" ht="27.6">
      <c r="A319" s="43" t="s">
        <v>84</v>
      </c>
      <c r="B319" s="43" t="s">
        <v>729</v>
      </c>
      <c r="C319" s="43" t="s">
        <v>1364</v>
      </c>
      <c r="D319" s="43" t="s">
        <v>1365</v>
      </c>
      <c r="E319" s="27">
        <f t="shared" si="73"/>
        <v>1.1689814855344594E-3</v>
      </c>
      <c r="F319" s="18" t="s">
        <v>97</v>
      </c>
      <c r="G319" s="30">
        <f t="shared" si="74"/>
        <v>4.1898148119798861E-3</v>
      </c>
      <c r="H319" s="23" t="str">
        <f t="shared" si="75"/>
        <v>AEROPORT DE DOUALA - AEROPORT DE DOUALA</v>
      </c>
      <c r="I319" s="33" t="str">
        <f>IF(F318='Données Hebdo'!A318, VLOOKUP(Feuil1!A319, 'Données Hebdo'!B:J, 8, FALSE), "")</f>
        <v/>
      </c>
      <c r="J319" s="27" t="str">
        <f t="shared" si="76"/>
        <v>15:02:21 à 15:31:12</v>
      </c>
      <c r="K319" s="27" t="str">
        <f t="shared" si="77"/>
        <v>2016-05-31 15:31:12</v>
      </c>
      <c r="L319" s="27">
        <f t="shared" si="78"/>
        <v>2.0034722219861578E-2</v>
      </c>
      <c r="M319" s="30">
        <f t="shared" si="79"/>
        <v>1.1689814855344594E-3</v>
      </c>
      <c r="N319" s="18" t="str">
        <f t="shared" si="80"/>
        <v>AEROPORT DE DOUALA - AEROPORT DE DOUALA</v>
      </c>
      <c r="O319" s="18"/>
      <c r="P319" s="18"/>
    </row>
    <row r="320" spans="1:16" ht="27.6">
      <c r="A320" s="43" t="s">
        <v>84</v>
      </c>
      <c r="B320" s="43" t="s">
        <v>729</v>
      </c>
      <c r="C320" s="43" t="s">
        <v>1366</v>
      </c>
      <c r="D320" s="43" t="s">
        <v>1367</v>
      </c>
      <c r="E320" s="27">
        <f t="shared" si="73"/>
        <v>9.8379629343980923E-4</v>
      </c>
      <c r="F320" s="18" t="s">
        <v>97</v>
      </c>
      <c r="G320" s="30">
        <f t="shared" si="74"/>
        <v>2.0034722219861578E-2</v>
      </c>
      <c r="H320" s="23" t="str">
        <f t="shared" si="75"/>
        <v>AEROPORT DE DOUALA - AEROPORT DE DOUALA</v>
      </c>
      <c r="I320" s="33" t="str">
        <f>IF(F319='Données Hebdo'!A319, VLOOKUP(Feuil1!A320, 'Données Hebdo'!B:J, 8, FALSE), "")</f>
        <v/>
      </c>
      <c r="J320" s="27" t="str">
        <f t="shared" si="76"/>
        <v>15:32:37 à 15:37:01</v>
      </c>
      <c r="K320" s="27" t="str">
        <f t="shared" si="77"/>
        <v>2016-05-31 15:37:01</v>
      </c>
      <c r="L320" s="27">
        <f t="shared" si="78"/>
        <v>3.055555556784384E-3</v>
      </c>
      <c r="M320" s="30">
        <f t="shared" si="79"/>
        <v>9.8379629343980923E-4</v>
      </c>
      <c r="N320" s="18" t="str">
        <f t="shared" si="80"/>
        <v>AEROPORT DE DOUALA - BASE RAZEL AEROPORT</v>
      </c>
      <c r="O320" s="18"/>
      <c r="P320" s="18"/>
    </row>
    <row r="321" spans="1:16" ht="27.6">
      <c r="A321" s="43" t="s">
        <v>84</v>
      </c>
      <c r="B321" s="43" t="s">
        <v>53</v>
      </c>
      <c r="C321" s="43" t="s">
        <v>1368</v>
      </c>
      <c r="D321" s="43" t="s">
        <v>1369</v>
      </c>
      <c r="E321" s="27">
        <f t="shared" si="73"/>
        <v>9.2592592409346253E-5</v>
      </c>
      <c r="F321" s="18" t="s">
        <v>97</v>
      </c>
      <c r="G321" s="30">
        <f t="shared" si="74"/>
        <v>3.055555556784384E-3</v>
      </c>
      <c r="H321" s="23" t="str">
        <f t="shared" si="75"/>
        <v>AEROPORT DE DOUALA - BASE RAZEL AEROPORT</v>
      </c>
      <c r="I321" s="33" t="str">
        <f>IF(F320='Données Hebdo'!A320, VLOOKUP(Feuil1!A321, 'Données Hebdo'!B:J, 8, FALSE), "")</f>
        <v/>
      </c>
      <c r="J321" s="27" t="str">
        <f t="shared" si="76"/>
        <v>15:37:09 à 16:33:00</v>
      </c>
      <c r="K321" s="27" t="str">
        <f t="shared" si="77"/>
        <v>2016-05-31 16:33:00</v>
      </c>
      <c r="L321" s="27">
        <f t="shared" si="78"/>
        <v>3.8784722222771961E-2</v>
      </c>
      <c r="M321" s="30">
        <f t="shared" si="79"/>
        <v>9.2592592409346253E-5</v>
      </c>
      <c r="N321" s="18" t="str">
        <f t="shared" si="80"/>
        <v>BASE RAZEL AEROPORT - AEROPORT DE DOUALA</v>
      </c>
      <c r="O321" s="18"/>
      <c r="P321" s="18"/>
    </row>
    <row r="322" spans="1:16" ht="27.6">
      <c r="A322" s="43" t="s">
        <v>84</v>
      </c>
      <c r="B322" s="43" t="s">
        <v>729</v>
      </c>
      <c r="C322" s="43" t="s">
        <v>1370</v>
      </c>
      <c r="D322" s="43" t="s">
        <v>1371</v>
      </c>
      <c r="E322" s="27">
        <f t="shared" si="73"/>
        <v>3.2407407707069069E-4</v>
      </c>
      <c r="F322" s="18" t="s">
        <v>97</v>
      </c>
      <c r="G322" s="30">
        <f t="shared" si="74"/>
        <v>3.8784722222771961E-2</v>
      </c>
      <c r="H322" s="23" t="str">
        <f t="shared" si="75"/>
        <v>BASE RAZEL AEROPORT - AEROPORT DE DOUALA</v>
      </c>
      <c r="I322" s="33" t="str">
        <f>IF(F321='Données Hebdo'!A321, VLOOKUP(Feuil1!A322, 'Données Hebdo'!B:J, 8, FALSE), "")</f>
        <v/>
      </c>
      <c r="J322" s="27" t="str">
        <f t="shared" si="76"/>
        <v>16:33:28 à 17:21:12</v>
      </c>
      <c r="K322" s="27" t="str">
        <f t="shared" si="77"/>
        <v>2016-05-31 17:21:12</v>
      </c>
      <c r="L322" s="27">
        <f t="shared" si="78"/>
        <v>3.3148148148029577E-2</v>
      </c>
      <c r="M322" s="30">
        <f t="shared" si="79"/>
        <v>3.2407407707069069E-4</v>
      </c>
      <c r="N322" s="18" t="str">
        <f t="shared" si="80"/>
        <v>AEROPORT DE DOUALA - AEROPORT DE DOUALA</v>
      </c>
      <c r="O322" s="18"/>
      <c r="P322" s="18"/>
    </row>
    <row r="323" spans="1:16" ht="27.6">
      <c r="A323" s="43" t="s">
        <v>84</v>
      </c>
      <c r="B323" s="43" t="s">
        <v>729</v>
      </c>
      <c r="C323" s="43" t="s">
        <v>1372</v>
      </c>
      <c r="D323" s="43" t="s">
        <v>1373</v>
      </c>
      <c r="E323" s="27">
        <f t="shared" ref="E323:E386" si="81">IFERROR(D323-C323, "")</f>
        <v>3.7037036963738501E-4</v>
      </c>
      <c r="F323" s="18" t="s">
        <v>97</v>
      </c>
      <c r="G323" s="30">
        <f t="shared" si="74"/>
        <v>3.3148148148029577E-2</v>
      </c>
      <c r="H323" s="23" t="str">
        <f t="shared" si="75"/>
        <v>AEROPORT DE DOUALA - AEROPORT DE DOUALA</v>
      </c>
      <c r="I323" s="33" t="str">
        <f>IF(F322='Données Hebdo'!A322, VLOOKUP(Feuil1!A323, 'Données Hebdo'!B:J, 8, FALSE), "")</f>
        <v/>
      </c>
      <c r="J323" s="27" t="str">
        <f t="shared" si="76"/>
        <v>17:21:44 à 18:41:00</v>
      </c>
      <c r="K323" s="27" t="str">
        <f t="shared" si="77"/>
        <v>2016-05-31 18:41:00</v>
      </c>
      <c r="L323" s="27">
        <f t="shared" si="78"/>
        <v>5.5046296292857733E-2</v>
      </c>
      <c r="M323" s="30">
        <f t="shared" si="79"/>
        <v>3.7037036963738501E-4</v>
      </c>
      <c r="N323" s="18" t="str">
        <f t="shared" si="80"/>
        <v>AEROPORT DE DOUALA - AEROPORT DE DOUALA</v>
      </c>
      <c r="O323" s="18"/>
      <c r="P323" s="18"/>
    </row>
    <row r="324" spans="1:16" ht="27.6">
      <c r="A324" s="43" t="s">
        <v>84</v>
      </c>
      <c r="B324" s="43" t="s">
        <v>729</v>
      </c>
      <c r="C324" s="43" t="s">
        <v>1374</v>
      </c>
      <c r="D324" s="43" t="s">
        <v>1375</v>
      </c>
      <c r="E324" s="27">
        <f t="shared" si="81"/>
        <v>4.5254629658302292E-3</v>
      </c>
      <c r="F324" s="18" t="s">
        <v>97</v>
      </c>
      <c r="G324" s="30">
        <f t="shared" si="74"/>
        <v>5.5046296292857733E-2</v>
      </c>
      <c r="H324" s="23" t="str">
        <f t="shared" si="75"/>
        <v>AEROPORT DE DOUALA - AEROPORT DE DOUALA</v>
      </c>
      <c r="I324" s="33" t="str">
        <f>IF(F323='Données Hebdo'!A323, VLOOKUP(Feuil1!A324, 'Données Hebdo'!B:J, 8, FALSE), "")</f>
        <v/>
      </c>
      <c r="J324" s="27" t="str">
        <f t="shared" si="76"/>
        <v>18:47:31 à 18:49:00</v>
      </c>
      <c r="K324" s="27" t="str">
        <f t="shared" si="77"/>
        <v>2016-05-31 18:49:00</v>
      </c>
      <c r="L324" s="27">
        <f t="shared" si="78"/>
        <v>1.0300925932824612E-3</v>
      </c>
      <c r="M324" s="30">
        <f t="shared" si="79"/>
        <v>4.5254629658302292E-3</v>
      </c>
      <c r="N324" s="18" t="str">
        <f t="shared" si="80"/>
        <v>AEROPORT DE DOUALA - BASE RAZEL AEROPORT</v>
      </c>
      <c r="O324" s="18"/>
      <c r="P324" s="18"/>
    </row>
    <row r="325" spans="1:16">
      <c r="A325" s="43" t="s">
        <v>84</v>
      </c>
      <c r="B325" s="43" t="s">
        <v>53</v>
      </c>
      <c r="C325" s="43" t="s">
        <v>1376</v>
      </c>
      <c r="D325" s="43" t="s">
        <v>1377</v>
      </c>
      <c r="E325" s="27">
        <f t="shared" si="81"/>
        <v>0.53873842592292931</v>
      </c>
      <c r="F325" s="18" t="s">
        <v>97</v>
      </c>
      <c r="G325" s="30">
        <f t="shared" si="74"/>
        <v>1.0300925932824612E-3</v>
      </c>
      <c r="H325" s="23" t="str">
        <f t="shared" si="75"/>
        <v>AEROPORT DE DOUALA - BASE RAZEL AEROPORT</v>
      </c>
      <c r="I325" s="33" t="str">
        <f>IF(F324='Données Hebdo'!A324, VLOOKUP(Feuil1!A325, 'Données Hebdo'!B:J, 8, FALSE), "")</f>
        <v/>
      </c>
      <c r="J325" s="27" t="str">
        <f t="shared" si="76"/>
        <v/>
      </c>
      <c r="K325" s="27" t="str">
        <f t="shared" si="77"/>
        <v/>
      </c>
      <c r="L325" s="27" t="str">
        <f t="shared" si="78"/>
        <v/>
      </c>
      <c r="M325" s="30" t="str">
        <f t="shared" si="79"/>
        <v/>
      </c>
      <c r="N325" s="18" t="str">
        <f t="shared" si="80"/>
        <v/>
      </c>
      <c r="O325" s="18"/>
      <c r="P325" s="18"/>
    </row>
    <row r="326" spans="1:16" ht="27.6">
      <c r="A326" s="43" t="s">
        <v>86</v>
      </c>
      <c r="B326" s="43" t="s">
        <v>53</v>
      </c>
      <c r="C326" s="43" t="s">
        <v>1221</v>
      </c>
      <c r="D326" s="43" t="s">
        <v>1222</v>
      </c>
      <c r="E326" s="27">
        <f t="shared" si="81"/>
        <v>0.62903935185022419</v>
      </c>
      <c r="F326" s="18" t="s">
        <v>97</v>
      </c>
      <c r="G326" s="30" t="str">
        <f t="shared" si="74"/>
        <v/>
      </c>
      <c r="H326" s="23" t="str">
        <f t="shared" si="75"/>
        <v/>
      </c>
      <c r="I326" s="33" t="str">
        <f>IF(F325='Données Hebdo'!A325, VLOOKUP(Feuil1!A326, 'Données Hebdo'!B:J, 8, FALSE), "")</f>
        <v/>
      </c>
      <c r="J326" s="27" t="str">
        <f t="shared" si="76"/>
        <v>07:17:26 à 08:32:38</v>
      </c>
      <c r="K326" s="27" t="str">
        <f t="shared" si="77"/>
        <v>2016-05-31 08:32:38</v>
      </c>
      <c r="L326" s="27">
        <f t="shared" si="78"/>
        <v>5.2222222228010651E-2</v>
      </c>
      <c r="M326" s="30">
        <f t="shared" si="79"/>
        <v>0.62903935185022419</v>
      </c>
      <c r="N326" s="18" t="str">
        <f t="shared" si="80"/>
        <v>BASE RAZEL AEROPORT - CARRIERE LOGBADJECK</v>
      </c>
      <c r="O326" s="18"/>
      <c r="P326" s="18"/>
    </row>
    <row r="327" spans="1:16" ht="27.6">
      <c r="A327" s="43" t="s">
        <v>86</v>
      </c>
      <c r="B327" s="43" t="s">
        <v>55</v>
      </c>
      <c r="C327" s="43" t="s">
        <v>1378</v>
      </c>
      <c r="D327" s="43" t="s">
        <v>1379</v>
      </c>
      <c r="E327" s="27">
        <f t="shared" si="81"/>
        <v>2.2650462960882578E-2</v>
      </c>
      <c r="F327" s="18" t="s">
        <v>97</v>
      </c>
      <c r="G327" s="30">
        <f t="shared" si="74"/>
        <v>5.2222222228010651E-2</v>
      </c>
      <c r="H327" s="23" t="str">
        <f t="shared" si="75"/>
        <v>BASE RAZEL AEROPORT - CARRIERE LOGBADJECK</v>
      </c>
      <c r="I327" s="33" t="str">
        <f>IF(F326='Données Hebdo'!A326, VLOOKUP(Feuil1!A327, 'Données Hebdo'!B:J, 8, FALSE), "")</f>
        <v/>
      </c>
      <c r="J327" s="27" t="str">
        <f t="shared" si="76"/>
        <v>09:05:15 à 10:58:13</v>
      </c>
      <c r="K327" s="27" t="str">
        <f t="shared" si="77"/>
        <v>2016-05-31 10:58:13</v>
      </c>
      <c r="L327" s="27">
        <f t="shared" si="78"/>
        <v>7.8449074069794733E-2</v>
      </c>
      <c r="M327" s="30">
        <f t="shared" si="79"/>
        <v>2.2650462960882578E-2</v>
      </c>
      <c r="N327" s="18" t="str">
        <f t="shared" si="80"/>
        <v>CARRIERE LOGBADJECK - BASE RAZEL AEROPORT</v>
      </c>
      <c r="O327" s="18"/>
      <c r="P327" s="18"/>
    </row>
    <row r="328" spans="1:16" ht="27.6">
      <c r="A328" s="43" t="s">
        <v>86</v>
      </c>
      <c r="B328" s="43" t="s">
        <v>53</v>
      </c>
      <c r="C328" s="43" t="s">
        <v>1380</v>
      </c>
      <c r="D328" s="43" t="s">
        <v>1381</v>
      </c>
      <c r="E328" s="27">
        <f t="shared" si="81"/>
        <v>2.5231481486116536E-3</v>
      </c>
      <c r="F328" s="18" t="s">
        <v>97</v>
      </c>
      <c r="G328" s="30">
        <f t="shared" si="74"/>
        <v>7.8449074069794733E-2</v>
      </c>
      <c r="H328" s="23" t="str">
        <f t="shared" si="75"/>
        <v>CARRIERE LOGBADJECK - BASE RAZEL AEROPORT</v>
      </c>
      <c r="I328" s="33" t="str">
        <f>IF(F327='Données Hebdo'!A327, VLOOKUP(Feuil1!A328, 'Données Hebdo'!B:J, 8, FALSE), "")</f>
        <v/>
      </c>
      <c r="J328" s="27" t="str">
        <f t="shared" si="76"/>
        <v>11:01:51 à 11:03:04</v>
      </c>
      <c r="K328" s="27" t="str">
        <f t="shared" si="77"/>
        <v>2016-05-31 11:03:04</v>
      </c>
      <c r="L328" s="27">
        <f t="shared" si="78"/>
        <v>8.4490740846376866E-4</v>
      </c>
      <c r="M328" s="30">
        <f t="shared" si="79"/>
        <v>2.5231481486116536E-3</v>
      </c>
      <c r="N328" s="18" t="str">
        <f t="shared" si="80"/>
        <v>BASE RAZEL AEROPORT - AEROPORT DE DOUALA</v>
      </c>
      <c r="O328" s="18"/>
      <c r="P328" s="18"/>
    </row>
    <row r="329" spans="1:16" ht="27.6">
      <c r="A329" s="43" t="s">
        <v>86</v>
      </c>
      <c r="B329" s="43" t="s">
        <v>729</v>
      </c>
      <c r="C329" s="43" t="s">
        <v>1382</v>
      </c>
      <c r="D329" s="43" t="s">
        <v>1383</v>
      </c>
      <c r="E329" s="27">
        <f t="shared" si="81"/>
        <v>2.6504629640839994E-3</v>
      </c>
      <c r="F329" s="18" t="s">
        <v>97</v>
      </c>
      <c r="G329" s="30">
        <f t="shared" si="74"/>
        <v>8.4490740846376866E-4</v>
      </c>
      <c r="H329" s="23" t="str">
        <f t="shared" si="75"/>
        <v>BASE RAZEL AEROPORT - AEROPORT DE DOUALA</v>
      </c>
      <c r="I329" s="33" t="str">
        <f>IF(F328='Données Hebdo'!A328, VLOOKUP(Feuil1!A329, 'Données Hebdo'!B:J, 8, FALSE), "")</f>
        <v/>
      </c>
      <c r="J329" s="27" t="str">
        <f t="shared" si="76"/>
        <v>11:06:53 à 11:15:07</v>
      </c>
      <c r="K329" s="27" t="str">
        <f t="shared" si="77"/>
        <v>2016-05-31 11:15:07</v>
      </c>
      <c r="L329" s="27">
        <f t="shared" si="78"/>
        <v>5.7175925903720781E-3</v>
      </c>
      <c r="M329" s="30">
        <f t="shared" si="79"/>
        <v>2.6504629640839994E-3</v>
      </c>
      <c r="N329" s="18" t="str">
        <f t="shared" si="80"/>
        <v>AEROPORT DE DOUALA - AEROPORT DE DOUALA</v>
      </c>
      <c r="O329" s="18"/>
      <c r="P329" s="18"/>
    </row>
    <row r="330" spans="1:16" ht="27.6">
      <c r="A330" s="43" t="s">
        <v>86</v>
      </c>
      <c r="B330" s="43" t="s">
        <v>729</v>
      </c>
      <c r="C330" s="43" t="s">
        <v>1384</v>
      </c>
      <c r="D330" s="43" t="s">
        <v>1385</v>
      </c>
      <c r="E330" s="27">
        <f t="shared" si="81"/>
        <v>2.384259263635613E-3</v>
      </c>
      <c r="F330" s="18" t="s">
        <v>97</v>
      </c>
      <c r="G330" s="30">
        <f t="shared" si="74"/>
        <v>5.7175925903720781E-3</v>
      </c>
      <c r="H330" s="23" t="str">
        <f t="shared" si="75"/>
        <v>AEROPORT DE DOUALA - AEROPORT DE DOUALA</v>
      </c>
      <c r="I330" s="33" t="str">
        <f>IF(F329='Données Hebdo'!A329, VLOOKUP(Feuil1!A330, 'Données Hebdo'!B:J, 8, FALSE), "")</f>
        <v/>
      </c>
      <c r="J330" s="27" t="str">
        <f t="shared" si="76"/>
        <v>11:18:33 à 11:25:56</v>
      </c>
      <c r="K330" s="27" t="str">
        <f t="shared" si="77"/>
        <v>2016-05-31 11:25:56</v>
      </c>
      <c r="L330" s="27">
        <f t="shared" si="78"/>
        <v>5.1273148128530011E-3</v>
      </c>
      <c r="M330" s="30">
        <f t="shared" si="79"/>
        <v>2.384259263635613E-3</v>
      </c>
      <c r="N330" s="18" t="str">
        <f t="shared" si="80"/>
        <v>AEROPORT DE DOUALA - AEROPORT DE DOUALA</v>
      </c>
      <c r="O330" s="18"/>
      <c r="P330" s="18"/>
    </row>
    <row r="331" spans="1:16" ht="27.6">
      <c r="A331" s="43" t="s">
        <v>86</v>
      </c>
      <c r="B331" s="43" t="s">
        <v>729</v>
      </c>
      <c r="C331" s="43" t="s">
        <v>1386</v>
      </c>
      <c r="D331" s="43" t="s">
        <v>1387</v>
      </c>
      <c r="E331" s="27">
        <f t="shared" si="81"/>
        <v>3.2407407707069069E-4</v>
      </c>
      <c r="F331" s="18" t="s">
        <v>97</v>
      </c>
      <c r="G331" s="30">
        <f t="shared" si="74"/>
        <v>5.1273148128530011E-3</v>
      </c>
      <c r="H331" s="23" t="str">
        <f t="shared" si="75"/>
        <v>AEROPORT DE DOUALA - AEROPORT DE DOUALA</v>
      </c>
      <c r="I331" s="33" t="str">
        <f>IF(F330='Données Hebdo'!A330, VLOOKUP(Feuil1!A331, 'Données Hebdo'!B:J, 8, FALSE), "")</f>
        <v/>
      </c>
      <c r="J331" s="27" t="str">
        <f t="shared" si="76"/>
        <v>11:26:24 à 11:28:06</v>
      </c>
      <c r="K331" s="27" t="str">
        <f t="shared" si="77"/>
        <v>2016-05-31 11:28:06</v>
      </c>
      <c r="L331" s="27">
        <f t="shared" si="78"/>
        <v>1.1805555550381541E-3</v>
      </c>
      <c r="M331" s="30">
        <f t="shared" si="79"/>
        <v>3.2407407707069069E-4</v>
      </c>
      <c r="N331" s="18" t="str">
        <f t="shared" si="80"/>
        <v>AEROPORT DE DOUALA - BASE RAZEL AEROPORT</v>
      </c>
      <c r="O331" s="18"/>
      <c r="P331" s="18"/>
    </row>
    <row r="332" spans="1:16" ht="27.6">
      <c r="A332" s="43" t="s">
        <v>86</v>
      </c>
      <c r="B332" s="43" t="s">
        <v>53</v>
      </c>
      <c r="C332" s="43" t="s">
        <v>1388</v>
      </c>
      <c r="D332" s="43" t="s">
        <v>1389</v>
      </c>
      <c r="E332" s="27">
        <f t="shared" si="81"/>
        <v>2.488425925548654E-3</v>
      </c>
      <c r="F332" s="18" t="s">
        <v>97</v>
      </c>
      <c r="G332" s="30">
        <f t="shared" ref="G332:G395" si="82">IF(A332=A331, C332-D331, "")</f>
        <v>1.1805555550381541E-3</v>
      </c>
      <c r="H332" s="23" t="str">
        <f t="shared" ref="H332:H395" si="83">IF(A332=A331, B331&amp;" - "&amp;B332, "")</f>
        <v>AEROPORT DE DOUALA - BASE RAZEL AEROPORT</v>
      </c>
      <c r="I332" s="33" t="str">
        <f>IF(F331='Données Hebdo'!A331, VLOOKUP(Feuil1!A332, 'Données Hebdo'!B:J, 8, FALSE), "")</f>
        <v/>
      </c>
      <c r="J332" s="27" t="str">
        <f t="shared" ref="J332:J395" si="84">IF(A332=A333, RIGHT(D332, 8)&amp;" à "&amp;RIGHT(C333, 8), "")</f>
        <v>11:31:41 à 12:44:15</v>
      </c>
      <c r="K332" s="27" t="str">
        <f t="shared" ref="K332:K395" si="85">IF(A332=A333, C333, "")</f>
        <v>2016-05-31 12:44:15</v>
      </c>
      <c r="L332" s="27">
        <f t="shared" ref="L332:L395" si="86">IF(A332=A333, G333, "")</f>
        <v>5.0393518518831115E-2</v>
      </c>
      <c r="M332" s="30">
        <f t="shared" ref="M332:M395" si="87">IF(A332=A333, E332, "")</f>
        <v>2.488425925548654E-3</v>
      </c>
      <c r="N332" s="18" t="str">
        <f t="shared" ref="N332:N395" si="88">IF(A332=A333, H333, "")</f>
        <v>BASE RAZEL AEROPORT - CARRIERE LOGBADJECK</v>
      </c>
      <c r="O332" s="18"/>
      <c r="P332" s="18"/>
    </row>
    <row r="333" spans="1:16" ht="27.6">
      <c r="A333" s="43" t="s">
        <v>86</v>
      </c>
      <c r="B333" s="43" t="s">
        <v>55</v>
      </c>
      <c r="C333" s="43" t="s">
        <v>1390</v>
      </c>
      <c r="D333" s="43" t="s">
        <v>1391</v>
      </c>
      <c r="E333" s="27">
        <f t="shared" si="81"/>
        <v>6.3877314809360541E-2</v>
      </c>
      <c r="F333" s="18" t="s">
        <v>97</v>
      </c>
      <c r="G333" s="30">
        <f t="shared" si="82"/>
        <v>5.0393518518831115E-2</v>
      </c>
      <c r="H333" s="23" t="str">
        <f t="shared" si="83"/>
        <v>BASE RAZEL AEROPORT - CARRIERE LOGBADJECK</v>
      </c>
      <c r="I333" s="33" t="str">
        <f>IF(F332='Données Hebdo'!A332, VLOOKUP(Feuil1!A333, 'Données Hebdo'!B:J, 8, FALSE), "")</f>
        <v/>
      </c>
      <c r="J333" s="27" t="str">
        <f t="shared" si="84"/>
        <v>14:16:14 à 15:41:56</v>
      </c>
      <c r="K333" s="27" t="str">
        <f t="shared" si="85"/>
        <v>2016-05-31 15:41:56</v>
      </c>
      <c r="L333" s="27">
        <f t="shared" si="86"/>
        <v>5.9513888889341615E-2</v>
      </c>
      <c r="M333" s="30">
        <f t="shared" si="87"/>
        <v>6.3877314809360541E-2</v>
      </c>
      <c r="N333" s="18" t="str">
        <f t="shared" si="88"/>
        <v>CARRIERE LOGBADJECK - BASE RAZEL AEROPORT</v>
      </c>
      <c r="O333" s="18"/>
      <c r="P333" s="18"/>
    </row>
    <row r="334" spans="1:16" ht="27.6">
      <c r="A334" s="43" t="s">
        <v>86</v>
      </c>
      <c r="B334" s="43" t="s">
        <v>53</v>
      </c>
      <c r="C334" s="43" t="s">
        <v>1392</v>
      </c>
      <c r="D334" s="43" t="s">
        <v>1393</v>
      </c>
      <c r="E334" s="27">
        <f t="shared" si="81"/>
        <v>1.156250000349246E-2</v>
      </c>
      <c r="F334" s="18" t="s">
        <v>97</v>
      </c>
      <c r="G334" s="30">
        <f t="shared" si="82"/>
        <v>5.9513888889341615E-2</v>
      </c>
      <c r="H334" s="23" t="str">
        <f t="shared" si="83"/>
        <v>CARRIERE LOGBADJECK - BASE RAZEL AEROPORT</v>
      </c>
      <c r="I334" s="33" t="str">
        <f>IF(F333='Données Hebdo'!A333, VLOOKUP(Feuil1!A334, 'Données Hebdo'!B:J, 8, FALSE), "")</f>
        <v/>
      </c>
      <c r="J334" s="27" t="str">
        <f t="shared" si="84"/>
        <v>15:58:35 à 15:59:46</v>
      </c>
      <c r="K334" s="27" t="str">
        <f t="shared" si="85"/>
        <v>2016-05-31 15:59:46</v>
      </c>
      <c r="L334" s="27">
        <f t="shared" si="86"/>
        <v>8.217592621804215E-4</v>
      </c>
      <c r="M334" s="30">
        <f t="shared" si="87"/>
        <v>1.156250000349246E-2</v>
      </c>
      <c r="N334" s="18" t="str">
        <f t="shared" si="88"/>
        <v>BASE RAZEL AEROPORT - AEROPORT DE DOUALA</v>
      </c>
      <c r="O334" s="18"/>
      <c r="P334" s="18"/>
    </row>
    <row r="335" spans="1:16" ht="27.6">
      <c r="A335" s="43" t="s">
        <v>86</v>
      </c>
      <c r="B335" s="43" t="s">
        <v>729</v>
      </c>
      <c r="C335" s="43" t="s">
        <v>1394</v>
      </c>
      <c r="D335" s="43" t="s">
        <v>1395</v>
      </c>
      <c r="E335" s="27">
        <f t="shared" si="81"/>
        <v>2.2916666639503092E-3</v>
      </c>
      <c r="F335" s="18" t="s">
        <v>97</v>
      </c>
      <c r="G335" s="30">
        <f t="shared" si="82"/>
        <v>8.217592621804215E-4</v>
      </c>
      <c r="H335" s="23" t="str">
        <f t="shared" si="83"/>
        <v>BASE RAZEL AEROPORT - AEROPORT DE DOUALA</v>
      </c>
      <c r="I335" s="33" t="str">
        <f>IF(F334='Données Hebdo'!A334, VLOOKUP(Feuil1!A335, 'Données Hebdo'!B:J, 8, FALSE), "")</f>
        <v/>
      </c>
      <c r="J335" s="27" t="str">
        <f t="shared" si="84"/>
        <v>16:03:04 à 16:08:04</v>
      </c>
      <c r="K335" s="27" t="str">
        <f t="shared" si="85"/>
        <v>2016-05-31 16:08:04</v>
      </c>
      <c r="L335" s="27">
        <f t="shared" si="86"/>
        <v>3.4722222189884633E-3</v>
      </c>
      <c r="M335" s="30">
        <f t="shared" si="87"/>
        <v>2.2916666639503092E-3</v>
      </c>
      <c r="N335" s="18" t="str">
        <f t="shared" si="88"/>
        <v>AEROPORT DE DOUALA - AEROPORT DE DOUALA</v>
      </c>
      <c r="O335" s="18"/>
      <c r="P335" s="18"/>
    </row>
    <row r="336" spans="1:16" ht="27.6">
      <c r="A336" s="43" t="s">
        <v>86</v>
      </c>
      <c r="B336" s="43" t="s">
        <v>729</v>
      </c>
      <c r="C336" s="43" t="s">
        <v>1396</v>
      </c>
      <c r="D336" s="43" t="s">
        <v>1397</v>
      </c>
      <c r="E336" s="27">
        <f t="shared" si="81"/>
        <v>4.7453703737119213E-3</v>
      </c>
      <c r="F336" s="18" t="s">
        <v>97</v>
      </c>
      <c r="G336" s="30">
        <f t="shared" si="82"/>
        <v>3.4722222189884633E-3</v>
      </c>
      <c r="H336" s="23" t="str">
        <f t="shared" si="83"/>
        <v>AEROPORT DE DOUALA - AEROPORT DE DOUALA</v>
      </c>
      <c r="I336" s="33" t="str">
        <f>IF(F335='Données Hebdo'!A335, VLOOKUP(Feuil1!A336, 'Données Hebdo'!B:J, 8, FALSE), "")</f>
        <v/>
      </c>
      <c r="J336" s="27" t="str">
        <f t="shared" si="84"/>
        <v>16:14:54 à 16:41:06</v>
      </c>
      <c r="K336" s="27" t="str">
        <f t="shared" si="85"/>
        <v>2016-05-31 16:41:06</v>
      </c>
      <c r="L336" s="27">
        <f t="shared" si="86"/>
        <v>1.8194444441178348E-2</v>
      </c>
      <c r="M336" s="30">
        <f t="shared" si="87"/>
        <v>4.7453703737119213E-3</v>
      </c>
      <c r="N336" s="18" t="str">
        <f t="shared" si="88"/>
        <v>AEROPORT DE DOUALA - BASE RAZEL WOURI</v>
      </c>
      <c r="O336" s="18"/>
      <c r="P336" s="18"/>
    </row>
    <row r="337" spans="1:16" ht="27.6">
      <c r="A337" s="43" t="s">
        <v>86</v>
      </c>
      <c r="B337" s="43" t="s">
        <v>58</v>
      </c>
      <c r="C337" s="43" t="s">
        <v>1398</v>
      </c>
      <c r="D337" s="43" t="s">
        <v>1399</v>
      </c>
      <c r="E337" s="27">
        <f t="shared" si="81"/>
        <v>6.7812500004947651E-2</v>
      </c>
      <c r="F337" s="18" t="s">
        <v>97</v>
      </c>
      <c r="G337" s="30">
        <f t="shared" si="82"/>
        <v>1.8194444441178348E-2</v>
      </c>
      <c r="H337" s="23" t="str">
        <f t="shared" si="83"/>
        <v>AEROPORT DE DOUALA - BASE RAZEL WOURI</v>
      </c>
      <c r="I337" s="33" t="str">
        <f>IF(F336='Données Hebdo'!A336, VLOOKUP(Feuil1!A337, 'Données Hebdo'!B:J, 8, FALSE), "")</f>
        <v/>
      </c>
      <c r="J337" s="27" t="str">
        <f t="shared" si="84"/>
        <v>18:18:45 à 18:48:07</v>
      </c>
      <c r="K337" s="27" t="str">
        <f t="shared" si="85"/>
        <v>2016-05-31 18:48:07</v>
      </c>
      <c r="L337" s="27">
        <f t="shared" si="86"/>
        <v>2.0393518512719311E-2</v>
      </c>
      <c r="M337" s="30">
        <f t="shared" si="87"/>
        <v>6.7812500004947651E-2</v>
      </c>
      <c r="N337" s="18" t="str">
        <f t="shared" si="88"/>
        <v>BASE RAZEL WOURI - AEROPORT DE DOUALA</v>
      </c>
      <c r="O337" s="18"/>
      <c r="P337" s="18"/>
    </row>
    <row r="338" spans="1:16" ht="27.6">
      <c r="A338" s="43" t="s">
        <v>86</v>
      </c>
      <c r="B338" s="43" t="s">
        <v>729</v>
      </c>
      <c r="C338" s="43" t="s">
        <v>1400</v>
      </c>
      <c r="D338" s="43" t="s">
        <v>1401</v>
      </c>
      <c r="E338" s="27">
        <f t="shared" si="81"/>
        <v>1.2152777781011537E-3</v>
      </c>
      <c r="F338" s="18" t="s">
        <v>97</v>
      </c>
      <c r="G338" s="30">
        <f t="shared" si="82"/>
        <v>2.0393518512719311E-2</v>
      </c>
      <c r="H338" s="23" t="str">
        <f t="shared" si="83"/>
        <v>BASE RAZEL WOURI - AEROPORT DE DOUALA</v>
      </c>
      <c r="I338" s="33" t="str">
        <f>IF(F337='Données Hebdo'!A337, VLOOKUP(Feuil1!A338, 'Données Hebdo'!B:J, 8, FALSE), "")</f>
        <v/>
      </c>
      <c r="J338" s="27" t="str">
        <f t="shared" si="84"/>
        <v>18:49:52 à 18:52:24</v>
      </c>
      <c r="K338" s="27" t="str">
        <f t="shared" si="85"/>
        <v>2016-05-31 18:52:24</v>
      </c>
      <c r="L338" s="27">
        <f t="shared" si="86"/>
        <v>1.7592592630535364E-3</v>
      </c>
      <c r="M338" s="30">
        <f t="shared" si="87"/>
        <v>1.2152777781011537E-3</v>
      </c>
      <c r="N338" s="18" t="str">
        <f t="shared" si="88"/>
        <v>AEROPORT DE DOUALA - BASE RAZEL AEROPORT</v>
      </c>
      <c r="O338" s="18"/>
      <c r="P338" s="18"/>
    </row>
    <row r="339" spans="1:16">
      <c r="A339" s="43" t="s">
        <v>86</v>
      </c>
      <c r="B339" s="43" t="s">
        <v>53</v>
      </c>
      <c r="C339" s="43" t="s">
        <v>1402</v>
      </c>
      <c r="D339" s="43" t="s">
        <v>1403</v>
      </c>
      <c r="E339" s="27">
        <f t="shared" si="81"/>
        <v>0.43531249999796273</v>
      </c>
      <c r="F339" s="18" t="s">
        <v>97</v>
      </c>
      <c r="G339" s="30">
        <f t="shared" si="82"/>
        <v>1.7592592630535364E-3</v>
      </c>
      <c r="H339" s="23" t="str">
        <f t="shared" si="83"/>
        <v>AEROPORT DE DOUALA - BASE RAZEL AEROPORT</v>
      </c>
      <c r="I339" s="33" t="str">
        <f>IF(F338='Données Hebdo'!A338, VLOOKUP(Feuil1!A339, 'Données Hebdo'!B:J, 8, FALSE), "")</f>
        <v/>
      </c>
      <c r="J339" s="27" t="str">
        <f t="shared" si="84"/>
        <v/>
      </c>
      <c r="K339" s="27" t="str">
        <f t="shared" si="85"/>
        <v/>
      </c>
      <c r="L339" s="27" t="str">
        <f t="shared" si="86"/>
        <v/>
      </c>
      <c r="M339" s="30" t="str">
        <f t="shared" si="87"/>
        <v/>
      </c>
      <c r="N339" s="18" t="str">
        <f t="shared" si="88"/>
        <v/>
      </c>
      <c r="O339" s="18"/>
      <c r="P339" s="18"/>
    </row>
    <row r="340" spans="1:16" ht="27.6">
      <c r="A340" s="43" t="s">
        <v>88</v>
      </c>
      <c r="B340" s="43" t="s">
        <v>53</v>
      </c>
      <c r="C340" s="43" t="s">
        <v>1252</v>
      </c>
      <c r="D340" s="43" t="s">
        <v>1253</v>
      </c>
      <c r="E340" s="27">
        <f t="shared" si="81"/>
        <v>0.63004629629722331</v>
      </c>
      <c r="F340" s="18" t="s">
        <v>97</v>
      </c>
      <c r="G340" s="30" t="str">
        <f t="shared" si="82"/>
        <v/>
      </c>
      <c r="H340" s="23" t="str">
        <f t="shared" si="83"/>
        <v/>
      </c>
      <c r="I340" s="33" t="str">
        <f>IF(F339='Données Hebdo'!A339, VLOOKUP(Feuil1!A340, 'Données Hebdo'!B:J, 8, FALSE), "")</f>
        <v/>
      </c>
      <c r="J340" s="27" t="str">
        <f t="shared" si="84"/>
        <v>07:17:52 à 08:34:05</v>
      </c>
      <c r="K340" s="27" t="str">
        <f t="shared" si="85"/>
        <v>2016-05-31 08:34:05</v>
      </c>
      <c r="L340" s="27">
        <f t="shared" si="86"/>
        <v>5.2928240736946464E-2</v>
      </c>
      <c r="M340" s="30">
        <f t="shared" si="87"/>
        <v>0.63004629629722331</v>
      </c>
      <c r="N340" s="18" t="str">
        <f t="shared" si="88"/>
        <v>BASE RAZEL AEROPORT - CARRIERE LOGBADJECK</v>
      </c>
      <c r="O340" s="18"/>
      <c r="P340" s="18"/>
    </row>
    <row r="341" spans="1:16" ht="27.6">
      <c r="A341" s="43" t="s">
        <v>88</v>
      </c>
      <c r="B341" s="43" t="s">
        <v>55</v>
      </c>
      <c r="C341" s="43" t="s">
        <v>1404</v>
      </c>
      <c r="D341" s="43" t="s">
        <v>1405</v>
      </c>
      <c r="E341" s="27">
        <f t="shared" si="81"/>
        <v>2.2893518522323575E-2</v>
      </c>
      <c r="F341" s="18" t="s">
        <v>97</v>
      </c>
      <c r="G341" s="30">
        <f t="shared" si="82"/>
        <v>5.2928240736946464E-2</v>
      </c>
      <c r="H341" s="23" t="str">
        <f t="shared" si="83"/>
        <v>BASE RAZEL AEROPORT - CARRIERE LOGBADJECK</v>
      </c>
      <c r="I341" s="33" t="str">
        <f>IF(F340='Données Hebdo'!A340, VLOOKUP(Feuil1!A341, 'Données Hebdo'!B:J, 8, FALSE), "")</f>
        <v/>
      </c>
      <c r="J341" s="27" t="str">
        <f t="shared" si="84"/>
        <v>09:07:03 à 10:57:58</v>
      </c>
      <c r="K341" s="27" t="str">
        <f t="shared" si="85"/>
        <v>2016-05-31 10:57:58</v>
      </c>
      <c r="L341" s="27">
        <f t="shared" si="86"/>
        <v>7.702546296059154E-2</v>
      </c>
      <c r="M341" s="30">
        <f t="shared" si="87"/>
        <v>2.2893518522323575E-2</v>
      </c>
      <c r="N341" s="18" t="str">
        <f t="shared" si="88"/>
        <v>CARRIERE LOGBADJECK - BASE RAZEL AEROPORT</v>
      </c>
      <c r="O341" s="18"/>
      <c r="P341" s="18"/>
    </row>
    <row r="342" spans="1:16" ht="27.6">
      <c r="A342" s="43" t="s">
        <v>88</v>
      </c>
      <c r="B342" s="43" t="s">
        <v>53</v>
      </c>
      <c r="C342" s="43" t="s">
        <v>1406</v>
      </c>
      <c r="D342" s="43" t="s">
        <v>1407</v>
      </c>
      <c r="E342" s="27">
        <f t="shared" si="81"/>
        <v>1.7939814788405783E-3</v>
      </c>
      <c r="F342" s="18" t="s">
        <v>97</v>
      </c>
      <c r="G342" s="30">
        <f t="shared" si="82"/>
        <v>7.702546296059154E-2</v>
      </c>
      <c r="H342" s="23" t="str">
        <f t="shared" si="83"/>
        <v>CARRIERE LOGBADJECK - BASE RAZEL AEROPORT</v>
      </c>
      <c r="I342" s="33" t="str">
        <f>IF(F341='Données Hebdo'!A341, VLOOKUP(Feuil1!A342, 'Données Hebdo'!B:J, 8, FALSE), "")</f>
        <v/>
      </c>
      <c r="J342" s="27" t="str">
        <f t="shared" si="84"/>
        <v>11:00:33 à 11:01:29</v>
      </c>
      <c r="K342" s="27" t="str">
        <f t="shared" si="85"/>
        <v>2016-05-31 11:01:29</v>
      </c>
      <c r="L342" s="27">
        <f t="shared" si="86"/>
        <v>6.4814815414138138E-4</v>
      </c>
      <c r="M342" s="30">
        <f t="shared" si="87"/>
        <v>1.7939814788405783E-3</v>
      </c>
      <c r="N342" s="18" t="str">
        <f t="shared" si="88"/>
        <v>BASE RAZEL AEROPORT - AEROPORT DE DOUALA</v>
      </c>
      <c r="O342" s="18"/>
      <c r="P342" s="18"/>
    </row>
    <row r="343" spans="1:16" ht="27.6">
      <c r="A343" s="43" t="s">
        <v>88</v>
      </c>
      <c r="B343" s="43" t="s">
        <v>729</v>
      </c>
      <c r="C343" s="43" t="s">
        <v>1408</v>
      </c>
      <c r="D343" s="43" t="s">
        <v>1409</v>
      </c>
      <c r="E343" s="27">
        <f t="shared" si="81"/>
        <v>2.8009259258396924E-3</v>
      </c>
      <c r="F343" s="18" t="s">
        <v>97</v>
      </c>
      <c r="G343" s="30">
        <f t="shared" si="82"/>
        <v>6.4814815414138138E-4</v>
      </c>
      <c r="H343" s="23" t="str">
        <f t="shared" si="83"/>
        <v>BASE RAZEL AEROPORT - AEROPORT DE DOUALA</v>
      </c>
      <c r="I343" s="33" t="str">
        <f>IF(F342='Données Hebdo'!A342, VLOOKUP(Feuil1!A343, 'Données Hebdo'!B:J, 8, FALSE), "")</f>
        <v/>
      </c>
      <c r="J343" s="27" t="str">
        <f t="shared" si="84"/>
        <v>11:05:31 à 11:10:35</v>
      </c>
      <c r="K343" s="27" t="str">
        <f t="shared" si="85"/>
        <v>2016-05-31 11:10:35</v>
      </c>
      <c r="L343" s="27">
        <f t="shared" si="86"/>
        <v>3.5185185188311152E-3</v>
      </c>
      <c r="M343" s="30">
        <f t="shared" si="87"/>
        <v>2.8009259258396924E-3</v>
      </c>
      <c r="N343" s="18" t="str">
        <f t="shared" si="88"/>
        <v>AEROPORT DE DOUALA - AEROPORT DE DOUALA</v>
      </c>
      <c r="O343" s="18"/>
      <c r="P343" s="18"/>
    </row>
    <row r="344" spans="1:16" ht="27.6">
      <c r="A344" s="43" t="s">
        <v>88</v>
      </c>
      <c r="B344" s="43" t="s">
        <v>729</v>
      </c>
      <c r="C344" s="43" t="s">
        <v>1410</v>
      </c>
      <c r="D344" s="43" t="s">
        <v>1411</v>
      </c>
      <c r="E344" s="27">
        <f t="shared" si="81"/>
        <v>3.5648148113978095E-3</v>
      </c>
      <c r="F344" s="18" t="s">
        <v>97</v>
      </c>
      <c r="G344" s="30">
        <f t="shared" si="82"/>
        <v>3.5185185188311152E-3</v>
      </c>
      <c r="H344" s="23" t="str">
        <f t="shared" si="83"/>
        <v>AEROPORT DE DOUALA - AEROPORT DE DOUALA</v>
      </c>
      <c r="I344" s="33" t="str">
        <f>IF(F343='Données Hebdo'!A343, VLOOKUP(Feuil1!A344, 'Données Hebdo'!B:J, 8, FALSE), "")</f>
        <v/>
      </c>
      <c r="J344" s="27" t="str">
        <f t="shared" si="84"/>
        <v>11:15:43 à 11:18:06</v>
      </c>
      <c r="K344" s="27" t="str">
        <f t="shared" si="85"/>
        <v>2016-05-31 11:18:06</v>
      </c>
      <c r="L344" s="27">
        <f t="shared" si="86"/>
        <v>1.6550925938645378E-3</v>
      </c>
      <c r="M344" s="30">
        <f t="shared" si="87"/>
        <v>3.5648148113978095E-3</v>
      </c>
      <c r="N344" s="18" t="str">
        <f t="shared" si="88"/>
        <v>AEROPORT DE DOUALA - AEROPORT DE DOUALA</v>
      </c>
      <c r="O344" s="18"/>
      <c r="P344" s="18"/>
    </row>
    <row r="345" spans="1:16" ht="27.6">
      <c r="A345" s="43" t="s">
        <v>88</v>
      </c>
      <c r="B345" s="43" t="s">
        <v>729</v>
      </c>
      <c r="C345" s="43" t="s">
        <v>1412</v>
      </c>
      <c r="D345" s="43" t="s">
        <v>1413</v>
      </c>
      <c r="E345" s="27">
        <f t="shared" si="81"/>
        <v>3.7037036963738501E-4</v>
      </c>
      <c r="F345" s="18" t="s">
        <v>97</v>
      </c>
      <c r="G345" s="30">
        <f t="shared" si="82"/>
        <v>1.6550925938645378E-3</v>
      </c>
      <c r="H345" s="23" t="str">
        <f t="shared" si="83"/>
        <v>AEROPORT DE DOUALA - AEROPORT DE DOUALA</v>
      </c>
      <c r="I345" s="33" t="str">
        <f>IF(F344='Données Hebdo'!A344, VLOOKUP(Feuil1!A345, 'Données Hebdo'!B:J, 8, FALSE), "")</f>
        <v/>
      </c>
      <c r="J345" s="27" t="str">
        <f t="shared" si="84"/>
        <v>11:18:38 à 11:23:48</v>
      </c>
      <c r="K345" s="27" t="str">
        <f t="shared" si="85"/>
        <v>2016-05-31 11:23:48</v>
      </c>
      <c r="L345" s="27">
        <f t="shared" si="86"/>
        <v>3.5879629649571143E-3</v>
      </c>
      <c r="M345" s="30">
        <f t="shared" si="87"/>
        <v>3.7037036963738501E-4</v>
      </c>
      <c r="N345" s="18" t="str">
        <f t="shared" si="88"/>
        <v>AEROPORT DE DOUALA - AEROPORT DE DOUALA</v>
      </c>
      <c r="O345" s="18"/>
      <c r="P345" s="18"/>
    </row>
    <row r="346" spans="1:16" ht="27.6">
      <c r="A346" s="43" t="s">
        <v>88</v>
      </c>
      <c r="B346" s="43" t="s">
        <v>729</v>
      </c>
      <c r="C346" s="43" t="s">
        <v>1414</v>
      </c>
      <c r="D346" s="43" t="s">
        <v>1415</v>
      </c>
      <c r="E346" s="27">
        <f t="shared" si="81"/>
        <v>1.0416666191304103E-4</v>
      </c>
      <c r="F346" s="18" t="s">
        <v>97</v>
      </c>
      <c r="G346" s="30">
        <f t="shared" si="82"/>
        <v>3.5879629649571143E-3</v>
      </c>
      <c r="H346" s="23" t="str">
        <f t="shared" si="83"/>
        <v>AEROPORT DE DOUALA - AEROPORT DE DOUALA</v>
      </c>
      <c r="I346" s="33" t="str">
        <f>IF(F345='Données Hebdo'!A345, VLOOKUP(Feuil1!A346, 'Données Hebdo'!B:J, 8, FALSE), "")</f>
        <v/>
      </c>
      <c r="J346" s="27" t="str">
        <f t="shared" si="84"/>
        <v>11:23:57 à 11:26:09</v>
      </c>
      <c r="K346" s="27" t="str">
        <f t="shared" si="85"/>
        <v>2016-05-31 11:26:09</v>
      </c>
      <c r="L346" s="27">
        <f t="shared" si="86"/>
        <v>1.527777778392192E-3</v>
      </c>
      <c r="M346" s="30">
        <f t="shared" si="87"/>
        <v>1.0416666191304103E-4</v>
      </c>
      <c r="N346" s="18" t="str">
        <f t="shared" si="88"/>
        <v>AEROPORT DE DOUALA - BASE RAZEL AEROPORT</v>
      </c>
      <c r="O346" s="18"/>
      <c r="P346" s="18"/>
    </row>
    <row r="347" spans="1:16" ht="27.6">
      <c r="A347" s="43" t="s">
        <v>88</v>
      </c>
      <c r="B347" s="43" t="s">
        <v>53</v>
      </c>
      <c r="C347" s="43" t="s">
        <v>1416</v>
      </c>
      <c r="D347" s="43" t="s">
        <v>1417</v>
      </c>
      <c r="E347" s="27">
        <f t="shared" si="81"/>
        <v>2.8819444487453438E-3</v>
      </c>
      <c r="F347" s="18" t="s">
        <v>97</v>
      </c>
      <c r="G347" s="30">
        <f t="shared" si="82"/>
        <v>1.527777778392192E-3</v>
      </c>
      <c r="H347" s="23" t="str">
        <f t="shared" si="83"/>
        <v>AEROPORT DE DOUALA - BASE RAZEL AEROPORT</v>
      </c>
      <c r="I347" s="33" t="str">
        <f>IF(F346='Données Hebdo'!A346, VLOOKUP(Feuil1!A347, 'Données Hebdo'!B:J, 8, FALSE), "")</f>
        <v/>
      </c>
      <c r="J347" s="27" t="str">
        <f t="shared" si="84"/>
        <v>11:30:18 à 12:43:06</v>
      </c>
      <c r="K347" s="27" t="str">
        <f t="shared" si="85"/>
        <v>2016-05-31 12:43:06</v>
      </c>
      <c r="L347" s="27">
        <f t="shared" si="86"/>
        <v>5.0555555550090503E-2</v>
      </c>
      <c r="M347" s="30">
        <f t="shared" si="87"/>
        <v>2.8819444487453438E-3</v>
      </c>
      <c r="N347" s="18" t="str">
        <f t="shared" si="88"/>
        <v>BASE RAZEL AEROPORT - CARRIERE LOGBADJECK</v>
      </c>
      <c r="O347" s="18"/>
      <c r="P347" s="18"/>
    </row>
    <row r="348" spans="1:16" ht="27.6">
      <c r="A348" s="43" t="s">
        <v>88</v>
      </c>
      <c r="B348" s="43" t="s">
        <v>55</v>
      </c>
      <c r="C348" s="43" t="s">
        <v>1418</v>
      </c>
      <c r="D348" s="43" t="s">
        <v>1419</v>
      </c>
      <c r="E348" s="27">
        <f t="shared" si="81"/>
        <v>6.5243055556493346E-2</v>
      </c>
      <c r="F348" s="18" t="s">
        <v>97</v>
      </c>
      <c r="G348" s="30">
        <f t="shared" si="82"/>
        <v>5.0555555550090503E-2</v>
      </c>
      <c r="H348" s="23" t="str">
        <f t="shared" si="83"/>
        <v>BASE RAZEL AEROPORT - CARRIERE LOGBADJECK</v>
      </c>
      <c r="I348" s="33" t="str">
        <f>IF(F347='Données Hebdo'!A347, VLOOKUP(Feuil1!A348, 'Données Hebdo'!B:J, 8, FALSE), "")</f>
        <v/>
      </c>
      <c r="J348" s="27" t="str">
        <f t="shared" si="84"/>
        <v>14:17:03 à 15:42:12</v>
      </c>
      <c r="K348" s="27" t="str">
        <f t="shared" si="85"/>
        <v>2016-05-31 15:42:12</v>
      </c>
      <c r="L348" s="27">
        <f t="shared" si="86"/>
        <v>5.9131944442924578E-2</v>
      </c>
      <c r="M348" s="30">
        <f t="shared" si="87"/>
        <v>6.5243055556493346E-2</v>
      </c>
      <c r="N348" s="18" t="str">
        <f t="shared" si="88"/>
        <v>CARRIERE LOGBADJECK - BASE RAZEL AEROPORT</v>
      </c>
      <c r="O348" s="18"/>
      <c r="P348" s="18"/>
    </row>
    <row r="349" spans="1:16" ht="27.6">
      <c r="A349" s="43" t="s">
        <v>88</v>
      </c>
      <c r="B349" s="43" t="s">
        <v>53</v>
      </c>
      <c r="C349" s="43" t="s">
        <v>1420</v>
      </c>
      <c r="D349" s="43" t="s">
        <v>1421</v>
      </c>
      <c r="E349" s="27">
        <f t="shared" si="81"/>
        <v>1.0763888894871343E-2</v>
      </c>
      <c r="F349" s="18" t="s">
        <v>97</v>
      </c>
      <c r="G349" s="30">
        <f t="shared" si="82"/>
        <v>5.9131944442924578E-2</v>
      </c>
      <c r="H349" s="23" t="str">
        <f t="shared" si="83"/>
        <v>CARRIERE LOGBADJECK - BASE RAZEL AEROPORT</v>
      </c>
      <c r="I349" s="33" t="str">
        <f>IF(F348='Données Hebdo'!A348, VLOOKUP(Feuil1!A349, 'Données Hebdo'!B:J, 8, FALSE), "")</f>
        <v/>
      </c>
      <c r="J349" s="27" t="str">
        <f t="shared" si="84"/>
        <v>15:57:42 à 15:58:39</v>
      </c>
      <c r="K349" s="27" t="str">
        <f t="shared" si="85"/>
        <v>2016-05-31 15:58:39</v>
      </c>
      <c r="L349" s="27">
        <f t="shared" si="86"/>
        <v>6.5972221636911854E-4</v>
      </c>
      <c r="M349" s="30">
        <f t="shared" si="87"/>
        <v>1.0763888894871343E-2</v>
      </c>
      <c r="N349" s="18" t="str">
        <f t="shared" si="88"/>
        <v>BASE RAZEL AEROPORT - AEROPORT DE DOUALA</v>
      </c>
      <c r="O349" s="18"/>
      <c r="P349" s="18"/>
    </row>
    <row r="350" spans="1:16" ht="27.6">
      <c r="A350" s="43" t="s">
        <v>88</v>
      </c>
      <c r="B350" s="43" t="s">
        <v>729</v>
      </c>
      <c r="C350" s="43" t="s">
        <v>1422</v>
      </c>
      <c r="D350" s="43" t="s">
        <v>1423</v>
      </c>
      <c r="E350" s="27">
        <f t="shared" si="81"/>
        <v>2.7083333334303461E-3</v>
      </c>
      <c r="F350" s="18" t="s">
        <v>97</v>
      </c>
      <c r="G350" s="30">
        <f t="shared" si="82"/>
        <v>6.5972221636911854E-4</v>
      </c>
      <c r="H350" s="23" t="str">
        <f t="shared" si="83"/>
        <v>BASE RAZEL AEROPORT - AEROPORT DE DOUALA</v>
      </c>
      <c r="I350" s="33" t="str">
        <f>IF(F349='Données Hebdo'!A349, VLOOKUP(Feuil1!A350, 'Données Hebdo'!B:J, 8, FALSE), "")</f>
        <v/>
      </c>
      <c r="J350" s="27" t="str">
        <f t="shared" si="84"/>
        <v>16:02:33 à 16:09:38</v>
      </c>
      <c r="K350" s="27" t="str">
        <f t="shared" si="85"/>
        <v>2016-05-31 16:09:38</v>
      </c>
      <c r="L350" s="27">
        <f t="shared" si="86"/>
        <v>4.9189814817509614E-3</v>
      </c>
      <c r="M350" s="30">
        <f t="shared" si="87"/>
        <v>2.7083333334303461E-3</v>
      </c>
      <c r="N350" s="18" t="str">
        <f t="shared" si="88"/>
        <v>AEROPORT DE DOUALA - AEROPORT DE DOUALA</v>
      </c>
      <c r="O350" s="18"/>
      <c r="P350" s="18"/>
    </row>
    <row r="351" spans="1:16" ht="27.6">
      <c r="A351" s="43" t="s">
        <v>88</v>
      </c>
      <c r="B351" s="43" t="s">
        <v>729</v>
      </c>
      <c r="C351" s="43" t="s">
        <v>1424</v>
      </c>
      <c r="D351" s="43" t="s">
        <v>1425</v>
      </c>
      <c r="E351" s="27">
        <f t="shared" si="81"/>
        <v>4.0393518575001508E-3</v>
      </c>
      <c r="F351" s="18" t="s">
        <v>97</v>
      </c>
      <c r="G351" s="30">
        <f t="shared" si="82"/>
        <v>4.9189814817509614E-3</v>
      </c>
      <c r="H351" s="23" t="str">
        <f t="shared" si="83"/>
        <v>AEROPORT DE DOUALA - AEROPORT DE DOUALA</v>
      </c>
      <c r="I351" s="33" t="str">
        <f>IF(F350='Données Hebdo'!A350, VLOOKUP(Feuil1!A351, 'Données Hebdo'!B:J, 8, FALSE), "")</f>
        <v/>
      </c>
      <c r="J351" s="27" t="str">
        <f t="shared" si="84"/>
        <v>16:15:27 à 16:16:16</v>
      </c>
      <c r="K351" s="27" t="str">
        <f t="shared" si="85"/>
        <v>2016-05-31 16:16:16</v>
      </c>
      <c r="L351" s="27">
        <f t="shared" si="86"/>
        <v>5.6712962395977229E-4</v>
      </c>
      <c r="M351" s="30">
        <f t="shared" si="87"/>
        <v>4.0393518575001508E-3</v>
      </c>
      <c r="N351" s="18" t="str">
        <f t="shared" si="88"/>
        <v>AEROPORT DE DOUALA - BASE RAZEL AEROPORT</v>
      </c>
      <c r="O351" s="18"/>
      <c r="P351" s="18"/>
    </row>
    <row r="352" spans="1:16" ht="27.6">
      <c r="A352" s="43" t="s">
        <v>88</v>
      </c>
      <c r="B352" s="43" t="s">
        <v>53</v>
      </c>
      <c r="C352" s="43" t="s">
        <v>1426</v>
      </c>
      <c r="D352" s="43" t="s">
        <v>1427</v>
      </c>
      <c r="E352" s="27">
        <f t="shared" si="81"/>
        <v>1.5046296903165057E-4</v>
      </c>
      <c r="F352" s="18" t="s">
        <v>97</v>
      </c>
      <c r="G352" s="30">
        <f t="shared" si="82"/>
        <v>5.6712962395977229E-4</v>
      </c>
      <c r="H352" s="23" t="str">
        <f t="shared" si="83"/>
        <v>AEROPORT DE DOUALA - BASE RAZEL AEROPORT</v>
      </c>
      <c r="I352" s="33" t="str">
        <f>IF(F351='Données Hebdo'!A351, VLOOKUP(Feuil1!A352, 'Données Hebdo'!B:J, 8, FALSE), "")</f>
        <v/>
      </c>
      <c r="J352" s="27" t="str">
        <f t="shared" si="84"/>
        <v>16:16:29 à 16:17:44</v>
      </c>
      <c r="K352" s="27" t="str">
        <f t="shared" si="85"/>
        <v>2016-05-31 16:17:44</v>
      </c>
      <c r="L352" s="27">
        <f t="shared" si="86"/>
        <v>8.6805555474711582E-4</v>
      </c>
      <c r="M352" s="30">
        <f t="shared" si="87"/>
        <v>1.5046296903165057E-4</v>
      </c>
      <c r="N352" s="18" t="str">
        <f t="shared" si="88"/>
        <v>BASE RAZEL AEROPORT - AEROPORT DE DOUALA</v>
      </c>
      <c r="O352" s="18"/>
      <c r="P352" s="18"/>
    </row>
    <row r="353" spans="1:16" ht="27.6">
      <c r="A353" s="43" t="s">
        <v>88</v>
      </c>
      <c r="B353" s="43" t="s">
        <v>729</v>
      </c>
      <c r="C353" s="43" t="s">
        <v>1428</v>
      </c>
      <c r="D353" s="43" t="s">
        <v>1429</v>
      </c>
      <c r="E353" s="27">
        <f t="shared" si="81"/>
        <v>9.0277777781011537E-4</v>
      </c>
      <c r="F353" s="18" t="s">
        <v>97</v>
      </c>
      <c r="G353" s="30">
        <f t="shared" si="82"/>
        <v>8.6805555474711582E-4</v>
      </c>
      <c r="H353" s="23" t="str">
        <f t="shared" si="83"/>
        <v>BASE RAZEL AEROPORT - AEROPORT DE DOUALA</v>
      </c>
      <c r="I353" s="33" t="str">
        <f>IF(F352='Données Hebdo'!A352, VLOOKUP(Feuil1!A353, 'Données Hebdo'!B:J, 8, FALSE), "")</f>
        <v/>
      </c>
      <c r="J353" s="27" t="str">
        <f t="shared" si="84"/>
        <v>16:19:02 à 16:23:25</v>
      </c>
      <c r="K353" s="27" t="str">
        <f t="shared" si="85"/>
        <v>2016-05-31 16:23:25</v>
      </c>
      <c r="L353" s="27">
        <f t="shared" si="86"/>
        <v>3.0439814800047316E-3</v>
      </c>
      <c r="M353" s="30">
        <f t="shared" si="87"/>
        <v>9.0277777781011537E-4</v>
      </c>
      <c r="N353" s="18" t="str">
        <f t="shared" si="88"/>
        <v>AEROPORT DE DOUALA - AEROPORT DE DOUALA</v>
      </c>
      <c r="O353" s="18"/>
      <c r="P353" s="18"/>
    </row>
    <row r="354" spans="1:16" ht="27.6">
      <c r="A354" s="43" t="s">
        <v>88</v>
      </c>
      <c r="B354" s="43" t="s">
        <v>729</v>
      </c>
      <c r="C354" s="43" t="s">
        <v>1430</v>
      </c>
      <c r="D354" s="43" t="s">
        <v>1431</v>
      </c>
      <c r="E354" s="27">
        <f t="shared" si="81"/>
        <v>1.0416666918899864E-4</v>
      </c>
      <c r="F354" s="18" t="s">
        <v>97</v>
      </c>
      <c r="G354" s="30">
        <f t="shared" si="82"/>
        <v>3.0439814800047316E-3</v>
      </c>
      <c r="H354" s="23" t="str">
        <f t="shared" si="83"/>
        <v>AEROPORT DE DOUALA - AEROPORT DE DOUALA</v>
      </c>
      <c r="I354" s="33" t="str">
        <f>IF(F353='Données Hebdo'!A353, VLOOKUP(Feuil1!A354, 'Données Hebdo'!B:J, 8, FALSE), "")</f>
        <v/>
      </c>
      <c r="J354" s="27" t="str">
        <f t="shared" si="84"/>
        <v>16:23:34 à 16:25:37</v>
      </c>
      <c r="K354" s="27" t="str">
        <f t="shared" si="85"/>
        <v>2016-05-31 16:25:37</v>
      </c>
      <c r="L354" s="27">
        <f t="shared" si="86"/>
        <v>1.4236111092031933E-3</v>
      </c>
      <c r="M354" s="30">
        <f t="shared" si="87"/>
        <v>1.0416666918899864E-4</v>
      </c>
      <c r="N354" s="18" t="str">
        <f t="shared" si="88"/>
        <v>AEROPORT DE DOUALA - BASE RAZEL AEROPORT</v>
      </c>
      <c r="O354" s="18"/>
      <c r="P354" s="18"/>
    </row>
    <row r="355" spans="1:16">
      <c r="A355" s="43" t="s">
        <v>88</v>
      </c>
      <c r="B355" s="43" t="s">
        <v>53</v>
      </c>
      <c r="C355" s="43" t="s">
        <v>1432</v>
      </c>
      <c r="D355" s="43" t="s">
        <v>1433</v>
      </c>
      <c r="E355" s="27">
        <f t="shared" si="81"/>
        <v>0.54511574073694646</v>
      </c>
      <c r="F355" s="18" t="s">
        <v>97</v>
      </c>
      <c r="G355" s="30">
        <f t="shared" si="82"/>
        <v>1.4236111092031933E-3</v>
      </c>
      <c r="H355" s="23" t="str">
        <f t="shared" si="83"/>
        <v>AEROPORT DE DOUALA - BASE RAZEL AEROPORT</v>
      </c>
      <c r="I355" s="33" t="str">
        <f>IF(F354='Données Hebdo'!A354, VLOOKUP(Feuil1!A355, 'Données Hebdo'!B:J, 8, FALSE), "")</f>
        <v/>
      </c>
      <c r="J355" s="27" t="str">
        <f t="shared" si="84"/>
        <v/>
      </c>
      <c r="K355" s="27" t="str">
        <f t="shared" si="85"/>
        <v/>
      </c>
      <c r="L355" s="27" t="str">
        <f t="shared" si="86"/>
        <v/>
      </c>
      <c r="M355" s="30" t="str">
        <f t="shared" si="87"/>
        <v/>
      </c>
      <c r="N355" s="18" t="str">
        <f t="shared" si="88"/>
        <v/>
      </c>
      <c r="O355" s="18"/>
      <c r="P355" s="18"/>
    </row>
    <row r="356" spans="1:16" ht="27.6">
      <c r="A356" s="43" t="s">
        <v>89</v>
      </c>
      <c r="B356" s="43" t="s">
        <v>56</v>
      </c>
      <c r="C356" s="43" t="s">
        <v>1264</v>
      </c>
      <c r="D356" s="43" t="s">
        <v>1265</v>
      </c>
      <c r="E356" s="27">
        <f t="shared" si="81"/>
        <v>0.51439814815239515</v>
      </c>
      <c r="F356" s="18" t="s">
        <v>97</v>
      </c>
      <c r="G356" s="30" t="str">
        <f t="shared" si="82"/>
        <v/>
      </c>
      <c r="H356" s="23" t="str">
        <f t="shared" si="83"/>
        <v/>
      </c>
      <c r="I356" s="33" t="str">
        <f>IF(F355='Données Hebdo'!A355, VLOOKUP(Feuil1!A356, 'Données Hebdo'!B:J, 8, FALSE), "")</f>
        <v/>
      </c>
      <c r="J356" s="27" t="str">
        <f t="shared" si="84"/>
        <v>05:34:36 à 06:37:46</v>
      </c>
      <c r="K356" s="27" t="str">
        <f t="shared" si="85"/>
        <v>2016-05-31 06:37:46</v>
      </c>
      <c r="L356" s="27">
        <f t="shared" si="86"/>
        <v>4.386574073578231E-2</v>
      </c>
      <c r="M356" s="30">
        <f t="shared" si="87"/>
        <v>0.51439814815239515</v>
      </c>
      <c r="N356" s="18" t="str">
        <f t="shared" si="88"/>
        <v>DEPOT RAZEL YASSA - CARRIERE LOGBADJECK</v>
      </c>
      <c r="O356" s="18"/>
      <c r="P356" s="18"/>
    </row>
    <row r="357" spans="1:16" ht="27.6">
      <c r="A357" s="43" t="s">
        <v>89</v>
      </c>
      <c r="B357" s="43" t="s">
        <v>55</v>
      </c>
      <c r="C357" s="43" t="s">
        <v>1434</v>
      </c>
      <c r="D357" s="43" t="s">
        <v>1435</v>
      </c>
      <c r="E357" s="27">
        <f t="shared" si="81"/>
        <v>7.3946759264799766E-2</v>
      </c>
      <c r="F357" s="18" t="s">
        <v>97</v>
      </c>
      <c r="G357" s="30">
        <f t="shared" si="82"/>
        <v>4.386574073578231E-2</v>
      </c>
      <c r="H357" s="23" t="str">
        <f t="shared" si="83"/>
        <v>DEPOT RAZEL YASSA - CARRIERE LOGBADJECK</v>
      </c>
      <c r="I357" s="33" t="str">
        <f>IF(F356='Données Hebdo'!A356, VLOOKUP(Feuil1!A357, 'Données Hebdo'!B:J, 8, FALSE), "")</f>
        <v/>
      </c>
      <c r="J357" s="27" t="str">
        <f t="shared" si="84"/>
        <v>08:24:15 à 09:24:15</v>
      </c>
      <c r="K357" s="27" t="str">
        <f t="shared" si="85"/>
        <v>2016-05-31 09:24:15</v>
      </c>
      <c r="L357" s="27">
        <f t="shared" si="86"/>
        <v>4.1666666664241347E-2</v>
      </c>
      <c r="M357" s="30">
        <f t="shared" si="87"/>
        <v>7.3946759264799766E-2</v>
      </c>
      <c r="N357" s="18" t="str">
        <f t="shared" si="88"/>
        <v>CARRIERE LOGBADJECK - DEPOT RAZEL YASSA</v>
      </c>
      <c r="O357" s="18"/>
      <c r="P357" s="18"/>
    </row>
    <row r="358" spans="1:16" ht="27.6">
      <c r="A358" s="43" t="s">
        <v>89</v>
      </c>
      <c r="B358" s="43" t="s">
        <v>56</v>
      </c>
      <c r="C358" s="43" t="s">
        <v>1436</v>
      </c>
      <c r="D358" s="43" t="s">
        <v>1437</v>
      </c>
      <c r="E358" s="27">
        <f t="shared" si="81"/>
        <v>1.3888888890505768E-2</v>
      </c>
      <c r="F358" s="18" t="s">
        <v>97</v>
      </c>
      <c r="G358" s="30">
        <f t="shared" si="82"/>
        <v>4.1666666664241347E-2</v>
      </c>
      <c r="H358" s="23" t="str">
        <f t="shared" si="83"/>
        <v>CARRIERE LOGBADJECK - DEPOT RAZEL YASSA</v>
      </c>
      <c r="I358" s="33" t="str">
        <f>IF(F357='Données Hebdo'!A357, VLOOKUP(Feuil1!A358, 'Données Hebdo'!B:J, 8, FALSE), "")</f>
        <v/>
      </c>
      <c r="J358" s="27" t="str">
        <f t="shared" si="84"/>
        <v>09:44:15 à 10:59:16</v>
      </c>
      <c r="K358" s="27" t="str">
        <f t="shared" si="85"/>
        <v>2016-05-31 10:59:16</v>
      </c>
      <c r="L358" s="27">
        <f t="shared" si="86"/>
        <v>5.2094907405262347E-2</v>
      </c>
      <c r="M358" s="30">
        <f t="shared" si="87"/>
        <v>1.3888888890505768E-2</v>
      </c>
      <c r="N358" s="18" t="str">
        <f t="shared" si="88"/>
        <v>DEPOT RAZEL YASSA - CARRIERE LOGBADJECK</v>
      </c>
      <c r="O358" s="18"/>
      <c r="P358" s="18"/>
    </row>
    <row r="359" spans="1:16" ht="27.6">
      <c r="A359" s="43" t="s">
        <v>89</v>
      </c>
      <c r="B359" s="43" t="s">
        <v>55</v>
      </c>
      <c r="C359" s="43" t="s">
        <v>1438</v>
      </c>
      <c r="D359" s="43" t="s">
        <v>1439</v>
      </c>
      <c r="E359" s="27">
        <f t="shared" si="81"/>
        <v>2.2349537037371192E-2</v>
      </c>
      <c r="F359" s="18" t="s">
        <v>97</v>
      </c>
      <c r="G359" s="30">
        <f t="shared" si="82"/>
        <v>5.2094907405262347E-2</v>
      </c>
      <c r="H359" s="23" t="str">
        <f t="shared" si="83"/>
        <v>DEPOT RAZEL YASSA - CARRIERE LOGBADJECK</v>
      </c>
      <c r="I359" s="33" t="str">
        <f>IF(F358='Données Hebdo'!A358, VLOOKUP(Feuil1!A359, 'Données Hebdo'!B:J, 8, FALSE), "")</f>
        <v/>
      </c>
      <c r="J359" s="27" t="str">
        <f t="shared" si="84"/>
        <v>11:31:27 à 12:28:09</v>
      </c>
      <c r="K359" s="27" t="str">
        <f t="shared" si="85"/>
        <v>2016-05-31 12:28:09</v>
      </c>
      <c r="L359" s="27">
        <f t="shared" si="86"/>
        <v>3.9375000000291038E-2</v>
      </c>
      <c r="M359" s="30">
        <f t="shared" si="87"/>
        <v>2.2349537037371192E-2</v>
      </c>
      <c r="N359" s="18" t="str">
        <f t="shared" si="88"/>
        <v>CARRIERE LOGBADJECK - DEPOT RAZEL YASSA</v>
      </c>
      <c r="O359" s="18"/>
      <c r="P359" s="18"/>
    </row>
    <row r="360" spans="1:16" ht="27.6">
      <c r="A360" s="43" t="s">
        <v>89</v>
      </c>
      <c r="B360" s="43" t="s">
        <v>56</v>
      </c>
      <c r="C360" s="43" t="s">
        <v>1440</v>
      </c>
      <c r="D360" s="43" t="s">
        <v>1441</v>
      </c>
      <c r="E360" s="27">
        <f t="shared" si="81"/>
        <v>7.2800925918272696E-3</v>
      </c>
      <c r="F360" s="18" t="s">
        <v>97</v>
      </c>
      <c r="G360" s="30">
        <f t="shared" si="82"/>
        <v>3.9375000000291038E-2</v>
      </c>
      <c r="H360" s="23" t="str">
        <f t="shared" si="83"/>
        <v>CARRIERE LOGBADJECK - DEPOT RAZEL YASSA</v>
      </c>
      <c r="I360" s="33" t="str">
        <f>IF(F359='Données Hebdo'!A359, VLOOKUP(Feuil1!A360, 'Données Hebdo'!B:J, 8, FALSE), "")</f>
        <v/>
      </c>
      <c r="J360" s="27" t="str">
        <f t="shared" si="84"/>
        <v>12:38:38 à 13:29:16</v>
      </c>
      <c r="K360" s="27" t="str">
        <f t="shared" si="85"/>
        <v>2016-05-31 13:29:16</v>
      </c>
      <c r="L360" s="27">
        <f t="shared" si="86"/>
        <v>3.5162037034751847E-2</v>
      </c>
      <c r="M360" s="30">
        <f t="shared" si="87"/>
        <v>7.2800925918272696E-3</v>
      </c>
      <c r="N360" s="18" t="str">
        <f t="shared" si="88"/>
        <v>DEPOT RAZEL YASSA - CARRIERE LOGBADJECK</v>
      </c>
      <c r="O360" s="18"/>
      <c r="P360" s="18"/>
    </row>
    <row r="361" spans="1:16" ht="27.6">
      <c r="A361" s="43" t="s">
        <v>89</v>
      </c>
      <c r="B361" s="43" t="s">
        <v>55</v>
      </c>
      <c r="C361" s="43" t="s">
        <v>1442</v>
      </c>
      <c r="D361" s="43" t="s">
        <v>1443</v>
      </c>
      <c r="E361" s="27">
        <f t="shared" si="81"/>
        <v>4.0266203708597459E-2</v>
      </c>
      <c r="F361" s="18" t="s">
        <v>97</v>
      </c>
      <c r="G361" s="30">
        <f t="shared" si="82"/>
        <v>3.5162037034751847E-2</v>
      </c>
      <c r="H361" s="23" t="str">
        <f t="shared" si="83"/>
        <v>DEPOT RAZEL YASSA - CARRIERE LOGBADJECK</v>
      </c>
      <c r="I361" s="33" t="str">
        <f>IF(F360='Données Hebdo'!A360, VLOOKUP(Feuil1!A361, 'Données Hebdo'!B:J, 8, FALSE), "")</f>
        <v/>
      </c>
      <c r="J361" s="27" t="str">
        <f t="shared" si="84"/>
        <v>14:27:15 à 15:24:16</v>
      </c>
      <c r="K361" s="27" t="str">
        <f t="shared" si="85"/>
        <v>2016-05-31 15:24:16</v>
      </c>
      <c r="L361" s="27">
        <f t="shared" si="86"/>
        <v>3.959490740817273E-2</v>
      </c>
      <c r="M361" s="30">
        <f t="shared" si="87"/>
        <v>4.0266203708597459E-2</v>
      </c>
      <c r="N361" s="18" t="str">
        <f t="shared" si="88"/>
        <v>CARRIERE LOGBADJECK - DEPOT RAZEL YASSA</v>
      </c>
      <c r="O361" s="18"/>
      <c r="P361" s="18"/>
    </row>
    <row r="362" spans="1:16" ht="27.6">
      <c r="A362" s="43" t="s">
        <v>89</v>
      </c>
      <c r="B362" s="43" t="s">
        <v>56</v>
      </c>
      <c r="C362" s="43" t="s">
        <v>1444</v>
      </c>
      <c r="D362" s="43" t="s">
        <v>1445</v>
      </c>
      <c r="E362" s="27">
        <f t="shared" si="81"/>
        <v>6.9444444379769266E-3</v>
      </c>
      <c r="F362" s="18" t="s">
        <v>97</v>
      </c>
      <c r="G362" s="30">
        <f t="shared" si="82"/>
        <v>3.959490740817273E-2</v>
      </c>
      <c r="H362" s="23" t="str">
        <f t="shared" si="83"/>
        <v>CARRIERE LOGBADJECK - DEPOT RAZEL YASSA</v>
      </c>
      <c r="I362" s="33" t="str">
        <f>IF(F361='Données Hebdo'!A361, VLOOKUP(Feuil1!A362, 'Données Hebdo'!B:J, 8, FALSE), "")</f>
        <v/>
      </c>
      <c r="J362" s="27" t="str">
        <f t="shared" si="84"/>
        <v>15:34:16 à 16:29:16</v>
      </c>
      <c r="K362" s="27" t="str">
        <f t="shared" si="85"/>
        <v>2016-05-31 16:29:16</v>
      </c>
      <c r="L362" s="27">
        <f t="shared" si="86"/>
        <v>3.8194444445252884E-2</v>
      </c>
      <c r="M362" s="30">
        <f t="shared" si="87"/>
        <v>6.9444444379769266E-3</v>
      </c>
      <c r="N362" s="18" t="str">
        <f t="shared" si="88"/>
        <v>DEPOT RAZEL YASSA - CARRIERE LOGBADJECK</v>
      </c>
      <c r="O362" s="18"/>
      <c r="P362" s="18"/>
    </row>
    <row r="363" spans="1:16" ht="27.6">
      <c r="A363" s="43" t="s">
        <v>89</v>
      </c>
      <c r="B363" s="43" t="s">
        <v>55</v>
      </c>
      <c r="C363" s="43" t="s">
        <v>1446</v>
      </c>
      <c r="D363" s="43" t="s">
        <v>1447</v>
      </c>
      <c r="E363" s="27">
        <f t="shared" si="81"/>
        <v>1.8229166671517305E-2</v>
      </c>
      <c r="F363" s="18" t="s">
        <v>97</v>
      </c>
      <c r="G363" s="30">
        <f t="shared" si="82"/>
        <v>3.8194444445252884E-2</v>
      </c>
      <c r="H363" s="23" t="str">
        <f t="shared" si="83"/>
        <v>DEPOT RAZEL YASSA - CARRIERE LOGBADJECK</v>
      </c>
      <c r="I363" s="33" t="str">
        <f>IF(F362='Données Hebdo'!A362, VLOOKUP(Feuil1!A363, 'Données Hebdo'!B:J, 8, FALSE), "")</f>
        <v/>
      </c>
      <c r="J363" s="27" t="str">
        <f t="shared" si="84"/>
        <v>16:55:31 à 17:54:16</v>
      </c>
      <c r="K363" s="27" t="str">
        <f t="shared" si="85"/>
        <v>2016-05-31 17:54:16</v>
      </c>
      <c r="L363" s="27">
        <f t="shared" si="86"/>
        <v>4.0798611109494232E-2</v>
      </c>
      <c r="M363" s="30">
        <f t="shared" si="87"/>
        <v>1.8229166671517305E-2</v>
      </c>
      <c r="N363" s="18" t="str">
        <f t="shared" si="88"/>
        <v>CARRIERE LOGBADJECK - DEPOT RAZEL YASSA</v>
      </c>
      <c r="O363" s="18"/>
      <c r="P363" s="18"/>
    </row>
    <row r="364" spans="1:16">
      <c r="A364" s="43" t="s">
        <v>89</v>
      </c>
      <c r="B364" s="43" t="s">
        <v>56</v>
      </c>
      <c r="C364" s="43" t="s">
        <v>1448</v>
      </c>
      <c r="D364" s="43" t="s">
        <v>1449</v>
      </c>
      <c r="E364" s="27">
        <f t="shared" si="81"/>
        <v>0.49020833333634073</v>
      </c>
      <c r="F364" s="18" t="s">
        <v>97</v>
      </c>
      <c r="G364" s="30">
        <f t="shared" si="82"/>
        <v>4.0798611109494232E-2</v>
      </c>
      <c r="H364" s="23" t="str">
        <f t="shared" si="83"/>
        <v>CARRIERE LOGBADJECK - DEPOT RAZEL YASSA</v>
      </c>
      <c r="I364" s="33" t="str">
        <f>IF(F363='Données Hebdo'!A363, VLOOKUP(Feuil1!A364, 'Données Hebdo'!B:J, 8, FALSE), "")</f>
        <v/>
      </c>
      <c r="J364" s="27" t="str">
        <f t="shared" si="84"/>
        <v/>
      </c>
      <c r="K364" s="27" t="str">
        <f t="shared" si="85"/>
        <v/>
      </c>
      <c r="L364" s="27" t="str">
        <f t="shared" si="86"/>
        <v/>
      </c>
      <c r="M364" s="30" t="str">
        <f t="shared" si="87"/>
        <v/>
      </c>
      <c r="N364" s="18" t="str">
        <f t="shared" si="88"/>
        <v/>
      </c>
      <c r="O364" s="18"/>
      <c r="P364" s="18"/>
    </row>
    <row r="365" spans="1:16" ht="27.6">
      <c r="A365" s="43" t="s">
        <v>91</v>
      </c>
      <c r="B365" s="43" t="s">
        <v>55</v>
      </c>
      <c r="C365" s="43" t="s">
        <v>1276</v>
      </c>
      <c r="D365" s="43" t="s">
        <v>1277</v>
      </c>
      <c r="E365" s="27">
        <f t="shared" si="81"/>
        <v>0.57581018518249039</v>
      </c>
      <c r="F365" s="18" t="s">
        <v>97</v>
      </c>
      <c r="G365" s="30" t="str">
        <f t="shared" si="82"/>
        <v/>
      </c>
      <c r="H365" s="23" t="str">
        <f t="shared" si="83"/>
        <v/>
      </c>
      <c r="I365" s="33" t="str">
        <f>IF(F364='Données Hebdo'!A364, VLOOKUP(Feuil1!A365, 'Données Hebdo'!B:J, 8, FALSE), "")</f>
        <v/>
      </c>
      <c r="J365" s="27" t="str">
        <f t="shared" si="84"/>
        <v>08:24:21 à 09:16:32</v>
      </c>
      <c r="K365" s="27" t="str">
        <f t="shared" si="85"/>
        <v>2016-05-31 09:16:32</v>
      </c>
      <c r="L365" s="27">
        <f t="shared" si="86"/>
        <v>3.623842592787696E-2</v>
      </c>
      <c r="M365" s="30">
        <f t="shared" si="87"/>
        <v>0.57581018518249039</v>
      </c>
      <c r="N365" s="18" t="str">
        <f t="shared" si="88"/>
        <v>CARRIERE LOGBADJECK - DEPOT RAZEL YASSA</v>
      </c>
      <c r="O365" s="18"/>
      <c r="P365" s="18"/>
    </row>
    <row r="366" spans="1:16" ht="27.6">
      <c r="A366" s="43" t="s">
        <v>91</v>
      </c>
      <c r="B366" s="43" t="s">
        <v>56</v>
      </c>
      <c r="C366" s="43" t="s">
        <v>1450</v>
      </c>
      <c r="D366" s="43" t="s">
        <v>1451</v>
      </c>
      <c r="E366" s="27">
        <f t="shared" si="81"/>
        <v>7.4884259302052669E-3</v>
      </c>
      <c r="F366" s="18" t="s">
        <v>97</v>
      </c>
      <c r="G366" s="30">
        <f t="shared" si="82"/>
        <v>3.623842592787696E-2</v>
      </c>
      <c r="H366" s="23" t="str">
        <f t="shared" si="83"/>
        <v>CARRIERE LOGBADJECK - DEPOT RAZEL YASSA</v>
      </c>
      <c r="I366" s="33" t="str">
        <f>IF(F365='Données Hebdo'!A365, VLOOKUP(Feuil1!A366, 'Données Hebdo'!B:J, 8, FALSE), "")</f>
        <v/>
      </c>
      <c r="J366" s="27" t="str">
        <f t="shared" si="84"/>
        <v>09:27:19 à 10:30:12</v>
      </c>
      <c r="K366" s="27" t="str">
        <f t="shared" si="85"/>
        <v>2016-05-31 10:30:12</v>
      </c>
      <c r="L366" s="27">
        <f t="shared" si="86"/>
        <v>4.3668981481459923E-2</v>
      </c>
      <c r="M366" s="30">
        <f t="shared" si="87"/>
        <v>7.4884259302052669E-3</v>
      </c>
      <c r="N366" s="18" t="str">
        <f t="shared" si="88"/>
        <v>DEPOT RAZEL YASSA - CARRIERE LOGBADJECK</v>
      </c>
      <c r="O366" s="18"/>
      <c r="P366" s="18"/>
    </row>
    <row r="367" spans="1:16" ht="27.6">
      <c r="A367" s="43" t="s">
        <v>91</v>
      </c>
      <c r="B367" s="43" t="s">
        <v>55</v>
      </c>
      <c r="C367" s="43" t="s">
        <v>1452</v>
      </c>
      <c r="D367" s="43" t="s">
        <v>1453</v>
      </c>
      <c r="E367" s="27">
        <f t="shared" si="81"/>
        <v>3.6909722221025731E-2</v>
      </c>
      <c r="F367" s="18" t="s">
        <v>97</v>
      </c>
      <c r="G367" s="30">
        <f t="shared" si="82"/>
        <v>4.3668981481459923E-2</v>
      </c>
      <c r="H367" s="23" t="str">
        <f t="shared" si="83"/>
        <v>DEPOT RAZEL YASSA - CARRIERE LOGBADJECK</v>
      </c>
      <c r="I367" s="33" t="str">
        <f>IF(F366='Données Hebdo'!A366, VLOOKUP(Feuil1!A367, 'Données Hebdo'!B:J, 8, FALSE), "")</f>
        <v/>
      </c>
      <c r="J367" s="27" t="str">
        <f t="shared" si="84"/>
        <v>11:23:21 à 14:12:29</v>
      </c>
      <c r="K367" s="27" t="str">
        <f t="shared" si="85"/>
        <v>2016-05-31 14:12:29</v>
      </c>
      <c r="L367" s="27">
        <f t="shared" si="86"/>
        <v>0.11745370370044839</v>
      </c>
      <c r="M367" s="30">
        <f t="shared" si="87"/>
        <v>3.6909722221025731E-2</v>
      </c>
      <c r="N367" s="18" t="str">
        <f t="shared" si="88"/>
        <v>CARRIERE LOGBADJECK - AEROPORT DE DOUALA</v>
      </c>
      <c r="O367" s="18"/>
      <c r="P367" s="18"/>
    </row>
    <row r="368" spans="1:16" ht="27.6">
      <c r="A368" s="43" t="s">
        <v>91</v>
      </c>
      <c r="B368" s="43" t="s">
        <v>729</v>
      </c>
      <c r="C368" s="43" t="s">
        <v>1454</v>
      </c>
      <c r="D368" s="43" t="s">
        <v>1455</v>
      </c>
      <c r="E368" s="27">
        <f t="shared" si="81"/>
        <v>6.4814814686542377E-4</v>
      </c>
      <c r="F368" s="18" t="s">
        <v>97</v>
      </c>
      <c r="G368" s="30">
        <f t="shared" si="82"/>
        <v>0.11745370370044839</v>
      </c>
      <c r="H368" s="23" t="str">
        <f t="shared" si="83"/>
        <v>CARRIERE LOGBADJECK - AEROPORT DE DOUALA</v>
      </c>
      <c r="I368" s="33" t="str">
        <f>IF(F367='Données Hebdo'!A367, VLOOKUP(Feuil1!A368, 'Données Hebdo'!B:J, 8, FALSE), "")</f>
        <v/>
      </c>
      <c r="J368" s="27" t="str">
        <f t="shared" si="84"/>
        <v>14:13:25 à 17:36:23</v>
      </c>
      <c r="K368" s="27" t="str">
        <f t="shared" si="85"/>
        <v>2016-05-31 17:36:23</v>
      </c>
      <c r="L368" s="27">
        <f t="shared" si="86"/>
        <v>0.14094907407707069</v>
      </c>
      <c r="M368" s="30">
        <f t="shared" si="87"/>
        <v>6.4814814686542377E-4</v>
      </c>
      <c r="N368" s="18" t="str">
        <f t="shared" si="88"/>
        <v>AEROPORT DE DOUALA - CARRIERE LOGBADJECK</v>
      </c>
      <c r="O368" s="18"/>
      <c r="P368" s="18"/>
    </row>
    <row r="369" spans="1:16" ht="27.6">
      <c r="A369" s="43" t="s">
        <v>91</v>
      </c>
      <c r="B369" s="43" t="s">
        <v>55</v>
      </c>
      <c r="C369" s="43" t="s">
        <v>1456</v>
      </c>
      <c r="D369" s="43" t="s">
        <v>1457</v>
      </c>
      <c r="E369" s="27">
        <f t="shared" si="81"/>
        <v>2.6273148148902692E-2</v>
      </c>
      <c r="F369" s="18" t="s">
        <v>97</v>
      </c>
      <c r="G369" s="30">
        <f t="shared" si="82"/>
        <v>0.14094907407707069</v>
      </c>
      <c r="H369" s="23" t="str">
        <f t="shared" si="83"/>
        <v>AEROPORT DE DOUALA - CARRIERE LOGBADJECK</v>
      </c>
      <c r="I369" s="33" t="str">
        <f>IF(F368='Données Hebdo'!A368, VLOOKUP(Feuil1!A369, 'Données Hebdo'!B:J, 8, FALSE), "")</f>
        <v/>
      </c>
      <c r="J369" s="27" t="str">
        <f t="shared" si="84"/>
        <v>18:14:13 à 19:16:07</v>
      </c>
      <c r="K369" s="27" t="str">
        <f t="shared" si="85"/>
        <v>2016-05-31 19:16:07</v>
      </c>
      <c r="L369" s="27">
        <f t="shared" si="86"/>
        <v>4.29861111115315E-2</v>
      </c>
      <c r="M369" s="30">
        <f t="shared" si="87"/>
        <v>2.6273148148902692E-2</v>
      </c>
      <c r="N369" s="18" t="str">
        <f t="shared" si="88"/>
        <v>CARRIERE LOGBADJECK - DEPOT RAZEL YASSA</v>
      </c>
      <c r="O369" s="18"/>
      <c r="P369" s="18"/>
    </row>
    <row r="370" spans="1:16">
      <c r="A370" s="43" t="s">
        <v>91</v>
      </c>
      <c r="B370" s="43" t="s">
        <v>56</v>
      </c>
      <c r="C370" s="43" t="s">
        <v>1458</v>
      </c>
      <c r="D370" s="43" t="s">
        <v>1459</v>
      </c>
      <c r="E370" s="27">
        <f t="shared" si="81"/>
        <v>0.47664351851562969</v>
      </c>
      <c r="F370" s="18" t="s">
        <v>97</v>
      </c>
      <c r="G370" s="30">
        <f t="shared" si="82"/>
        <v>4.29861111115315E-2</v>
      </c>
      <c r="H370" s="23" t="str">
        <f t="shared" si="83"/>
        <v>CARRIERE LOGBADJECK - DEPOT RAZEL YASSA</v>
      </c>
      <c r="I370" s="33" t="str">
        <f>IF(F369='Données Hebdo'!A369, VLOOKUP(Feuil1!A370, 'Données Hebdo'!B:J, 8, FALSE), "")</f>
        <v/>
      </c>
      <c r="J370" s="27" t="str">
        <f t="shared" si="84"/>
        <v/>
      </c>
      <c r="K370" s="27" t="str">
        <f t="shared" si="85"/>
        <v/>
      </c>
      <c r="L370" s="27" t="str">
        <f t="shared" si="86"/>
        <v/>
      </c>
      <c r="M370" s="30" t="str">
        <f t="shared" si="87"/>
        <v/>
      </c>
      <c r="N370" s="18" t="str">
        <f t="shared" si="88"/>
        <v/>
      </c>
      <c r="O370" s="18"/>
      <c r="P370" s="18"/>
    </row>
    <row r="371" spans="1:16" ht="27.6">
      <c r="A371" s="43" t="s">
        <v>68</v>
      </c>
      <c r="B371" s="43" t="s">
        <v>58</v>
      </c>
      <c r="C371" s="43" t="s">
        <v>1460</v>
      </c>
      <c r="D371" s="43" t="s">
        <v>1461</v>
      </c>
      <c r="E371" s="27">
        <f t="shared" si="81"/>
        <v>0.47827546296321088</v>
      </c>
      <c r="F371" s="18" t="s">
        <v>98</v>
      </c>
      <c r="G371" s="30" t="str">
        <f t="shared" si="82"/>
        <v/>
      </c>
      <c r="H371" s="23" t="str">
        <f t="shared" si="83"/>
        <v/>
      </c>
      <c r="I371" s="33" t="str">
        <f>IF(F370='Données Hebdo'!A370, VLOOKUP(Feuil1!A371, 'Données Hebdo'!B:J, 8, FALSE), "")</f>
        <v/>
      </c>
      <c r="J371" s="27" t="str">
        <f t="shared" si="84"/>
        <v>08:36:30 à 17:09:51</v>
      </c>
      <c r="K371" s="27" t="str">
        <f t="shared" si="85"/>
        <v>2016-06-02 17:09:51</v>
      </c>
      <c r="L371" s="27">
        <f t="shared" si="86"/>
        <v>0.35649305555853061</v>
      </c>
      <c r="M371" s="30">
        <f t="shared" si="87"/>
        <v>0.47827546296321088</v>
      </c>
      <c r="N371" s="18" t="str">
        <f t="shared" si="88"/>
        <v>BASE RAZEL WOURI - BASE RAZEL WOURI</v>
      </c>
      <c r="O371" s="18"/>
      <c r="P371" s="18"/>
    </row>
    <row r="372" spans="1:16">
      <c r="A372" s="43" t="s">
        <v>68</v>
      </c>
      <c r="B372" s="43" t="s">
        <v>58</v>
      </c>
      <c r="C372" s="43" t="s">
        <v>1462</v>
      </c>
      <c r="D372" s="43" t="s">
        <v>1463</v>
      </c>
      <c r="E372" s="27">
        <f t="shared" si="81"/>
        <v>0.48636574074043892</v>
      </c>
      <c r="F372" s="18" t="s">
        <v>98</v>
      </c>
      <c r="G372" s="30">
        <f t="shared" si="82"/>
        <v>0.35649305555853061</v>
      </c>
      <c r="H372" s="23" t="str">
        <f t="shared" si="83"/>
        <v>BASE RAZEL WOURI - BASE RAZEL WOURI</v>
      </c>
      <c r="I372" s="33" t="str">
        <f>IF(F371='Données Hebdo'!A371, VLOOKUP(Feuil1!A372, 'Données Hebdo'!B:J, 8, FALSE), "")</f>
        <v/>
      </c>
      <c r="J372" s="27" t="str">
        <f t="shared" si="84"/>
        <v/>
      </c>
      <c r="K372" s="27" t="str">
        <f t="shared" si="85"/>
        <v/>
      </c>
      <c r="L372" s="27" t="str">
        <f t="shared" si="86"/>
        <v/>
      </c>
      <c r="M372" s="30" t="str">
        <f t="shared" si="87"/>
        <v/>
      </c>
      <c r="N372" s="18" t="str">
        <f t="shared" si="88"/>
        <v/>
      </c>
      <c r="O372" s="18"/>
      <c r="P372" s="18"/>
    </row>
    <row r="373" spans="1:16" ht="27.6">
      <c r="A373" s="43" t="s">
        <v>71</v>
      </c>
      <c r="B373" s="43" t="s">
        <v>197</v>
      </c>
      <c r="C373" s="43" t="s">
        <v>1464</v>
      </c>
      <c r="D373" s="43" t="s">
        <v>1465</v>
      </c>
      <c r="E373" s="27">
        <f t="shared" si="81"/>
        <v>0.5246064814782585</v>
      </c>
      <c r="F373" s="18" t="s">
        <v>98</v>
      </c>
      <c r="G373" s="30" t="str">
        <f t="shared" si="82"/>
        <v/>
      </c>
      <c r="H373" s="23" t="str">
        <f t="shared" si="83"/>
        <v/>
      </c>
      <c r="I373" s="33" t="str">
        <f>IF(F372='Données Hebdo'!A372, VLOOKUP(Feuil1!A373, 'Données Hebdo'!B:J, 8, FALSE), "")</f>
        <v/>
      </c>
      <c r="J373" s="27" t="str">
        <f t="shared" si="84"/>
        <v>07:22:14 à 07:57:31</v>
      </c>
      <c r="K373" s="27" t="str">
        <f t="shared" si="85"/>
        <v>2016-06-02 07:57:31</v>
      </c>
      <c r="L373" s="27">
        <f t="shared" si="86"/>
        <v>2.4502314816345461E-2</v>
      </c>
      <c r="M373" s="30">
        <f t="shared" si="87"/>
        <v>0.5246064814782585</v>
      </c>
      <c r="N373" s="18" t="str">
        <f t="shared" si="88"/>
        <v>BASE RAZEL PREFECTURE - CARRIERE RAZEL NKOMETOU</v>
      </c>
      <c r="O373" s="18"/>
      <c r="P373" s="18"/>
    </row>
    <row r="374" spans="1:16" ht="27.6">
      <c r="A374" s="43" t="s">
        <v>71</v>
      </c>
      <c r="B374" s="43" t="s">
        <v>42</v>
      </c>
      <c r="C374" s="43" t="s">
        <v>1466</v>
      </c>
      <c r="D374" s="43" t="s">
        <v>1467</v>
      </c>
      <c r="E374" s="27">
        <f t="shared" si="81"/>
        <v>5.0046296295477077E-2</v>
      </c>
      <c r="F374" s="18" t="s">
        <v>98</v>
      </c>
      <c r="G374" s="30">
        <f t="shared" si="82"/>
        <v>2.4502314816345461E-2</v>
      </c>
      <c r="H374" s="23" t="str">
        <f t="shared" si="83"/>
        <v>BASE RAZEL PREFECTURE - CARRIERE RAZEL NKOMETOU</v>
      </c>
      <c r="I374" s="33" t="str">
        <f>IF(F373='Données Hebdo'!A373, VLOOKUP(Feuil1!A374, 'Données Hebdo'!B:J, 8, FALSE), "")</f>
        <v/>
      </c>
      <c r="J374" s="27" t="str">
        <f t="shared" si="84"/>
        <v>09:09:35 à 10:00:28</v>
      </c>
      <c r="K374" s="27" t="str">
        <f t="shared" si="85"/>
        <v>2016-06-02 10:00:28</v>
      </c>
      <c r="L374" s="27">
        <f t="shared" si="86"/>
        <v>3.5335648150066845E-2</v>
      </c>
      <c r="M374" s="30">
        <f t="shared" si="87"/>
        <v>5.0046296295477077E-2</v>
      </c>
      <c r="N374" s="18" t="str">
        <f t="shared" si="88"/>
        <v>CARRIERE RAZEL NKOMETOU - BASE RAZEL PREFECTURE</v>
      </c>
      <c r="O374" s="18"/>
      <c r="P374" s="18"/>
    </row>
    <row r="375" spans="1:16" ht="27.6">
      <c r="A375" s="43" t="s">
        <v>71</v>
      </c>
      <c r="B375" s="43" t="s">
        <v>197</v>
      </c>
      <c r="C375" s="43" t="s">
        <v>1468</v>
      </c>
      <c r="D375" s="43" t="s">
        <v>1469</v>
      </c>
      <c r="E375" s="27">
        <f t="shared" si="81"/>
        <v>1.0416666627861559E-3</v>
      </c>
      <c r="F375" s="18" t="s">
        <v>98</v>
      </c>
      <c r="G375" s="30">
        <f t="shared" si="82"/>
        <v>3.5335648150066845E-2</v>
      </c>
      <c r="H375" s="23" t="str">
        <f t="shared" si="83"/>
        <v>CARRIERE RAZEL NKOMETOU - BASE RAZEL PREFECTURE</v>
      </c>
      <c r="I375" s="33" t="str">
        <f>IF(F374='Données Hebdo'!A374, VLOOKUP(Feuil1!A375, 'Données Hebdo'!B:J, 8, FALSE), "")</f>
        <v/>
      </c>
      <c r="J375" s="27" t="str">
        <f t="shared" si="84"/>
        <v>10:01:58 à 10:38:05</v>
      </c>
      <c r="K375" s="27" t="str">
        <f t="shared" si="85"/>
        <v>2016-06-02 10:38:05</v>
      </c>
      <c r="L375" s="27">
        <f t="shared" si="86"/>
        <v>2.5081018524360843E-2</v>
      </c>
      <c r="M375" s="30">
        <f t="shared" si="87"/>
        <v>1.0416666627861559E-3</v>
      </c>
      <c r="N375" s="18" t="str">
        <f t="shared" si="88"/>
        <v>BASE RAZEL PREFECTURE - CARRIERE RAZEL NKOMETOU</v>
      </c>
      <c r="O375" s="18"/>
      <c r="P375" s="18"/>
    </row>
    <row r="376" spans="1:16" ht="27.6">
      <c r="A376" s="43" t="s">
        <v>71</v>
      </c>
      <c r="B376" s="43" t="s">
        <v>42</v>
      </c>
      <c r="C376" s="43" t="s">
        <v>1470</v>
      </c>
      <c r="D376" s="43" t="s">
        <v>1471</v>
      </c>
      <c r="E376" s="27">
        <f t="shared" si="81"/>
        <v>3.927083333110204E-2</v>
      </c>
      <c r="F376" s="18" t="s">
        <v>98</v>
      </c>
      <c r="G376" s="30">
        <f t="shared" si="82"/>
        <v>2.5081018524360843E-2</v>
      </c>
      <c r="H376" s="23" t="str">
        <f t="shared" si="83"/>
        <v>BASE RAZEL PREFECTURE - CARRIERE RAZEL NKOMETOU</v>
      </c>
      <c r="I376" s="33" t="str">
        <f>IF(F375='Données Hebdo'!A375, VLOOKUP(Feuil1!A376, 'Données Hebdo'!B:J, 8, FALSE), "")</f>
        <v/>
      </c>
      <c r="J376" s="27" t="str">
        <f t="shared" si="84"/>
        <v>11:34:38 à 16:34:49</v>
      </c>
      <c r="K376" s="27" t="str">
        <f t="shared" si="85"/>
        <v>2016-06-02 16:34:49</v>
      </c>
      <c r="L376" s="27">
        <f t="shared" si="86"/>
        <v>0.208460648151231</v>
      </c>
      <c r="M376" s="30">
        <f t="shared" si="87"/>
        <v>3.927083333110204E-2</v>
      </c>
      <c r="N376" s="18" t="str">
        <f t="shared" si="88"/>
        <v>CARRIERE RAZEL NKOMETOU - BASE RAZEL PREFECTURE</v>
      </c>
      <c r="O376" s="18"/>
      <c r="P376" s="18"/>
    </row>
    <row r="377" spans="1:16" ht="27.6">
      <c r="A377" s="43" t="s">
        <v>71</v>
      </c>
      <c r="B377" s="43" t="s">
        <v>197</v>
      </c>
      <c r="C377" s="43" t="s">
        <v>1472</v>
      </c>
      <c r="D377" s="43" t="s">
        <v>1473</v>
      </c>
      <c r="E377" s="27">
        <f t="shared" si="81"/>
        <v>6.4814814686542377E-4</v>
      </c>
      <c r="F377" s="18" t="s">
        <v>98</v>
      </c>
      <c r="G377" s="30">
        <f t="shared" si="82"/>
        <v>0.208460648151231</v>
      </c>
      <c r="H377" s="23" t="str">
        <f t="shared" si="83"/>
        <v>CARRIERE RAZEL NKOMETOU - BASE RAZEL PREFECTURE</v>
      </c>
      <c r="I377" s="33" t="str">
        <f>IF(F376='Données Hebdo'!A376, VLOOKUP(Feuil1!A377, 'Données Hebdo'!B:J, 8, FALSE), "")</f>
        <v/>
      </c>
      <c r="J377" s="27" t="str">
        <f t="shared" si="84"/>
        <v>16:35:45 à 16:36:41</v>
      </c>
      <c r="K377" s="27" t="str">
        <f t="shared" si="85"/>
        <v>2016-06-02 16:36:41</v>
      </c>
      <c r="L377" s="27">
        <f t="shared" si="86"/>
        <v>6.4814814686542377E-4</v>
      </c>
      <c r="M377" s="30">
        <f t="shared" si="87"/>
        <v>6.4814814686542377E-4</v>
      </c>
      <c r="N377" s="18" t="str">
        <f t="shared" si="88"/>
        <v>BASE RAZEL PREFECTURE - BASE RAZEL PREFECTURE</v>
      </c>
      <c r="O377" s="18"/>
      <c r="P377" s="18"/>
    </row>
    <row r="378" spans="1:16" ht="27.6">
      <c r="A378" s="43" t="s">
        <v>71</v>
      </c>
      <c r="B378" s="43" t="s">
        <v>197</v>
      </c>
      <c r="C378" s="43" t="s">
        <v>1474</v>
      </c>
      <c r="D378" s="43" t="s">
        <v>1475</v>
      </c>
      <c r="E378" s="27">
        <f t="shared" si="81"/>
        <v>2.3263888870133087E-3</v>
      </c>
      <c r="F378" s="18" t="s">
        <v>98</v>
      </c>
      <c r="G378" s="30">
        <f t="shared" si="82"/>
        <v>6.4814814686542377E-4</v>
      </c>
      <c r="H378" s="23" t="str">
        <f t="shared" si="83"/>
        <v>BASE RAZEL PREFECTURE - BASE RAZEL PREFECTURE</v>
      </c>
      <c r="I378" s="33" t="str">
        <f>IF(F377='Données Hebdo'!A377, VLOOKUP(Feuil1!A378, 'Données Hebdo'!B:J, 8, FALSE), "")</f>
        <v/>
      </c>
      <c r="J378" s="27" t="str">
        <f t="shared" si="84"/>
        <v>16:40:02 à 17:21:26</v>
      </c>
      <c r="K378" s="27" t="str">
        <f t="shared" si="85"/>
        <v>2016-06-02 17:21:26</v>
      </c>
      <c r="L378" s="27">
        <f t="shared" si="86"/>
        <v>2.8749999997671694E-2</v>
      </c>
      <c r="M378" s="30">
        <f t="shared" si="87"/>
        <v>2.3263888870133087E-3</v>
      </c>
      <c r="N378" s="18" t="str">
        <f t="shared" si="88"/>
        <v>BASE RAZEL PREFECTURE - CARRIERE RAZEL NKOMETOU</v>
      </c>
      <c r="O378" s="18"/>
      <c r="P378" s="18"/>
    </row>
    <row r="379" spans="1:16">
      <c r="A379" s="43" t="s">
        <v>71</v>
      </c>
      <c r="B379" s="43" t="s">
        <v>42</v>
      </c>
      <c r="C379" s="43" t="s">
        <v>1476</v>
      </c>
      <c r="D379" s="43" t="s">
        <v>1477</v>
      </c>
      <c r="E379" s="27">
        <f t="shared" si="81"/>
        <v>0.63861111111327773</v>
      </c>
      <c r="F379" s="18" t="s">
        <v>98</v>
      </c>
      <c r="G379" s="30">
        <f t="shared" si="82"/>
        <v>2.8749999997671694E-2</v>
      </c>
      <c r="H379" s="23" t="str">
        <f t="shared" si="83"/>
        <v>BASE RAZEL PREFECTURE - CARRIERE RAZEL NKOMETOU</v>
      </c>
      <c r="I379" s="33" t="str">
        <f>IF(F378='Données Hebdo'!A378, VLOOKUP(Feuil1!A379, 'Données Hebdo'!B:J, 8, FALSE), "")</f>
        <v/>
      </c>
      <c r="J379" s="27" t="str">
        <f t="shared" si="84"/>
        <v/>
      </c>
      <c r="K379" s="27" t="str">
        <f t="shared" si="85"/>
        <v/>
      </c>
      <c r="L379" s="27" t="str">
        <f t="shared" si="86"/>
        <v/>
      </c>
      <c r="M379" s="30" t="str">
        <f t="shared" si="87"/>
        <v/>
      </c>
      <c r="N379" s="18" t="str">
        <f t="shared" si="88"/>
        <v/>
      </c>
      <c r="O379" s="18"/>
      <c r="P379" s="18"/>
    </row>
    <row r="380" spans="1:16" ht="27.6">
      <c r="A380" s="43" t="s">
        <v>72</v>
      </c>
      <c r="B380" s="43" t="s">
        <v>42</v>
      </c>
      <c r="C380" s="43" t="s">
        <v>1478</v>
      </c>
      <c r="D380" s="43" t="s">
        <v>1479</v>
      </c>
      <c r="E380" s="27">
        <f t="shared" si="81"/>
        <v>0.57787037036905531</v>
      </c>
      <c r="F380" s="18" t="s">
        <v>98</v>
      </c>
      <c r="G380" s="30" t="str">
        <f t="shared" si="82"/>
        <v/>
      </c>
      <c r="H380" s="23" t="str">
        <f t="shared" si="83"/>
        <v/>
      </c>
      <c r="I380" s="33" t="str">
        <f>IF(F379='Données Hebdo'!A379, VLOOKUP(Feuil1!A380, 'Données Hebdo'!B:J, 8, FALSE), "")</f>
        <v/>
      </c>
      <c r="J380" s="27" t="str">
        <f t="shared" si="84"/>
        <v>08:00:13 à 08:46:28</v>
      </c>
      <c r="K380" s="27" t="str">
        <f t="shared" si="85"/>
        <v>2016-06-02 08:46:28</v>
      </c>
      <c r="L380" s="27">
        <f t="shared" si="86"/>
        <v>3.2118055554747116E-2</v>
      </c>
      <c r="M380" s="30">
        <f t="shared" si="87"/>
        <v>0.57787037036905531</v>
      </c>
      <c r="N380" s="18" t="str">
        <f t="shared" si="88"/>
        <v>CARRIERE RAZEL NKOMETOU - BASE RAZEL PREFECTURE</v>
      </c>
      <c r="O380" s="18"/>
      <c r="P380" s="18"/>
    </row>
    <row r="381" spans="1:16" ht="27.6">
      <c r="A381" s="43" t="s">
        <v>72</v>
      </c>
      <c r="B381" s="43" t="s">
        <v>197</v>
      </c>
      <c r="C381" s="43" t="s">
        <v>1480</v>
      </c>
      <c r="D381" s="43" t="s">
        <v>1481</v>
      </c>
      <c r="E381" s="27">
        <f t="shared" si="81"/>
        <v>3.055555556784384E-3</v>
      </c>
      <c r="F381" s="18" t="s">
        <v>98</v>
      </c>
      <c r="G381" s="30">
        <f t="shared" si="82"/>
        <v>3.2118055554747116E-2</v>
      </c>
      <c r="H381" s="23" t="str">
        <f t="shared" si="83"/>
        <v>CARRIERE RAZEL NKOMETOU - BASE RAZEL PREFECTURE</v>
      </c>
      <c r="I381" s="33" t="str">
        <f>IF(F380='Données Hebdo'!A380, VLOOKUP(Feuil1!A381, 'Données Hebdo'!B:J, 8, FALSE), "")</f>
        <v/>
      </c>
      <c r="J381" s="27" t="str">
        <f t="shared" si="84"/>
        <v>08:50:52 à 09:24:48</v>
      </c>
      <c r="K381" s="27" t="str">
        <f t="shared" si="85"/>
        <v>2016-06-02 09:24:48</v>
      </c>
      <c r="L381" s="27">
        <f t="shared" si="86"/>
        <v>2.3564814815472346E-2</v>
      </c>
      <c r="M381" s="30">
        <f t="shared" si="87"/>
        <v>3.055555556784384E-3</v>
      </c>
      <c r="N381" s="18" t="str">
        <f t="shared" si="88"/>
        <v>BASE RAZEL PREFECTURE - CARRIERE RAZEL NKOMETOU</v>
      </c>
      <c r="O381" s="18"/>
      <c r="P381" s="18"/>
    </row>
    <row r="382" spans="1:16" ht="27.6">
      <c r="A382" s="43" t="s">
        <v>72</v>
      </c>
      <c r="B382" s="43" t="s">
        <v>42</v>
      </c>
      <c r="C382" s="43" t="s">
        <v>1482</v>
      </c>
      <c r="D382" s="43" t="s">
        <v>1483</v>
      </c>
      <c r="E382" s="27">
        <f t="shared" si="81"/>
        <v>1.0185185179580003E-2</v>
      </c>
      <c r="F382" s="18" t="s">
        <v>98</v>
      </c>
      <c r="G382" s="30">
        <f t="shared" si="82"/>
        <v>2.3564814815472346E-2</v>
      </c>
      <c r="H382" s="23" t="str">
        <f t="shared" si="83"/>
        <v>BASE RAZEL PREFECTURE - CARRIERE RAZEL NKOMETOU</v>
      </c>
      <c r="I382" s="33" t="str">
        <f>IF(F381='Données Hebdo'!A381, VLOOKUP(Feuil1!A382, 'Données Hebdo'!B:J, 8, FALSE), "")</f>
        <v/>
      </c>
      <c r="J382" s="27" t="str">
        <f t="shared" si="84"/>
        <v>09:39:28 à 10:28:43</v>
      </c>
      <c r="K382" s="27" t="str">
        <f t="shared" si="85"/>
        <v>2016-06-02 10:28:43</v>
      </c>
      <c r="L382" s="27">
        <f t="shared" si="86"/>
        <v>3.4201388894871343E-2</v>
      </c>
      <c r="M382" s="30">
        <f t="shared" si="87"/>
        <v>1.0185185179580003E-2</v>
      </c>
      <c r="N382" s="18" t="str">
        <f t="shared" si="88"/>
        <v>CARRIERE RAZEL NKOMETOU - BASE RAZEL PREFECTURE</v>
      </c>
      <c r="O382" s="18"/>
      <c r="P382" s="18"/>
    </row>
    <row r="383" spans="1:16" ht="27.6">
      <c r="A383" s="43" t="s">
        <v>72</v>
      </c>
      <c r="B383" s="43" t="s">
        <v>197</v>
      </c>
      <c r="C383" s="43" t="s">
        <v>1484</v>
      </c>
      <c r="D383" s="43" t="s">
        <v>1485</v>
      </c>
      <c r="E383" s="27">
        <f t="shared" si="81"/>
        <v>5.4513888826477341E-3</v>
      </c>
      <c r="F383" s="18" t="s">
        <v>98</v>
      </c>
      <c r="G383" s="30">
        <f t="shared" si="82"/>
        <v>3.4201388894871343E-2</v>
      </c>
      <c r="H383" s="23" t="str">
        <f t="shared" si="83"/>
        <v>CARRIERE RAZEL NKOMETOU - BASE RAZEL PREFECTURE</v>
      </c>
      <c r="I383" s="33" t="str">
        <f>IF(F382='Données Hebdo'!A382, VLOOKUP(Feuil1!A383, 'Données Hebdo'!B:J, 8, FALSE), "")</f>
        <v/>
      </c>
      <c r="J383" s="27" t="str">
        <f t="shared" si="84"/>
        <v>10:36:34 à 11:08:55</v>
      </c>
      <c r="K383" s="27" t="str">
        <f t="shared" si="85"/>
        <v>2016-06-02 11:08:55</v>
      </c>
      <c r="L383" s="27">
        <f t="shared" si="86"/>
        <v>2.2465277783339843E-2</v>
      </c>
      <c r="M383" s="30">
        <f t="shared" si="87"/>
        <v>5.4513888826477341E-3</v>
      </c>
      <c r="N383" s="18" t="str">
        <f t="shared" si="88"/>
        <v>BASE RAZEL PREFECTURE - CARRIERE RAZEL NKOMETOU</v>
      </c>
      <c r="O383" s="18"/>
      <c r="P383" s="18"/>
    </row>
    <row r="384" spans="1:16" ht="27.6">
      <c r="A384" s="43" t="s">
        <v>72</v>
      </c>
      <c r="B384" s="43" t="s">
        <v>42</v>
      </c>
      <c r="C384" s="43" t="s">
        <v>1486</v>
      </c>
      <c r="D384" s="43" t="s">
        <v>1487</v>
      </c>
      <c r="E384" s="27">
        <f t="shared" si="81"/>
        <v>1.3148148143955041E-2</v>
      </c>
      <c r="F384" s="18" t="s">
        <v>98</v>
      </c>
      <c r="G384" s="30">
        <f t="shared" si="82"/>
        <v>2.2465277783339843E-2</v>
      </c>
      <c r="H384" s="23" t="str">
        <f t="shared" si="83"/>
        <v>BASE RAZEL PREFECTURE - CARRIERE RAZEL NKOMETOU</v>
      </c>
      <c r="I384" s="33" t="str">
        <f>IF(F383='Données Hebdo'!A383, VLOOKUP(Feuil1!A384, 'Données Hebdo'!B:J, 8, FALSE), "")</f>
        <v/>
      </c>
      <c r="J384" s="27" t="str">
        <f t="shared" si="84"/>
        <v>11:27:51 à 12:10:36</v>
      </c>
      <c r="K384" s="27" t="str">
        <f t="shared" si="85"/>
        <v>2016-06-02 12:10:36</v>
      </c>
      <c r="L384" s="27">
        <f t="shared" si="86"/>
        <v>2.9687500005820766E-2</v>
      </c>
      <c r="M384" s="30">
        <f t="shared" si="87"/>
        <v>1.3148148143955041E-2</v>
      </c>
      <c r="N384" s="18" t="str">
        <f t="shared" si="88"/>
        <v>CARRIERE RAZEL NKOMETOU - BASE RAZEL PREFECTURE</v>
      </c>
      <c r="O384" s="18"/>
      <c r="P384" s="18"/>
    </row>
    <row r="385" spans="1:16" ht="27.6">
      <c r="A385" s="43" t="s">
        <v>72</v>
      </c>
      <c r="B385" s="43" t="s">
        <v>197</v>
      </c>
      <c r="C385" s="43" t="s">
        <v>1488</v>
      </c>
      <c r="D385" s="43" t="s">
        <v>1489</v>
      </c>
      <c r="E385" s="27">
        <f t="shared" si="81"/>
        <v>3.2870370341697708E-3</v>
      </c>
      <c r="F385" s="18" t="s">
        <v>98</v>
      </c>
      <c r="G385" s="30">
        <f t="shared" si="82"/>
        <v>2.9687500005820766E-2</v>
      </c>
      <c r="H385" s="23" t="str">
        <f t="shared" si="83"/>
        <v>CARRIERE RAZEL NKOMETOU - BASE RAZEL PREFECTURE</v>
      </c>
      <c r="I385" s="33" t="str">
        <f>IF(F384='Données Hebdo'!A384, VLOOKUP(Feuil1!A385, 'Données Hebdo'!B:J, 8, FALSE), "")</f>
        <v/>
      </c>
      <c r="J385" s="27" t="str">
        <f t="shared" si="84"/>
        <v>12:15:20 à 12:51:53</v>
      </c>
      <c r="K385" s="27" t="str">
        <f t="shared" si="85"/>
        <v>2016-06-02 12:51:53</v>
      </c>
      <c r="L385" s="27">
        <f t="shared" si="86"/>
        <v>2.5381944440596271E-2</v>
      </c>
      <c r="M385" s="30">
        <f t="shared" si="87"/>
        <v>3.2870370341697708E-3</v>
      </c>
      <c r="N385" s="18" t="str">
        <f t="shared" si="88"/>
        <v>BASE RAZEL PREFECTURE - CARRIERE RAZEL NKOMETOU</v>
      </c>
      <c r="O385" s="18"/>
      <c r="P385" s="18"/>
    </row>
    <row r="386" spans="1:16" ht="27.6">
      <c r="A386" s="43" t="s">
        <v>72</v>
      </c>
      <c r="B386" s="43" t="s">
        <v>42</v>
      </c>
      <c r="C386" s="43" t="s">
        <v>1490</v>
      </c>
      <c r="D386" s="43" t="s">
        <v>1491</v>
      </c>
      <c r="E386" s="27">
        <f t="shared" si="81"/>
        <v>6.0370370374585036E-2</v>
      </c>
      <c r="F386" s="18" t="s">
        <v>98</v>
      </c>
      <c r="G386" s="30">
        <f t="shared" si="82"/>
        <v>2.5381944440596271E-2</v>
      </c>
      <c r="H386" s="23" t="str">
        <f t="shared" si="83"/>
        <v>BASE RAZEL PREFECTURE - CARRIERE RAZEL NKOMETOU</v>
      </c>
      <c r="I386" s="33" t="str">
        <f>IF(F385='Données Hebdo'!A385, VLOOKUP(Feuil1!A386, 'Données Hebdo'!B:J, 8, FALSE), "")</f>
        <v/>
      </c>
      <c r="J386" s="27" t="str">
        <f t="shared" si="84"/>
        <v>14:18:49 à 15:35:17</v>
      </c>
      <c r="K386" s="27" t="str">
        <f t="shared" si="85"/>
        <v>2016-06-02 15:35:17</v>
      </c>
      <c r="L386" s="27">
        <f t="shared" si="86"/>
        <v>5.3101851852261461E-2</v>
      </c>
      <c r="M386" s="30">
        <f t="shared" si="87"/>
        <v>6.0370370374585036E-2</v>
      </c>
      <c r="N386" s="18" t="str">
        <f t="shared" si="88"/>
        <v>CARRIERE RAZEL NKOMETOU - BASE RAZEL PREFECTURE</v>
      </c>
      <c r="O386" s="18"/>
      <c r="P386" s="18"/>
    </row>
    <row r="387" spans="1:16" ht="27.6">
      <c r="A387" s="43" t="s">
        <v>72</v>
      </c>
      <c r="B387" s="43" t="s">
        <v>197</v>
      </c>
      <c r="C387" s="43" t="s">
        <v>1492</v>
      </c>
      <c r="D387" s="43" t="s">
        <v>1493</v>
      </c>
      <c r="E387" s="27">
        <f t="shared" ref="E387:E450" si="89">IFERROR(D387-C387, "")</f>
        <v>5.4513888899236917E-3</v>
      </c>
      <c r="F387" s="18" t="s">
        <v>98</v>
      </c>
      <c r="G387" s="30">
        <f t="shared" si="82"/>
        <v>5.3101851852261461E-2</v>
      </c>
      <c r="H387" s="23" t="str">
        <f t="shared" si="83"/>
        <v>CARRIERE RAZEL NKOMETOU - BASE RAZEL PREFECTURE</v>
      </c>
      <c r="I387" s="33" t="str">
        <f>IF(F386='Données Hebdo'!A386, VLOOKUP(Feuil1!A387, 'Données Hebdo'!B:J, 8, FALSE), "")</f>
        <v/>
      </c>
      <c r="J387" s="27" t="str">
        <f t="shared" si="84"/>
        <v>15:43:08 à 16:30:33</v>
      </c>
      <c r="K387" s="27" t="str">
        <f t="shared" si="85"/>
        <v>2016-06-02 16:30:33</v>
      </c>
      <c r="L387" s="27">
        <f t="shared" si="86"/>
        <v>3.2928240740147885E-2</v>
      </c>
      <c r="M387" s="30">
        <f t="shared" si="87"/>
        <v>5.4513888899236917E-3</v>
      </c>
      <c r="N387" s="18" t="str">
        <f t="shared" si="88"/>
        <v>BASE RAZEL PREFECTURE - CARRIERE RAZEL NKOMETOU</v>
      </c>
      <c r="O387" s="18"/>
      <c r="P387" s="18"/>
    </row>
    <row r="388" spans="1:16">
      <c r="A388" s="43" t="s">
        <v>72</v>
      </c>
      <c r="B388" s="43" t="s">
        <v>42</v>
      </c>
      <c r="C388" s="43" t="s">
        <v>1494</v>
      </c>
      <c r="D388" s="43" t="s">
        <v>1495</v>
      </c>
      <c r="E388" s="27">
        <f t="shared" si="89"/>
        <v>0.6522569444423425</v>
      </c>
      <c r="F388" s="18" t="s">
        <v>98</v>
      </c>
      <c r="G388" s="30">
        <f t="shared" si="82"/>
        <v>3.2928240740147885E-2</v>
      </c>
      <c r="H388" s="23" t="str">
        <f t="shared" si="83"/>
        <v>BASE RAZEL PREFECTURE - CARRIERE RAZEL NKOMETOU</v>
      </c>
      <c r="I388" s="33" t="str">
        <f>IF(F387='Données Hebdo'!A387, VLOOKUP(Feuil1!A388, 'Données Hebdo'!B:J, 8, FALSE), "")</f>
        <v/>
      </c>
      <c r="J388" s="27" t="str">
        <f t="shared" si="84"/>
        <v/>
      </c>
      <c r="K388" s="27" t="str">
        <f t="shared" si="85"/>
        <v/>
      </c>
      <c r="L388" s="27" t="str">
        <f t="shared" si="86"/>
        <v/>
      </c>
      <c r="M388" s="30" t="str">
        <f t="shared" si="87"/>
        <v/>
      </c>
      <c r="N388" s="18" t="str">
        <f t="shared" si="88"/>
        <v/>
      </c>
      <c r="O388" s="18"/>
      <c r="P388" s="18"/>
    </row>
    <row r="389" spans="1:16" ht="27.6">
      <c r="A389" s="43" t="s">
        <v>82</v>
      </c>
      <c r="B389" s="43" t="s">
        <v>53</v>
      </c>
      <c r="C389" s="43" t="s">
        <v>1496</v>
      </c>
      <c r="D389" s="43" t="s">
        <v>1497</v>
      </c>
      <c r="E389" s="27">
        <f t="shared" si="89"/>
        <v>0.88684027777344454</v>
      </c>
      <c r="F389" s="18" t="s">
        <v>98</v>
      </c>
      <c r="G389" s="30" t="str">
        <f t="shared" si="82"/>
        <v/>
      </c>
      <c r="H389" s="23" t="str">
        <f t="shared" si="83"/>
        <v/>
      </c>
      <c r="I389" s="33" t="str">
        <f>IF(F388='Données Hebdo'!A388, VLOOKUP(Feuil1!A389, 'Données Hebdo'!B:J, 8, FALSE), "")</f>
        <v/>
      </c>
      <c r="J389" s="27" t="str">
        <f t="shared" si="84"/>
        <v>15:17:41 à 15:38:16</v>
      </c>
      <c r="K389" s="27" t="str">
        <f t="shared" si="85"/>
        <v>2016-06-02 15:38:16</v>
      </c>
      <c r="L389" s="27">
        <f t="shared" si="86"/>
        <v>1.4293981483206153E-2</v>
      </c>
      <c r="M389" s="30">
        <f t="shared" si="87"/>
        <v>0.88684027777344454</v>
      </c>
      <c r="N389" s="18" t="str">
        <f t="shared" si="88"/>
        <v>BASE RAZEL AEROPORT - BASE RAZEL WOURI</v>
      </c>
      <c r="O389" s="18"/>
      <c r="P389" s="18"/>
    </row>
    <row r="390" spans="1:16" ht="27.6">
      <c r="A390" s="43" t="s">
        <v>82</v>
      </c>
      <c r="B390" s="43" t="s">
        <v>58</v>
      </c>
      <c r="C390" s="43" t="s">
        <v>1498</v>
      </c>
      <c r="D390" s="43" t="s">
        <v>1499</v>
      </c>
      <c r="E390" s="27">
        <f t="shared" si="89"/>
        <v>0.14151620370830642</v>
      </c>
      <c r="F390" s="18" t="s">
        <v>98</v>
      </c>
      <c r="G390" s="30">
        <f t="shared" si="82"/>
        <v>1.4293981483206153E-2</v>
      </c>
      <c r="H390" s="23" t="str">
        <f t="shared" si="83"/>
        <v>BASE RAZEL AEROPORT - BASE RAZEL WOURI</v>
      </c>
      <c r="I390" s="33" t="str">
        <f>IF(F389='Données Hebdo'!A389, VLOOKUP(Feuil1!A390, 'Données Hebdo'!B:J, 8, FALSE), "")</f>
        <v/>
      </c>
      <c r="J390" s="27" t="str">
        <f t="shared" si="84"/>
        <v>19:02:03 à 19:26:30</v>
      </c>
      <c r="K390" s="27" t="str">
        <f t="shared" si="85"/>
        <v>2016-06-02 19:26:30</v>
      </c>
      <c r="L390" s="27">
        <f t="shared" si="86"/>
        <v>1.6979166663077194E-2</v>
      </c>
      <c r="M390" s="30">
        <f t="shared" si="87"/>
        <v>0.14151620370830642</v>
      </c>
      <c r="N390" s="18" t="str">
        <f t="shared" si="88"/>
        <v>BASE RAZEL WOURI - AEROPORT DE DOUALA</v>
      </c>
      <c r="O390" s="18"/>
      <c r="P390" s="18"/>
    </row>
    <row r="391" spans="1:16" ht="27.6">
      <c r="A391" s="43" t="s">
        <v>82</v>
      </c>
      <c r="B391" s="43" t="s">
        <v>729</v>
      </c>
      <c r="C391" s="43" t="s">
        <v>1500</v>
      </c>
      <c r="D391" s="43" t="s">
        <v>1501</v>
      </c>
      <c r="E391" s="27">
        <f t="shared" si="89"/>
        <v>6.36574077361729E-4</v>
      </c>
      <c r="F391" s="18" t="s">
        <v>98</v>
      </c>
      <c r="G391" s="30">
        <f t="shared" si="82"/>
        <v>1.6979166663077194E-2</v>
      </c>
      <c r="H391" s="23" t="str">
        <f t="shared" si="83"/>
        <v>BASE RAZEL WOURI - AEROPORT DE DOUALA</v>
      </c>
      <c r="I391" s="33" t="str">
        <f>IF(F390='Données Hebdo'!A390, VLOOKUP(Feuil1!A391, 'Données Hebdo'!B:J, 8, FALSE), "")</f>
        <v/>
      </c>
      <c r="J391" s="27" t="str">
        <f t="shared" si="84"/>
        <v>19:27:25 à 19:29:30</v>
      </c>
      <c r="K391" s="27" t="str">
        <f t="shared" si="85"/>
        <v>2016-06-02 19:29:30</v>
      </c>
      <c r="L391" s="27">
        <f t="shared" si="86"/>
        <v>1.4467592554865405E-3</v>
      </c>
      <c r="M391" s="30">
        <f t="shared" si="87"/>
        <v>6.36574077361729E-4</v>
      </c>
      <c r="N391" s="18" t="str">
        <f t="shared" si="88"/>
        <v>AEROPORT DE DOUALA - BASE RAZEL AEROPORT</v>
      </c>
      <c r="O391" s="18"/>
      <c r="P391" s="18"/>
    </row>
    <row r="392" spans="1:16">
      <c r="A392" s="43" t="s">
        <v>82</v>
      </c>
      <c r="B392" s="43" t="s">
        <v>53</v>
      </c>
      <c r="C392" s="43" t="s">
        <v>1502</v>
      </c>
      <c r="D392" s="43" t="s">
        <v>1503</v>
      </c>
      <c r="E392" s="27">
        <f t="shared" si="89"/>
        <v>0.48166666666656965</v>
      </c>
      <c r="F392" s="18" t="s">
        <v>98</v>
      </c>
      <c r="G392" s="30">
        <f t="shared" si="82"/>
        <v>1.4467592554865405E-3</v>
      </c>
      <c r="H392" s="23" t="str">
        <f t="shared" si="83"/>
        <v>AEROPORT DE DOUALA - BASE RAZEL AEROPORT</v>
      </c>
      <c r="I392" s="33" t="str">
        <f>IF(F391='Données Hebdo'!A391, VLOOKUP(Feuil1!A392, 'Données Hebdo'!B:J, 8, FALSE), "")</f>
        <v/>
      </c>
      <c r="J392" s="27" t="str">
        <f t="shared" si="84"/>
        <v/>
      </c>
      <c r="K392" s="27" t="str">
        <f t="shared" si="85"/>
        <v/>
      </c>
      <c r="L392" s="27" t="str">
        <f t="shared" si="86"/>
        <v/>
      </c>
      <c r="M392" s="30" t="str">
        <f t="shared" si="87"/>
        <v/>
      </c>
      <c r="N392" s="18" t="str">
        <f t="shared" si="88"/>
        <v/>
      </c>
      <c r="O392" s="18"/>
      <c r="P392" s="18"/>
    </row>
    <row r="393" spans="1:16" ht="27.6">
      <c r="A393" s="43" t="s">
        <v>84</v>
      </c>
      <c r="B393" s="43" t="s">
        <v>53</v>
      </c>
      <c r="C393" s="43" t="s">
        <v>1504</v>
      </c>
      <c r="D393" s="43" t="s">
        <v>1505</v>
      </c>
      <c r="E393" s="27">
        <f t="shared" si="89"/>
        <v>0.61962962963298196</v>
      </c>
      <c r="F393" s="18" t="s">
        <v>98</v>
      </c>
      <c r="G393" s="30" t="str">
        <f t="shared" si="82"/>
        <v/>
      </c>
      <c r="H393" s="23" t="str">
        <f t="shared" si="83"/>
        <v/>
      </c>
      <c r="I393" s="33" t="str">
        <f>IF(F392='Données Hebdo'!A392, VLOOKUP(Feuil1!A393, 'Données Hebdo'!B:J, 8, FALSE), "")</f>
        <v/>
      </c>
      <c r="J393" s="27" t="str">
        <f t="shared" si="84"/>
        <v>09:19:39 à 09:38:03</v>
      </c>
      <c r="K393" s="27" t="str">
        <f t="shared" si="85"/>
        <v>2016-06-02 09:38:03</v>
      </c>
      <c r="L393" s="27">
        <f t="shared" si="86"/>
        <v>1.2777777774317656E-2</v>
      </c>
      <c r="M393" s="30">
        <f t="shared" si="87"/>
        <v>0.61962962963298196</v>
      </c>
      <c r="N393" s="18" t="str">
        <f t="shared" si="88"/>
        <v>BASE RAZEL AEROPORT - BASE RAZEL WOURI</v>
      </c>
      <c r="O393" s="18"/>
      <c r="P393" s="18"/>
    </row>
    <row r="394" spans="1:16" ht="27.6">
      <c r="A394" s="43" t="s">
        <v>84</v>
      </c>
      <c r="B394" s="43" t="s">
        <v>58</v>
      </c>
      <c r="C394" s="43" t="s">
        <v>1506</v>
      </c>
      <c r="D394" s="43" t="s">
        <v>1507</v>
      </c>
      <c r="E394" s="27">
        <f t="shared" si="89"/>
        <v>4.9861111110658385E-2</v>
      </c>
      <c r="F394" s="18" t="s">
        <v>98</v>
      </c>
      <c r="G394" s="30">
        <f t="shared" si="82"/>
        <v>1.2777777774317656E-2</v>
      </c>
      <c r="H394" s="23" t="str">
        <f t="shared" si="83"/>
        <v>BASE RAZEL AEROPORT - BASE RAZEL WOURI</v>
      </c>
      <c r="I394" s="33" t="str">
        <f>IF(F393='Données Hebdo'!A393, VLOOKUP(Feuil1!A394, 'Données Hebdo'!B:J, 8, FALSE), "")</f>
        <v/>
      </c>
      <c r="J394" s="27" t="str">
        <f t="shared" si="84"/>
        <v>10:49:51 à 11:07:03</v>
      </c>
      <c r="K394" s="27" t="str">
        <f t="shared" si="85"/>
        <v>2016-06-02 11:07:03</v>
      </c>
      <c r="L394" s="27">
        <f t="shared" si="86"/>
        <v>1.1944444442633539E-2</v>
      </c>
      <c r="M394" s="30">
        <f t="shared" si="87"/>
        <v>4.9861111110658385E-2</v>
      </c>
      <c r="N394" s="18" t="str">
        <f t="shared" si="88"/>
        <v>BASE RAZEL WOURI - AEROPORT DE DOUALA</v>
      </c>
      <c r="O394" s="18"/>
      <c r="P394" s="18"/>
    </row>
    <row r="395" spans="1:16" ht="27.6">
      <c r="A395" s="43" t="s">
        <v>84</v>
      </c>
      <c r="B395" s="43" t="s">
        <v>729</v>
      </c>
      <c r="C395" s="43" t="s">
        <v>1508</v>
      </c>
      <c r="D395" s="43" t="s">
        <v>1509</v>
      </c>
      <c r="E395" s="27">
        <f t="shared" si="89"/>
        <v>5.3240740817273036E-4</v>
      </c>
      <c r="F395" s="18" t="s">
        <v>98</v>
      </c>
      <c r="G395" s="30">
        <f t="shared" si="82"/>
        <v>1.1944444442633539E-2</v>
      </c>
      <c r="H395" s="23" t="str">
        <f t="shared" si="83"/>
        <v>BASE RAZEL WOURI - AEROPORT DE DOUALA</v>
      </c>
      <c r="I395" s="33" t="str">
        <f>IF(F394='Données Hebdo'!A394, VLOOKUP(Feuil1!A395, 'Données Hebdo'!B:J, 8, FALSE), "")</f>
        <v/>
      </c>
      <c r="J395" s="27" t="str">
        <f t="shared" si="84"/>
        <v>11:07:49 à 11:09:20</v>
      </c>
      <c r="K395" s="27" t="str">
        <f t="shared" si="85"/>
        <v>2016-06-02 11:09:20</v>
      </c>
      <c r="L395" s="27">
        <f t="shared" si="86"/>
        <v>1.0532407395658083E-3</v>
      </c>
      <c r="M395" s="30">
        <f t="shared" si="87"/>
        <v>5.3240740817273036E-4</v>
      </c>
      <c r="N395" s="18" t="str">
        <f t="shared" si="88"/>
        <v>AEROPORT DE DOUALA - BASE RAZEL AEROPORT</v>
      </c>
      <c r="O395" s="18"/>
      <c r="P395" s="18"/>
    </row>
    <row r="396" spans="1:16" ht="27.6">
      <c r="A396" s="43" t="s">
        <v>84</v>
      </c>
      <c r="B396" s="43" t="s">
        <v>53</v>
      </c>
      <c r="C396" s="43" t="s">
        <v>1510</v>
      </c>
      <c r="D396" s="43" t="s">
        <v>1511</v>
      </c>
      <c r="E396" s="27">
        <f t="shared" si="89"/>
        <v>4.2800925926712807E-2</v>
      </c>
      <c r="F396" s="18" t="s">
        <v>98</v>
      </c>
      <c r="G396" s="30">
        <f t="shared" ref="G396:G458" si="90">IF(A396=A395, C396-D395, "")</f>
        <v>1.0532407395658083E-3</v>
      </c>
      <c r="H396" s="23" t="str">
        <f t="shared" ref="H396:H458" si="91">IF(A396=A395, B395&amp;" - "&amp;B396, "")</f>
        <v>AEROPORT DE DOUALA - BASE RAZEL AEROPORT</v>
      </c>
      <c r="I396" s="33" t="str">
        <f>IF(F395='Données Hebdo'!A395, VLOOKUP(Feuil1!A396, 'Données Hebdo'!B:J, 8, FALSE), "")</f>
        <v/>
      </c>
      <c r="J396" s="27" t="str">
        <f t="shared" ref="J396:J458" si="92">IF(A396=A397, RIGHT(D396, 8)&amp;" à "&amp;RIGHT(C397, 8), "")</f>
        <v>12:10:58 à 12:13:42</v>
      </c>
      <c r="K396" s="27" t="str">
        <f t="shared" ref="K396:K458" si="93">IF(A396=A397, C397, "")</f>
        <v>2016-06-02 12:13:42</v>
      </c>
      <c r="L396" s="27">
        <f t="shared" ref="L396:L458" si="94">IF(A396=A397, G397, "")</f>
        <v>1.898148148029577E-3</v>
      </c>
      <c r="M396" s="30">
        <f t="shared" ref="M396:M458" si="95">IF(A396=A397, E396, "")</f>
        <v>4.2800925926712807E-2</v>
      </c>
      <c r="N396" s="18" t="str">
        <f t="shared" ref="N396:N458" si="96">IF(A396=A397, H397, "")</f>
        <v>BASE RAZEL AEROPORT - BASE RAZEL AEROPORT</v>
      </c>
      <c r="O396" s="18"/>
      <c r="P396" s="18"/>
    </row>
    <row r="397" spans="1:16" ht="27.6">
      <c r="A397" s="43" t="s">
        <v>84</v>
      </c>
      <c r="B397" s="43" t="s">
        <v>53</v>
      </c>
      <c r="C397" s="43" t="s">
        <v>1512</v>
      </c>
      <c r="D397" s="43" t="s">
        <v>1513</v>
      </c>
      <c r="E397" s="27">
        <f t="shared" si="89"/>
        <v>9.6064814715646207E-4</v>
      </c>
      <c r="F397" s="18" t="s">
        <v>98</v>
      </c>
      <c r="G397" s="30">
        <f t="shared" si="90"/>
        <v>1.898148148029577E-3</v>
      </c>
      <c r="H397" s="23" t="str">
        <f t="shared" si="91"/>
        <v>BASE RAZEL AEROPORT - BASE RAZEL AEROPORT</v>
      </c>
      <c r="I397" s="33" t="str">
        <f>IF(F396='Données Hebdo'!A396, VLOOKUP(Feuil1!A397, 'Données Hebdo'!B:J, 8, FALSE), "")</f>
        <v/>
      </c>
      <c r="J397" s="27" t="str">
        <f t="shared" si="92"/>
        <v>12:15:05 à 12:15:05</v>
      </c>
      <c r="K397" s="27" t="str">
        <f t="shared" si="93"/>
        <v>2016-06-02 12:15:05</v>
      </c>
      <c r="L397" s="27">
        <f t="shared" si="94"/>
        <v>0</v>
      </c>
      <c r="M397" s="30">
        <f t="shared" si="95"/>
        <v>9.6064814715646207E-4</v>
      </c>
      <c r="N397" s="18" t="str">
        <f t="shared" si="96"/>
        <v>BASE RAZEL AEROPORT - AEROPORT DE DOUALA</v>
      </c>
      <c r="O397" s="18"/>
      <c r="P397" s="18"/>
    </row>
    <row r="398" spans="1:16" ht="27.6">
      <c r="A398" s="43" t="s">
        <v>84</v>
      </c>
      <c r="B398" s="43" t="s">
        <v>729</v>
      </c>
      <c r="C398" s="43" t="s">
        <v>1513</v>
      </c>
      <c r="D398" s="43" t="s">
        <v>1514</v>
      </c>
      <c r="E398" s="27">
        <f t="shared" si="89"/>
        <v>2.0949074096279219E-3</v>
      </c>
      <c r="F398" s="18" t="s">
        <v>98</v>
      </c>
      <c r="G398" s="30">
        <f t="shared" si="90"/>
        <v>0</v>
      </c>
      <c r="H398" s="23" t="str">
        <f t="shared" si="91"/>
        <v>BASE RAZEL AEROPORT - AEROPORT DE DOUALA</v>
      </c>
      <c r="I398" s="33" t="str">
        <f>IF(F397='Données Hebdo'!A397, VLOOKUP(Feuil1!A398, 'Données Hebdo'!B:J, 8, FALSE), "")</f>
        <v/>
      </c>
      <c r="J398" s="27" t="str">
        <f t="shared" si="92"/>
        <v>12:18:06 à 17:51:00</v>
      </c>
      <c r="K398" s="27" t="str">
        <f t="shared" si="93"/>
        <v>2016-06-02 17:51:00</v>
      </c>
      <c r="L398" s="27">
        <f t="shared" si="94"/>
        <v>0.23118055555823958</v>
      </c>
      <c r="M398" s="30">
        <f t="shared" si="95"/>
        <v>2.0949074096279219E-3</v>
      </c>
      <c r="N398" s="18" t="str">
        <f t="shared" si="96"/>
        <v>AEROPORT DE DOUALA - AEROPORT DE DOUALA</v>
      </c>
      <c r="O398" s="18"/>
      <c r="P398" s="18"/>
    </row>
    <row r="399" spans="1:16" ht="27.6">
      <c r="A399" s="43" t="s">
        <v>84</v>
      </c>
      <c r="B399" s="43" t="s">
        <v>729</v>
      </c>
      <c r="C399" s="43" t="s">
        <v>1515</v>
      </c>
      <c r="D399" s="43" t="s">
        <v>1516</v>
      </c>
      <c r="E399" s="27">
        <f t="shared" si="89"/>
        <v>1.0532407395658083E-3</v>
      </c>
      <c r="F399" s="18" t="s">
        <v>98</v>
      </c>
      <c r="G399" s="30">
        <f t="shared" si="90"/>
        <v>0.23118055555823958</v>
      </c>
      <c r="H399" s="23" t="str">
        <f t="shared" si="91"/>
        <v>AEROPORT DE DOUALA - AEROPORT DE DOUALA</v>
      </c>
      <c r="I399" s="33" t="str">
        <f>IF(F398='Données Hebdo'!A398, VLOOKUP(Feuil1!A399, 'Données Hebdo'!B:J, 8, FALSE), "")</f>
        <v/>
      </c>
      <c r="J399" s="27" t="str">
        <f t="shared" si="92"/>
        <v>17:52:31 à 17:53:31</v>
      </c>
      <c r="K399" s="27" t="str">
        <f t="shared" si="93"/>
        <v>2016-06-02 17:53:31</v>
      </c>
      <c r="L399" s="27">
        <f t="shared" si="94"/>
        <v>6.944444467080757E-4</v>
      </c>
      <c r="M399" s="30">
        <f t="shared" si="95"/>
        <v>1.0532407395658083E-3</v>
      </c>
      <c r="N399" s="18" t="str">
        <f t="shared" si="96"/>
        <v>AEROPORT DE DOUALA - AEROPORT DE DOUALA</v>
      </c>
      <c r="O399" s="18"/>
      <c r="P399" s="18"/>
    </row>
    <row r="400" spans="1:16" ht="27.6">
      <c r="A400" s="43" t="s">
        <v>84</v>
      </c>
      <c r="B400" s="43" t="s">
        <v>729</v>
      </c>
      <c r="C400" s="43" t="s">
        <v>1517</v>
      </c>
      <c r="D400" s="43" t="s">
        <v>1518</v>
      </c>
      <c r="E400" s="27">
        <f t="shared" si="89"/>
        <v>6.8287036992842332E-4</v>
      </c>
      <c r="F400" s="18" t="s">
        <v>98</v>
      </c>
      <c r="G400" s="30">
        <f t="shared" si="90"/>
        <v>6.944444467080757E-4</v>
      </c>
      <c r="H400" s="23" t="str">
        <f t="shared" si="91"/>
        <v>AEROPORT DE DOUALA - AEROPORT DE DOUALA</v>
      </c>
      <c r="I400" s="33" t="str">
        <f>IF(F399='Données Hebdo'!A399, VLOOKUP(Feuil1!A400, 'Données Hebdo'!B:J, 8, FALSE), "")</f>
        <v/>
      </c>
      <c r="J400" s="27" t="str">
        <f t="shared" si="92"/>
        <v>17:54:30 à 17:56:06</v>
      </c>
      <c r="K400" s="27" t="str">
        <f t="shared" si="93"/>
        <v>2016-06-02 17:56:06</v>
      </c>
      <c r="L400" s="27">
        <f t="shared" si="94"/>
        <v>1.111111108912155E-3</v>
      </c>
      <c r="M400" s="30">
        <f t="shared" si="95"/>
        <v>6.8287036992842332E-4</v>
      </c>
      <c r="N400" s="18" t="str">
        <f t="shared" si="96"/>
        <v>AEROPORT DE DOUALA - AEROPORT DE DOUALA</v>
      </c>
      <c r="O400" s="18"/>
      <c r="P400" s="18"/>
    </row>
    <row r="401" spans="1:16" ht="27.6">
      <c r="A401" s="43" t="s">
        <v>84</v>
      </c>
      <c r="B401" s="43" t="s">
        <v>729</v>
      </c>
      <c r="C401" s="43" t="s">
        <v>1519</v>
      </c>
      <c r="D401" s="43" t="s">
        <v>1520</v>
      </c>
      <c r="E401" s="27">
        <f t="shared" si="89"/>
        <v>7.6388888555811718E-4</v>
      </c>
      <c r="F401" s="18" t="s">
        <v>98</v>
      </c>
      <c r="G401" s="30">
        <f t="shared" si="90"/>
        <v>1.111111108912155E-3</v>
      </c>
      <c r="H401" s="23" t="str">
        <f t="shared" si="91"/>
        <v>AEROPORT DE DOUALA - AEROPORT DE DOUALA</v>
      </c>
      <c r="I401" s="33" t="str">
        <f>IF(F400='Données Hebdo'!A400, VLOOKUP(Feuil1!A401, 'Données Hebdo'!B:J, 8, FALSE), "")</f>
        <v/>
      </c>
      <c r="J401" s="27" t="str">
        <f t="shared" si="92"/>
        <v>17:57:12 à 18:14:24</v>
      </c>
      <c r="K401" s="27" t="str">
        <f t="shared" si="93"/>
        <v>2016-06-02 18:14:24</v>
      </c>
      <c r="L401" s="27">
        <f t="shared" si="94"/>
        <v>1.1944444449909497E-2</v>
      </c>
      <c r="M401" s="30">
        <f t="shared" si="95"/>
        <v>7.6388888555811718E-4</v>
      </c>
      <c r="N401" s="18" t="str">
        <f t="shared" si="96"/>
        <v>AEROPORT DE DOUALA - BASE RAZEL WOURI</v>
      </c>
      <c r="O401" s="18"/>
      <c r="P401" s="18"/>
    </row>
    <row r="402" spans="1:16" ht="27.6">
      <c r="A402" s="43" t="s">
        <v>84</v>
      </c>
      <c r="B402" s="43" t="s">
        <v>58</v>
      </c>
      <c r="C402" s="43" t="s">
        <v>1521</v>
      </c>
      <c r="D402" s="43" t="s">
        <v>1522</v>
      </c>
      <c r="E402" s="27">
        <f t="shared" si="89"/>
        <v>6.8981481454102322E-3</v>
      </c>
      <c r="F402" s="18" t="s">
        <v>98</v>
      </c>
      <c r="G402" s="30">
        <f t="shared" si="90"/>
        <v>1.1944444449909497E-2</v>
      </c>
      <c r="H402" s="23" t="str">
        <f t="shared" si="91"/>
        <v>AEROPORT DE DOUALA - BASE RAZEL WOURI</v>
      </c>
      <c r="I402" s="33" t="str">
        <f>IF(F401='Données Hebdo'!A401, VLOOKUP(Feuil1!A402, 'Données Hebdo'!B:J, 8, FALSE), "")</f>
        <v/>
      </c>
      <c r="J402" s="27" t="str">
        <f t="shared" si="92"/>
        <v>18:24:20 à 18:40:02</v>
      </c>
      <c r="K402" s="27" t="str">
        <f t="shared" si="93"/>
        <v>2016-06-02 18:40:02</v>
      </c>
      <c r="L402" s="27">
        <f t="shared" si="94"/>
        <v>1.0902777779847383E-2</v>
      </c>
      <c r="M402" s="30">
        <f t="shared" si="95"/>
        <v>6.8981481454102322E-3</v>
      </c>
      <c r="N402" s="18" t="str">
        <f t="shared" si="96"/>
        <v>BASE RAZEL WOURI - AEROPORT DE DOUALA</v>
      </c>
      <c r="O402" s="18"/>
      <c r="P402" s="18"/>
    </row>
    <row r="403" spans="1:16" ht="27.6">
      <c r="A403" s="43" t="s">
        <v>84</v>
      </c>
      <c r="B403" s="43" t="s">
        <v>729</v>
      </c>
      <c r="C403" s="43" t="s">
        <v>1523</v>
      </c>
      <c r="D403" s="43" t="s">
        <v>1524</v>
      </c>
      <c r="E403" s="27">
        <f t="shared" si="89"/>
        <v>3.2407406979473308E-4</v>
      </c>
      <c r="F403" s="18" t="s">
        <v>98</v>
      </c>
      <c r="G403" s="30">
        <f t="shared" si="90"/>
        <v>1.0902777779847383E-2</v>
      </c>
      <c r="H403" s="23" t="str">
        <f t="shared" si="91"/>
        <v>BASE RAZEL WOURI - AEROPORT DE DOUALA</v>
      </c>
      <c r="I403" s="33" t="str">
        <f>IF(F402='Données Hebdo'!A402, VLOOKUP(Feuil1!A403, 'Données Hebdo'!B:J, 8, FALSE), "")</f>
        <v/>
      </c>
      <c r="J403" s="27" t="str">
        <f t="shared" si="92"/>
        <v>18:40:30 à 18:41:56</v>
      </c>
      <c r="K403" s="27" t="str">
        <f t="shared" si="93"/>
        <v>2016-06-02 18:41:56</v>
      </c>
      <c r="L403" s="27">
        <f t="shared" si="94"/>
        <v>9.9537037021946162E-4</v>
      </c>
      <c r="M403" s="30">
        <f t="shared" si="95"/>
        <v>3.2407406979473308E-4</v>
      </c>
      <c r="N403" s="18" t="str">
        <f t="shared" si="96"/>
        <v>AEROPORT DE DOUALA - BASE RAZEL AEROPORT</v>
      </c>
      <c r="O403" s="18"/>
      <c r="P403" s="18"/>
    </row>
    <row r="404" spans="1:16">
      <c r="A404" s="43" t="s">
        <v>84</v>
      </c>
      <c r="B404" s="43" t="s">
        <v>53</v>
      </c>
      <c r="C404" s="43" t="s">
        <v>1525</v>
      </c>
      <c r="D404" s="43" t="s">
        <v>1526</v>
      </c>
      <c r="E404" s="27">
        <f t="shared" si="89"/>
        <v>0.53214120370830642</v>
      </c>
      <c r="F404" s="18" t="s">
        <v>98</v>
      </c>
      <c r="G404" s="30">
        <f t="shared" si="90"/>
        <v>9.9537037021946162E-4</v>
      </c>
      <c r="H404" s="23" t="str">
        <f t="shared" si="91"/>
        <v>AEROPORT DE DOUALA - BASE RAZEL AEROPORT</v>
      </c>
      <c r="I404" s="33" t="str">
        <f>IF(F403='Données Hebdo'!A403, VLOOKUP(Feuil1!A404, 'Données Hebdo'!B:J, 8, FALSE), "")</f>
        <v/>
      </c>
      <c r="J404" s="27" t="str">
        <f t="shared" si="92"/>
        <v/>
      </c>
      <c r="K404" s="27" t="str">
        <f t="shared" si="93"/>
        <v/>
      </c>
      <c r="L404" s="27" t="str">
        <f t="shared" si="94"/>
        <v/>
      </c>
      <c r="M404" s="30" t="str">
        <f t="shared" si="95"/>
        <v/>
      </c>
      <c r="N404" s="18" t="str">
        <f t="shared" si="96"/>
        <v/>
      </c>
      <c r="O404" s="18"/>
      <c r="P404" s="18"/>
    </row>
    <row r="405" spans="1:16" ht="27.6">
      <c r="A405" s="43" t="s">
        <v>86</v>
      </c>
      <c r="B405" s="43" t="s">
        <v>53</v>
      </c>
      <c r="C405" s="43" t="s">
        <v>1527</v>
      </c>
      <c r="D405" s="43" t="s">
        <v>1528</v>
      </c>
      <c r="E405" s="27">
        <f t="shared" si="89"/>
        <v>0.62027777777984738</v>
      </c>
      <c r="F405" s="18" t="s">
        <v>98</v>
      </c>
      <c r="G405" s="30" t="str">
        <f t="shared" si="90"/>
        <v/>
      </c>
      <c r="H405" s="23" t="str">
        <f t="shared" si="91"/>
        <v/>
      </c>
      <c r="I405" s="33" t="str">
        <f>IF(F404='Données Hebdo'!A404, VLOOKUP(Feuil1!A405, 'Données Hebdo'!B:J, 8, FALSE), "")</f>
        <v/>
      </c>
      <c r="J405" s="27" t="str">
        <f t="shared" si="92"/>
        <v>07:22:45 à 08:36:30</v>
      </c>
      <c r="K405" s="27" t="str">
        <f t="shared" si="93"/>
        <v>2016-06-02 08:36:30</v>
      </c>
      <c r="L405" s="27">
        <f t="shared" si="94"/>
        <v>5.1215277773735579E-2</v>
      </c>
      <c r="M405" s="30">
        <f t="shared" si="95"/>
        <v>0.62027777777984738</v>
      </c>
      <c r="N405" s="18" t="str">
        <f t="shared" si="96"/>
        <v>BASE RAZEL AEROPORT - CARRIERE LOGBADJECK</v>
      </c>
      <c r="O405" s="18"/>
      <c r="P405" s="18"/>
    </row>
    <row r="406" spans="1:16" ht="27.6">
      <c r="A406" s="43" t="s">
        <v>86</v>
      </c>
      <c r="B406" s="43" t="s">
        <v>55</v>
      </c>
      <c r="C406" s="43" t="s">
        <v>1461</v>
      </c>
      <c r="D406" s="43" t="s">
        <v>1529</v>
      </c>
      <c r="E406" s="27">
        <f t="shared" si="89"/>
        <v>2.5289351855462883E-2</v>
      </c>
      <c r="F406" s="18" t="s">
        <v>98</v>
      </c>
      <c r="G406" s="30">
        <f t="shared" si="90"/>
        <v>5.1215277773735579E-2</v>
      </c>
      <c r="H406" s="23" t="str">
        <f t="shared" si="91"/>
        <v>BASE RAZEL AEROPORT - CARRIERE LOGBADJECK</v>
      </c>
      <c r="I406" s="33" t="str">
        <f>IF(F405='Données Hebdo'!A405, VLOOKUP(Feuil1!A406, 'Données Hebdo'!B:J, 8, FALSE), "")</f>
        <v/>
      </c>
      <c r="J406" s="27" t="str">
        <f t="shared" si="92"/>
        <v>09:12:55 à 11:10:48</v>
      </c>
      <c r="K406" s="27" t="str">
        <f t="shared" si="93"/>
        <v>2016-06-02 11:10:48</v>
      </c>
      <c r="L406" s="27">
        <f t="shared" si="94"/>
        <v>8.1863425926712807E-2</v>
      </c>
      <c r="M406" s="30">
        <f t="shared" si="95"/>
        <v>2.5289351855462883E-2</v>
      </c>
      <c r="N406" s="18" t="str">
        <f t="shared" si="96"/>
        <v>CARRIERE LOGBADJECK - BASE RAZEL AEROPORT</v>
      </c>
      <c r="O406" s="18"/>
      <c r="P406" s="18"/>
    </row>
    <row r="407" spans="1:16" ht="27.6">
      <c r="A407" s="43" t="s">
        <v>86</v>
      </c>
      <c r="B407" s="43" t="s">
        <v>53</v>
      </c>
      <c r="C407" s="43" t="s">
        <v>1530</v>
      </c>
      <c r="D407" s="43" t="s">
        <v>1531</v>
      </c>
      <c r="E407" s="27">
        <f t="shared" si="89"/>
        <v>4.4212962966412306E-3</v>
      </c>
      <c r="F407" s="18" t="s">
        <v>98</v>
      </c>
      <c r="G407" s="30">
        <f t="shared" si="90"/>
        <v>8.1863425926712807E-2</v>
      </c>
      <c r="H407" s="23" t="str">
        <f t="shared" si="91"/>
        <v>CARRIERE LOGBADJECK - BASE RAZEL AEROPORT</v>
      </c>
      <c r="I407" s="33" t="str">
        <f>IF(F406='Données Hebdo'!A406, VLOOKUP(Feuil1!A407, 'Données Hebdo'!B:J, 8, FALSE), "")</f>
        <v/>
      </c>
      <c r="J407" s="27" t="str">
        <f t="shared" si="92"/>
        <v>11:17:10 à 12:39:54</v>
      </c>
      <c r="K407" s="27" t="str">
        <f t="shared" si="93"/>
        <v>2016-06-02 12:39:54</v>
      </c>
      <c r="L407" s="27">
        <f t="shared" si="94"/>
        <v>5.7453703702776693E-2</v>
      </c>
      <c r="M407" s="30">
        <f t="shared" si="95"/>
        <v>4.4212962966412306E-3</v>
      </c>
      <c r="N407" s="18" t="str">
        <f t="shared" si="96"/>
        <v>BASE RAZEL AEROPORT - CARRIERE LOGBADJECK</v>
      </c>
      <c r="O407" s="18"/>
      <c r="P407" s="18"/>
    </row>
    <row r="408" spans="1:16" ht="27.6">
      <c r="A408" s="43" t="s">
        <v>86</v>
      </c>
      <c r="B408" s="43" t="s">
        <v>55</v>
      </c>
      <c r="C408" s="43" t="s">
        <v>1532</v>
      </c>
      <c r="D408" s="43" t="s">
        <v>1533</v>
      </c>
      <c r="E408" s="27">
        <f t="shared" si="89"/>
        <v>2.396990740817273E-2</v>
      </c>
      <c r="F408" s="18" t="s">
        <v>98</v>
      </c>
      <c r="G408" s="30">
        <f t="shared" si="90"/>
        <v>5.7453703702776693E-2</v>
      </c>
      <c r="H408" s="23" t="str">
        <f t="shared" si="91"/>
        <v>BASE RAZEL AEROPORT - CARRIERE LOGBADJECK</v>
      </c>
      <c r="I408" s="33" t="str">
        <f>IF(F407='Données Hebdo'!A407, VLOOKUP(Feuil1!A408, 'Données Hebdo'!B:J, 8, FALSE), "")</f>
        <v/>
      </c>
      <c r="J408" s="27" t="str">
        <f t="shared" si="92"/>
        <v>13:14:25 à 14:31:13</v>
      </c>
      <c r="K408" s="27" t="str">
        <f t="shared" si="93"/>
        <v>2016-06-02 14:31:13</v>
      </c>
      <c r="L408" s="27">
        <f t="shared" si="94"/>
        <v>5.3333333329646848E-2</v>
      </c>
      <c r="M408" s="30">
        <f t="shared" si="95"/>
        <v>2.396990740817273E-2</v>
      </c>
      <c r="N408" s="18" t="str">
        <f t="shared" si="96"/>
        <v>CARRIERE LOGBADJECK - BASE RAZEL AEROPORT</v>
      </c>
      <c r="O408" s="18"/>
      <c r="P408" s="18"/>
    </row>
    <row r="409" spans="1:16" ht="27.6">
      <c r="A409" s="43" t="s">
        <v>86</v>
      </c>
      <c r="B409" s="43" t="s">
        <v>53</v>
      </c>
      <c r="C409" s="43" t="s">
        <v>1534</v>
      </c>
      <c r="D409" s="43" t="s">
        <v>1535</v>
      </c>
      <c r="E409" s="27">
        <f t="shared" si="89"/>
        <v>1.9097222248092294E-3</v>
      </c>
      <c r="F409" s="18" t="s">
        <v>98</v>
      </c>
      <c r="G409" s="30">
        <f t="shared" si="90"/>
        <v>5.3333333329646848E-2</v>
      </c>
      <c r="H409" s="23" t="str">
        <f t="shared" si="91"/>
        <v>CARRIERE LOGBADJECK - BASE RAZEL AEROPORT</v>
      </c>
      <c r="I409" s="33" t="str">
        <f>IF(F408='Données Hebdo'!A408, VLOOKUP(Feuil1!A409, 'Données Hebdo'!B:J, 8, FALSE), "")</f>
        <v/>
      </c>
      <c r="J409" s="27" t="str">
        <f t="shared" si="92"/>
        <v>14:33:58 à 16:01:27</v>
      </c>
      <c r="K409" s="27" t="str">
        <f t="shared" si="93"/>
        <v>2016-06-02 16:01:27</v>
      </c>
      <c r="L409" s="27">
        <f t="shared" si="94"/>
        <v>6.0752314813726116E-2</v>
      </c>
      <c r="M409" s="30">
        <f t="shared" si="95"/>
        <v>1.9097222248092294E-3</v>
      </c>
      <c r="N409" s="18" t="str">
        <f t="shared" si="96"/>
        <v>BASE RAZEL AEROPORT - CARRIERE LOGBADJECK</v>
      </c>
      <c r="O409" s="18"/>
      <c r="P409" s="18"/>
    </row>
    <row r="410" spans="1:16" ht="27.6">
      <c r="A410" s="43" t="s">
        <v>86</v>
      </c>
      <c r="B410" s="43" t="s">
        <v>55</v>
      </c>
      <c r="C410" s="43" t="s">
        <v>1536</v>
      </c>
      <c r="D410" s="43" t="s">
        <v>1537</v>
      </c>
      <c r="E410" s="27">
        <f t="shared" si="89"/>
        <v>2.0266203704522923E-2</v>
      </c>
      <c r="F410" s="18" t="s">
        <v>98</v>
      </c>
      <c r="G410" s="30">
        <f t="shared" si="90"/>
        <v>6.0752314813726116E-2</v>
      </c>
      <c r="H410" s="23" t="str">
        <f t="shared" si="91"/>
        <v>BASE RAZEL AEROPORT - CARRIERE LOGBADJECK</v>
      </c>
      <c r="I410" s="33" t="str">
        <f>IF(F409='Données Hebdo'!A409, VLOOKUP(Feuil1!A410, 'Données Hebdo'!B:J, 8, FALSE), "")</f>
        <v/>
      </c>
      <c r="J410" s="27" t="str">
        <f t="shared" si="92"/>
        <v>16:30:38 à 18:02:41</v>
      </c>
      <c r="K410" s="27" t="str">
        <f t="shared" si="93"/>
        <v>2016-06-02 18:02:41</v>
      </c>
      <c r="L410" s="27">
        <f t="shared" si="94"/>
        <v>6.3923611109203193E-2</v>
      </c>
      <c r="M410" s="30">
        <f t="shared" si="95"/>
        <v>2.0266203704522923E-2</v>
      </c>
      <c r="N410" s="18" t="str">
        <f t="shared" si="96"/>
        <v>CARRIERE LOGBADJECK - BASE RAZEL AEROPORT</v>
      </c>
      <c r="O410" s="18"/>
      <c r="P410" s="18"/>
    </row>
    <row r="411" spans="1:16" ht="27.6">
      <c r="A411" s="43" t="s">
        <v>86</v>
      </c>
      <c r="B411" s="43" t="s">
        <v>53</v>
      </c>
      <c r="C411" s="43" t="s">
        <v>1538</v>
      </c>
      <c r="D411" s="43" t="s">
        <v>1539</v>
      </c>
      <c r="E411" s="27">
        <f t="shared" si="89"/>
        <v>2.638888887304347E-3</v>
      </c>
      <c r="F411" s="18" t="s">
        <v>98</v>
      </c>
      <c r="G411" s="30">
        <f t="shared" si="90"/>
        <v>6.3923611109203193E-2</v>
      </c>
      <c r="H411" s="23" t="str">
        <f t="shared" si="91"/>
        <v>CARRIERE LOGBADJECK - BASE RAZEL AEROPORT</v>
      </c>
      <c r="I411" s="33" t="str">
        <f>IF(F410='Données Hebdo'!A410, VLOOKUP(Feuil1!A411, 'Données Hebdo'!B:J, 8, FALSE), "")</f>
        <v/>
      </c>
      <c r="J411" s="27" t="str">
        <f t="shared" si="92"/>
        <v>18:06:29 à 18:22:29</v>
      </c>
      <c r="K411" s="27" t="str">
        <f t="shared" si="93"/>
        <v>2016-06-02 18:22:29</v>
      </c>
      <c r="L411" s="27">
        <f t="shared" si="94"/>
        <v>1.1111111110949423E-2</v>
      </c>
      <c r="M411" s="30">
        <f t="shared" si="95"/>
        <v>2.638888887304347E-3</v>
      </c>
      <c r="N411" s="18" t="str">
        <f t="shared" si="96"/>
        <v>BASE RAZEL AEROPORT - BASE RAZEL AEROPORT</v>
      </c>
      <c r="O411" s="18"/>
      <c r="P411" s="18"/>
    </row>
    <row r="412" spans="1:16">
      <c r="A412" s="43" t="s">
        <v>86</v>
      </c>
      <c r="B412" s="43" t="s">
        <v>53</v>
      </c>
      <c r="C412" s="43" t="s">
        <v>1540</v>
      </c>
      <c r="D412" s="43" t="s">
        <v>1541</v>
      </c>
      <c r="E412" s="27">
        <f t="shared" si="89"/>
        <v>0.45829861111269565</v>
      </c>
      <c r="F412" s="18" t="s">
        <v>98</v>
      </c>
      <c r="G412" s="30">
        <f t="shared" si="90"/>
        <v>1.1111111110949423E-2</v>
      </c>
      <c r="H412" s="23" t="str">
        <f t="shared" si="91"/>
        <v>BASE RAZEL AEROPORT - BASE RAZEL AEROPORT</v>
      </c>
      <c r="I412" s="33" t="str">
        <f>IF(F411='Données Hebdo'!A411, VLOOKUP(Feuil1!A412, 'Données Hebdo'!B:J, 8, FALSE), "")</f>
        <v/>
      </c>
      <c r="J412" s="27" t="str">
        <f t="shared" si="92"/>
        <v/>
      </c>
      <c r="K412" s="27" t="str">
        <f t="shared" si="93"/>
        <v/>
      </c>
      <c r="L412" s="27" t="str">
        <f t="shared" si="94"/>
        <v/>
      </c>
      <c r="M412" s="30" t="str">
        <f t="shared" si="95"/>
        <v/>
      </c>
      <c r="N412" s="18" t="str">
        <f t="shared" si="96"/>
        <v/>
      </c>
      <c r="O412" s="18"/>
      <c r="P412" s="18"/>
    </row>
    <row r="413" spans="1:16" ht="27.6">
      <c r="A413" s="43" t="s">
        <v>88</v>
      </c>
      <c r="B413" s="43" t="s">
        <v>53</v>
      </c>
      <c r="C413" s="43" t="s">
        <v>1542</v>
      </c>
      <c r="D413" s="43" t="s">
        <v>1543</v>
      </c>
      <c r="E413" s="27">
        <f t="shared" si="89"/>
        <v>0.61903935184818693</v>
      </c>
      <c r="F413" s="18" t="s">
        <v>98</v>
      </c>
      <c r="G413" s="30" t="str">
        <f t="shared" si="90"/>
        <v/>
      </c>
      <c r="H413" s="23" t="str">
        <f t="shared" si="91"/>
        <v/>
      </c>
      <c r="I413" s="33" t="str">
        <f>IF(F412='Données Hebdo'!A412, VLOOKUP(Feuil1!A413, 'Données Hebdo'!B:J, 8, FALSE), "")</f>
        <v/>
      </c>
      <c r="J413" s="27" t="str">
        <f t="shared" si="92"/>
        <v>07:22:55 à 08:36:26</v>
      </c>
      <c r="K413" s="27" t="str">
        <f t="shared" si="93"/>
        <v>2016-06-02 08:36:26</v>
      </c>
      <c r="L413" s="27">
        <f t="shared" si="94"/>
        <v>5.1053240742476191E-2</v>
      </c>
      <c r="M413" s="30">
        <f t="shared" si="95"/>
        <v>0.61903935184818693</v>
      </c>
      <c r="N413" s="18" t="str">
        <f t="shared" si="96"/>
        <v>BASE RAZEL AEROPORT - CARRIERE LOGBADJECK</v>
      </c>
      <c r="O413" s="18"/>
      <c r="P413" s="18"/>
    </row>
    <row r="414" spans="1:16" ht="27.6">
      <c r="A414" s="43" t="s">
        <v>88</v>
      </c>
      <c r="B414" s="43" t="s">
        <v>55</v>
      </c>
      <c r="C414" s="43" t="s">
        <v>1544</v>
      </c>
      <c r="D414" s="43" t="s">
        <v>1545</v>
      </c>
      <c r="E414" s="27">
        <f t="shared" si="89"/>
        <v>2.5798611110076308E-2</v>
      </c>
      <c r="F414" s="18" t="s">
        <v>98</v>
      </c>
      <c r="G414" s="30">
        <f t="shared" si="90"/>
        <v>5.1053240742476191E-2</v>
      </c>
      <c r="H414" s="23" t="str">
        <f t="shared" si="91"/>
        <v>BASE RAZEL AEROPORT - CARRIERE LOGBADJECK</v>
      </c>
      <c r="I414" s="33" t="str">
        <f>IF(F413='Données Hebdo'!A413, VLOOKUP(Feuil1!A414, 'Données Hebdo'!B:J, 8, FALSE), "")</f>
        <v/>
      </c>
      <c r="J414" s="27" t="str">
        <f t="shared" si="92"/>
        <v>09:13:35 à 11:10:57</v>
      </c>
      <c r="K414" s="27" t="str">
        <f t="shared" si="93"/>
        <v>2016-06-02 11:10:57</v>
      </c>
      <c r="L414" s="27">
        <f t="shared" si="94"/>
        <v>8.1504629626579117E-2</v>
      </c>
      <c r="M414" s="30">
        <f t="shared" si="95"/>
        <v>2.5798611110076308E-2</v>
      </c>
      <c r="N414" s="18" t="str">
        <f t="shared" si="96"/>
        <v>CARRIERE LOGBADJECK - BASE RAZEL AEROPORT</v>
      </c>
      <c r="O414" s="18"/>
      <c r="P414" s="18"/>
    </row>
    <row r="415" spans="1:16" ht="27.6">
      <c r="A415" s="43" t="s">
        <v>88</v>
      </c>
      <c r="B415" s="43" t="s">
        <v>53</v>
      </c>
      <c r="C415" s="43" t="s">
        <v>1546</v>
      </c>
      <c r="D415" s="43" t="s">
        <v>1547</v>
      </c>
      <c r="E415" s="27">
        <f t="shared" si="89"/>
        <v>4.6643518580822274E-3</v>
      </c>
      <c r="F415" s="18" t="s">
        <v>98</v>
      </c>
      <c r="G415" s="30">
        <f t="shared" si="90"/>
        <v>8.1504629626579117E-2</v>
      </c>
      <c r="H415" s="23" t="str">
        <f t="shared" si="91"/>
        <v>CARRIERE LOGBADJECK - BASE RAZEL AEROPORT</v>
      </c>
      <c r="I415" s="33" t="str">
        <f>IF(F414='Données Hebdo'!A414, VLOOKUP(Feuil1!A415, 'Données Hebdo'!B:J, 8, FALSE), "")</f>
        <v/>
      </c>
      <c r="J415" s="27" t="str">
        <f t="shared" si="92"/>
        <v>11:17:40 à 12:40:17</v>
      </c>
      <c r="K415" s="27" t="str">
        <f t="shared" si="93"/>
        <v>2016-06-02 12:40:17</v>
      </c>
      <c r="L415" s="27">
        <f t="shared" si="94"/>
        <v>5.7372685179871041E-2</v>
      </c>
      <c r="M415" s="30">
        <f t="shared" si="95"/>
        <v>4.6643518580822274E-3</v>
      </c>
      <c r="N415" s="18" t="str">
        <f t="shared" si="96"/>
        <v>BASE RAZEL AEROPORT - CARRIERE LOGBADJECK</v>
      </c>
      <c r="O415" s="18"/>
      <c r="P415" s="18"/>
    </row>
    <row r="416" spans="1:16" ht="27.6">
      <c r="A416" s="43" t="s">
        <v>88</v>
      </c>
      <c r="B416" s="43" t="s">
        <v>55</v>
      </c>
      <c r="C416" s="43" t="s">
        <v>1548</v>
      </c>
      <c r="D416" s="43" t="s">
        <v>1549</v>
      </c>
      <c r="E416" s="27">
        <f t="shared" si="89"/>
        <v>2.4120370369928423E-2</v>
      </c>
      <c r="F416" s="18" t="s">
        <v>98</v>
      </c>
      <c r="G416" s="30">
        <f t="shared" si="90"/>
        <v>5.7372685179871041E-2</v>
      </c>
      <c r="H416" s="23" t="str">
        <f t="shared" si="91"/>
        <v>BASE RAZEL AEROPORT - CARRIERE LOGBADJECK</v>
      </c>
      <c r="I416" s="33" t="str">
        <f>IF(F415='Données Hebdo'!A415, VLOOKUP(Feuil1!A416, 'Données Hebdo'!B:J, 8, FALSE), "")</f>
        <v/>
      </c>
      <c r="J416" s="27" t="str">
        <f t="shared" si="92"/>
        <v>13:15:01 à 14:31:33</v>
      </c>
      <c r="K416" s="27" t="str">
        <f t="shared" si="93"/>
        <v>2016-06-02 14:31:33</v>
      </c>
      <c r="L416" s="27">
        <f t="shared" si="94"/>
        <v>5.3148148152104113E-2</v>
      </c>
      <c r="M416" s="30">
        <f t="shared" si="95"/>
        <v>2.4120370369928423E-2</v>
      </c>
      <c r="N416" s="18" t="str">
        <f t="shared" si="96"/>
        <v>CARRIERE LOGBADJECK - BASE RAZEL AEROPORT</v>
      </c>
      <c r="O416" s="18"/>
      <c r="P416" s="18"/>
    </row>
    <row r="417" spans="1:16" ht="27.6">
      <c r="A417" s="43" t="s">
        <v>88</v>
      </c>
      <c r="B417" s="43" t="s">
        <v>53</v>
      </c>
      <c r="C417" s="43" t="s">
        <v>1550</v>
      </c>
      <c r="D417" s="43" t="s">
        <v>1551</v>
      </c>
      <c r="E417" s="27">
        <f t="shared" si="89"/>
        <v>2.9976851801620796E-3</v>
      </c>
      <c r="F417" s="18" t="s">
        <v>98</v>
      </c>
      <c r="G417" s="30">
        <f t="shared" si="90"/>
        <v>5.3148148152104113E-2</v>
      </c>
      <c r="H417" s="23" t="str">
        <f t="shared" si="91"/>
        <v>CARRIERE LOGBADJECK - BASE RAZEL AEROPORT</v>
      </c>
      <c r="I417" s="33" t="str">
        <f>IF(F416='Données Hebdo'!A416, VLOOKUP(Feuil1!A417, 'Données Hebdo'!B:J, 8, FALSE), "")</f>
        <v/>
      </c>
      <c r="J417" s="27" t="str">
        <f t="shared" si="92"/>
        <v>14:35:52 à 16:01:39</v>
      </c>
      <c r="K417" s="27" t="str">
        <f t="shared" si="93"/>
        <v>2016-06-02 16:01:39</v>
      </c>
      <c r="L417" s="27">
        <f t="shared" si="94"/>
        <v>5.9571759265963919E-2</v>
      </c>
      <c r="M417" s="30">
        <f t="shared" si="95"/>
        <v>2.9976851801620796E-3</v>
      </c>
      <c r="N417" s="18" t="str">
        <f t="shared" si="96"/>
        <v>BASE RAZEL AEROPORT - CARRIERE LOGBADJECK</v>
      </c>
      <c r="O417" s="18"/>
      <c r="P417" s="18"/>
    </row>
    <row r="418" spans="1:16" ht="27.6">
      <c r="A418" s="43" t="s">
        <v>88</v>
      </c>
      <c r="B418" s="43" t="s">
        <v>55</v>
      </c>
      <c r="C418" s="43" t="s">
        <v>1552</v>
      </c>
      <c r="D418" s="43" t="s">
        <v>1553</v>
      </c>
      <c r="E418" s="27">
        <f t="shared" si="89"/>
        <v>2.0266203697246965E-2</v>
      </c>
      <c r="F418" s="18" t="s">
        <v>98</v>
      </c>
      <c r="G418" s="30">
        <f t="shared" si="90"/>
        <v>5.9571759265963919E-2</v>
      </c>
      <c r="H418" s="23" t="str">
        <f t="shared" si="91"/>
        <v>BASE RAZEL AEROPORT - CARRIERE LOGBADJECK</v>
      </c>
      <c r="I418" s="33" t="str">
        <f>IF(F417='Données Hebdo'!A417, VLOOKUP(Feuil1!A418, 'Données Hebdo'!B:J, 8, FALSE), "")</f>
        <v/>
      </c>
      <c r="J418" s="27" t="str">
        <f t="shared" si="92"/>
        <v>16:30:50 à 18:03:02</v>
      </c>
      <c r="K418" s="27" t="str">
        <f t="shared" si="93"/>
        <v>2016-06-02 18:03:02</v>
      </c>
      <c r="L418" s="27">
        <f t="shared" si="94"/>
        <v>6.4027777778392192E-2</v>
      </c>
      <c r="M418" s="30">
        <f t="shared" si="95"/>
        <v>2.0266203697246965E-2</v>
      </c>
      <c r="N418" s="18" t="str">
        <f t="shared" si="96"/>
        <v>CARRIERE LOGBADJECK - BASE RAZEL AEROPORT</v>
      </c>
      <c r="O418" s="18"/>
      <c r="P418" s="18"/>
    </row>
    <row r="419" spans="1:16" ht="27.6">
      <c r="A419" s="43" t="s">
        <v>88</v>
      </c>
      <c r="B419" s="43" t="s">
        <v>53</v>
      </c>
      <c r="C419" s="43" t="s">
        <v>1554</v>
      </c>
      <c r="D419" s="43" t="s">
        <v>1555</v>
      </c>
      <c r="E419" s="27">
        <f t="shared" si="89"/>
        <v>2.6273148178006522E-3</v>
      </c>
      <c r="F419" s="18" t="s">
        <v>98</v>
      </c>
      <c r="G419" s="30">
        <f t="shared" si="90"/>
        <v>6.4027777778392192E-2</v>
      </c>
      <c r="H419" s="23" t="str">
        <f t="shared" si="91"/>
        <v>CARRIERE LOGBADJECK - BASE RAZEL AEROPORT</v>
      </c>
      <c r="I419" s="33" t="str">
        <f>IF(F418='Données Hebdo'!A418, VLOOKUP(Feuil1!A419, 'Données Hebdo'!B:J, 8, FALSE), "")</f>
        <v/>
      </c>
      <c r="J419" s="27" t="str">
        <f t="shared" si="92"/>
        <v>18:06:49 à 18:25:44</v>
      </c>
      <c r="K419" s="27" t="str">
        <f t="shared" si="93"/>
        <v>2016-06-02 18:25:44</v>
      </c>
      <c r="L419" s="27">
        <f t="shared" si="94"/>
        <v>1.3136574074451346E-2</v>
      </c>
      <c r="M419" s="30">
        <f t="shared" si="95"/>
        <v>2.6273148178006522E-3</v>
      </c>
      <c r="N419" s="18" t="str">
        <f t="shared" si="96"/>
        <v>BASE RAZEL AEROPORT - BASE RAZEL AEROPORT</v>
      </c>
      <c r="O419" s="18"/>
      <c r="P419" s="18"/>
    </row>
    <row r="420" spans="1:16">
      <c r="A420" s="43" t="s">
        <v>88</v>
      </c>
      <c r="B420" s="43" t="s">
        <v>53</v>
      </c>
      <c r="C420" s="43" t="s">
        <v>1556</v>
      </c>
      <c r="D420" s="43" t="s">
        <v>1557</v>
      </c>
      <c r="E420" s="27">
        <f t="shared" si="89"/>
        <v>0.46549768518161727</v>
      </c>
      <c r="F420" s="18" t="s">
        <v>98</v>
      </c>
      <c r="G420" s="30">
        <f t="shared" si="90"/>
        <v>1.3136574074451346E-2</v>
      </c>
      <c r="H420" s="23" t="str">
        <f t="shared" si="91"/>
        <v>BASE RAZEL AEROPORT - BASE RAZEL AEROPORT</v>
      </c>
      <c r="I420" s="33" t="str">
        <f>IF(F419='Données Hebdo'!A419, VLOOKUP(Feuil1!A420, 'Données Hebdo'!B:J, 8, FALSE), "")</f>
        <v/>
      </c>
      <c r="J420" s="27" t="str">
        <f t="shared" si="92"/>
        <v/>
      </c>
      <c r="K420" s="27" t="str">
        <f t="shared" si="93"/>
        <v/>
      </c>
      <c r="L420" s="27" t="str">
        <f t="shared" si="94"/>
        <v/>
      </c>
      <c r="M420" s="30" t="str">
        <f t="shared" si="95"/>
        <v/>
      </c>
      <c r="N420" s="18" t="str">
        <f t="shared" si="96"/>
        <v/>
      </c>
      <c r="O420" s="18"/>
      <c r="P420" s="18"/>
    </row>
    <row r="421" spans="1:16" ht="27.6">
      <c r="A421" s="43" t="s">
        <v>70</v>
      </c>
      <c r="B421" s="43" t="s">
        <v>58</v>
      </c>
      <c r="C421" s="43" t="s">
        <v>1558</v>
      </c>
      <c r="D421" s="43" t="s">
        <v>1559</v>
      </c>
      <c r="E421" s="27">
        <f t="shared" si="89"/>
        <v>0.92819444444467081</v>
      </c>
      <c r="F421" s="18" t="s">
        <v>98</v>
      </c>
      <c r="G421" s="30" t="str">
        <f t="shared" si="90"/>
        <v/>
      </c>
      <c r="H421" s="23" t="str">
        <f t="shared" si="91"/>
        <v/>
      </c>
      <c r="I421" s="33" t="str">
        <f>IF(F420='Données Hebdo'!A420, VLOOKUP(Feuil1!A421, 'Données Hebdo'!B:J, 8, FALSE), "")</f>
        <v/>
      </c>
      <c r="J421" s="27" t="str">
        <f t="shared" si="92"/>
        <v>09:10:10 à 09:32:12</v>
      </c>
      <c r="K421" s="27" t="str">
        <f t="shared" si="93"/>
        <v>2016-06-03 09:32:12</v>
      </c>
      <c r="L421" s="27">
        <f t="shared" si="94"/>
        <v>1.5300925930205267E-2</v>
      </c>
      <c r="M421" s="30">
        <f t="shared" si="95"/>
        <v>0.92819444444467081</v>
      </c>
      <c r="N421" s="18" t="str">
        <f t="shared" si="96"/>
        <v>BASE RAZEL WOURI - BASE RAZEL AEROPORT</v>
      </c>
      <c r="O421" s="18"/>
      <c r="P421" s="18"/>
    </row>
    <row r="422" spans="1:16" ht="27.6">
      <c r="A422" s="43" t="s">
        <v>70</v>
      </c>
      <c r="B422" s="43" t="s">
        <v>53</v>
      </c>
      <c r="C422" s="43" t="s">
        <v>1560</v>
      </c>
      <c r="D422" s="43" t="s">
        <v>1561</v>
      </c>
      <c r="E422" s="27">
        <f t="shared" si="89"/>
        <v>1.9351851849933155E-2</v>
      </c>
      <c r="F422" s="18" t="s">
        <v>98</v>
      </c>
      <c r="G422" s="30">
        <f t="shared" si="90"/>
        <v>1.5300925930205267E-2</v>
      </c>
      <c r="H422" s="23" t="str">
        <f t="shared" si="91"/>
        <v>BASE RAZEL WOURI - BASE RAZEL AEROPORT</v>
      </c>
      <c r="I422" s="33" t="str">
        <f>IF(F421='Données Hebdo'!A421, VLOOKUP(Feuil1!A422, 'Données Hebdo'!B:J, 8, FALSE), "")</f>
        <v/>
      </c>
      <c r="J422" s="27" t="str">
        <f t="shared" si="92"/>
        <v>10:00:04 à 10:00:50</v>
      </c>
      <c r="K422" s="27" t="str">
        <f t="shared" si="93"/>
        <v>2016-06-03 10:00:50</v>
      </c>
      <c r="L422" s="27">
        <f t="shared" si="94"/>
        <v>5.3240740817273036E-4</v>
      </c>
      <c r="M422" s="30">
        <f t="shared" si="95"/>
        <v>1.9351851849933155E-2</v>
      </c>
      <c r="N422" s="18" t="str">
        <f t="shared" si="96"/>
        <v>BASE RAZEL AEROPORT - AEROPORT DE DOUALA</v>
      </c>
      <c r="O422" s="18"/>
      <c r="P422" s="18"/>
    </row>
    <row r="423" spans="1:16" ht="27.6">
      <c r="A423" s="43" t="s">
        <v>70</v>
      </c>
      <c r="B423" s="43" t="s">
        <v>729</v>
      </c>
      <c r="C423" s="43" t="s">
        <v>1562</v>
      </c>
      <c r="D423" s="43" t="s">
        <v>1563</v>
      </c>
      <c r="E423" s="27">
        <f t="shared" si="89"/>
        <v>2.6504629640839994E-3</v>
      </c>
      <c r="F423" s="18" t="s">
        <v>98</v>
      </c>
      <c r="G423" s="30">
        <f t="shared" si="90"/>
        <v>5.3240740817273036E-4</v>
      </c>
      <c r="H423" s="23" t="str">
        <f t="shared" si="91"/>
        <v>BASE RAZEL AEROPORT - AEROPORT DE DOUALA</v>
      </c>
      <c r="I423" s="33" t="str">
        <f>IF(F422='Données Hebdo'!A422, VLOOKUP(Feuil1!A423, 'Données Hebdo'!B:J, 8, FALSE), "")</f>
        <v/>
      </c>
      <c r="J423" s="27" t="str">
        <f t="shared" si="92"/>
        <v>10:04:39 à 11:04:32</v>
      </c>
      <c r="K423" s="27" t="str">
        <f t="shared" si="93"/>
        <v>2016-06-03 11:04:32</v>
      </c>
      <c r="L423" s="27">
        <f t="shared" si="94"/>
        <v>4.1585648148611654E-2</v>
      </c>
      <c r="M423" s="30">
        <f t="shared" si="95"/>
        <v>2.6504629640839994E-3</v>
      </c>
      <c r="N423" s="18" t="str">
        <f t="shared" si="96"/>
        <v>AEROPORT DE DOUALA - AEROPORT DE DOUALA</v>
      </c>
      <c r="O423" s="18"/>
      <c r="P423" s="18"/>
    </row>
    <row r="424" spans="1:16" ht="27.6">
      <c r="A424" s="43" t="s">
        <v>70</v>
      </c>
      <c r="B424" s="43" t="s">
        <v>729</v>
      </c>
      <c r="C424" s="43" t="s">
        <v>1564</v>
      </c>
      <c r="D424" s="43" t="s">
        <v>1565</v>
      </c>
      <c r="E424" s="27">
        <f t="shared" si="89"/>
        <v>4.9768518510973081E-3</v>
      </c>
      <c r="F424" s="18" t="s">
        <v>98</v>
      </c>
      <c r="G424" s="30">
        <f t="shared" si="90"/>
        <v>4.1585648148611654E-2</v>
      </c>
      <c r="H424" s="23" t="str">
        <f t="shared" si="91"/>
        <v>AEROPORT DE DOUALA - AEROPORT DE DOUALA</v>
      </c>
      <c r="I424" s="33" t="str">
        <f>IF(F423='Données Hebdo'!A423, VLOOKUP(Feuil1!A424, 'Données Hebdo'!B:J, 8, FALSE), "")</f>
        <v/>
      </c>
      <c r="J424" s="27" t="str">
        <f t="shared" si="92"/>
        <v>11:11:42 à 11:13:25</v>
      </c>
      <c r="K424" s="27" t="str">
        <f t="shared" si="93"/>
        <v>2016-06-03 11:13:25</v>
      </c>
      <c r="L424" s="27">
        <f t="shared" si="94"/>
        <v>1.1921296245418489E-3</v>
      </c>
      <c r="M424" s="30">
        <f t="shared" si="95"/>
        <v>4.9768518510973081E-3</v>
      </c>
      <c r="N424" s="18" t="str">
        <f t="shared" si="96"/>
        <v>AEROPORT DE DOUALA - BASE RAZEL AEROPORT</v>
      </c>
      <c r="O424" s="18"/>
      <c r="P424" s="18"/>
    </row>
    <row r="425" spans="1:16" ht="27.6">
      <c r="A425" s="43" t="s">
        <v>70</v>
      </c>
      <c r="B425" s="43" t="s">
        <v>53</v>
      </c>
      <c r="C425" s="43" t="s">
        <v>1566</v>
      </c>
      <c r="D425" s="43" t="s">
        <v>1567</v>
      </c>
      <c r="E425" s="27">
        <f t="shared" si="89"/>
        <v>1.0416666918899864E-4</v>
      </c>
      <c r="F425" s="18" t="s">
        <v>98</v>
      </c>
      <c r="G425" s="30">
        <f t="shared" si="90"/>
        <v>1.1921296245418489E-3</v>
      </c>
      <c r="H425" s="23" t="str">
        <f t="shared" si="91"/>
        <v>AEROPORT DE DOUALA - BASE RAZEL AEROPORT</v>
      </c>
      <c r="I425" s="33" t="str">
        <f>IF(F424='Données Hebdo'!A424, VLOOKUP(Feuil1!A425, 'Données Hebdo'!B:J, 8, FALSE), "")</f>
        <v/>
      </c>
      <c r="J425" s="27" t="str">
        <f t="shared" si="92"/>
        <v>11:13:34 à 13:07:08</v>
      </c>
      <c r="K425" s="27" t="str">
        <f t="shared" si="93"/>
        <v>2016-06-03 13:07:08</v>
      </c>
      <c r="L425" s="27">
        <f t="shared" si="94"/>
        <v>7.886574073927477E-2</v>
      </c>
      <c r="M425" s="30">
        <f t="shared" si="95"/>
        <v>1.0416666918899864E-4</v>
      </c>
      <c r="N425" s="18" t="str">
        <f t="shared" si="96"/>
        <v>BASE RAZEL AEROPORT - AEROPORT DE DOUALA</v>
      </c>
      <c r="O425" s="18"/>
      <c r="P425" s="18"/>
    </row>
    <row r="426" spans="1:16" ht="27.6">
      <c r="A426" s="43" t="s">
        <v>70</v>
      </c>
      <c r="B426" s="43" t="s">
        <v>729</v>
      </c>
      <c r="C426" s="43" t="s">
        <v>1568</v>
      </c>
      <c r="D426" s="43" t="s">
        <v>1569</v>
      </c>
      <c r="E426" s="27">
        <f t="shared" si="89"/>
        <v>2.5810185179580003E-3</v>
      </c>
      <c r="F426" s="18" t="s">
        <v>98</v>
      </c>
      <c r="G426" s="30">
        <f t="shared" si="90"/>
        <v>7.886574073927477E-2</v>
      </c>
      <c r="H426" s="23" t="str">
        <f t="shared" si="91"/>
        <v>BASE RAZEL AEROPORT - AEROPORT DE DOUALA</v>
      </c>
      <c r="I426" s="33" t="str">
        <f>IF(F425='Données Hebdo'!A425, VLOOKUP(Feuil1!A426, 'Données Hebdo'!B:J, 8, FALSE), "")</f>
        <v/>
      </c>
      <c r="J426" s="27" t="str">
        <f t="shared" si="92"/>
        <v>13:10:51 à 13:36:25</v>
      </c>
      <c r="K426" s="27" t="str">
        <f t="shared" si="93"/>
        <v>2016-06-03 13:36:25</v>
      </c>
      <c r="L426" s="27">
        <f t="shared" si="94"/>
        <v>1.7754629632690921E-2</v>
      </c>
      <c r="M426" s="30">
        <f t="shared" si="95"/>
        <v>2.5810185179580003E-3</v>
      </c>
      <c r="N426" s="18" t="str">
        <f t="shared" si="96"/>
        <v>AEROPORT DE DOUALA - AEROPORT DE DOUALA</v>
      </c>
      <c r="O426" s="18"/>
      <c r="P426" s="18"/>
    </row>
    <row r="427" spans="1:16" ht="27.6">
      <c r="A427" s="43" t="s">
        <v>70</v>
      </c>
      <c r="B427" s="43" t="s">
        <v>729</v>
      </c>
      <c r="C427" s="43" t="s">
        <v>1570</v>
      </c>
      <c r="D427" s="43" t="s">
        <v>1571</v>
      </c>
      <c r="E427" s="27">
        <f t="shared" si="89"/>
        <v>1.3541666630771942E-3</v>
      </c>
      <c r="F427" s="18" t="s">
        <v>98</v>
      </c>
      <c r="G427" s="30">
        <f t="shared" si="90"/>
        <v>1.7754629632690921E-2</v>
      </c>
      <c r="H427" s="23" t="str">
        <f t="shared" si="91"/>
        <v>AEROPORT DE DOUALA - AEROPORT DE DOUALA</v>
      </c>
      <c r="I427" s="33" t="str">
        <f>IF(F426='Données Hebdo'!A426, VLOOKUP(Feuil1!A427, 'Données Hebdo'!B:J, 8, FALSE), "")</f>
        <v/>
      </c>
      <c r="J427" s="27" t="str">
        <f t="shared" si="92"/>
        <v>13:38:22 à 16:26:36</v>
      </c>
      <c r="K427" s="27" t="str">
        <f t="shared" si="93"/>
        <v>2016-06-03 16:26:36</v>
      </c>
      <c r="L427" s="27">
        <f t="shared" si="94"/>
        <v>0.11682870370714227</v>
      </c>
      <c r="M427" s="30">
        <f t="shared" si="95"/>
        <v>1.3541666630771942E-3</v>
      </c>
      <c r="N427" s="18" t="str">
        <f t="shared" si="96"/>
        <v>AEROPORT DE DOUALA - AEROPORT DE DOUALA</v>
      </c>
      <c r="O427" s="18"/>
      <c r="P427" s="18"/>
    </row>
    <row r="428" spans="1:16" ht="27.6">
      <c r="A428" s="43" t="s">
        <v>70</v>
      </c>
      <c r="B428" s="43" t="s">
        <v>729</v>
      </c>
      <c r="C428" s="43" t="s">
        <v>1572</v>
      </c>
      <c r="D428" s="43" t="s">
        <v>1573</v>
      </c>
      <c r="E428" s="27">
        <f t="shared" si="89"/>
        <v>2.0370370330056176E-3</v>
      </c>
      <c r="F428" s="18" t="s">
        <v>98</v>
      </c>
      <c r="G428" s="30">
        <f t="shared" si="90"/>
        <v>0.11682870370714227</v>
      </c>
      <c r="H428" s="23" t="str">
        <f t="shared" si="91"/>
        <v>AEROPORT DE DOUALA - AEROPORT DE DOUALA</v>
      </c>
      <c r="I428" s="33" t="str">
        <f>IF(F427='Données Hebdo'!A427, VLOOKUP(Feuil1!A428, 'Données Hebdo'!B:J, 8, FALSE), "")</f>
        <v/>
      </c>
      <c r="J428" s="27" t="str">
        <f t="shared" si="92"/>
        <v>16:29:32 à 16:32:44</v>
      </c>
      <c r="K428" s="27" t="str">
        <f t="shared" si="93"/>
        <v>2016-06-03 16:32:44</v>
      </c>
      <c r="L428" s="27">
        <f t="shared" si="94"/>
        <v>2.2222222251002677E-3</v>
      </c>
      <c r="M428" s="30">
        <f t="shared" si="95"/>
        <v>2.0370370330056176E-3</v>
      </c>
      <c r="N428" s="18" t="str">
        <f t="shared" si="96"/>
        <v>AEROPORT DE DOUALA - BASE RAZEL AEROPORT</v>
      </c>
      <c r="O428" s="18"/>
      <c r="P428" s="18"/>
    </row>
    <row r="429" spans="1:16" ht="27.6">
      <c r="A429" s="43" t="s">
        <v>70</v>
      </c>
      <c r="B429" s="43" t="s">
        <v>53</v>
      </c>
      <c r="C429" s="43" t="s">
        <v>1574</v>
      </c>
      <c r="D429" s="43" t="s">
        <v>1575</v>
      </c>
      <c r="E429" s="27">
        <f t="shared" si="89"/>
        <v>9.2592592409346253E-5</v>
      </c>
      <c r="F429" s="18" t="s">
        <v>98</v>
      </c>
      <c r="G429" s="30">
        <f t="shared" si="90"/>
        <v>2.2222222251002677E-3</v>
      </c>
      <c r="H429" s="23" t="str">
        <f t="shared" si="91"/>
        <v>AEROPORT DE DOUALA - BASE RAZEL AEROPORT</v>
      </c>
      <c r="I429" s="33" t="str">
        <f>IF(F428='Données Hebdo'!A428, VLOOKUP(Feuil1!A429, 'Données Hebdo'!B:J, 8, FALSE), "")</f>
        <v/>
      </c>
      <c r="J429" s="27" t="str">
        <f t="shared" si="92"/>
        <v>16:32:52 à 19:30:40</v>
      </c>
      <c r="K429" s="27" t="str">
        <f t="shared" si="93"/>
        <v>2016-06-03 19:30:40</v>
      </c>
      <c r="L429" s="27">
        <f t="shared" si="94"/>
        <v>0.12347222222160781</v>
      </c>
      <c r="M429" s="30">
        <f t="shared" si="95"/>
        <v>9.2592592409346253E-5</v>
      </c>
      <c r="N429" s="18" t="str">
        <f t="shared" si="96"/>
        <v>BASE RAZEL AEROPORT - BASE RAZEL AEROPORT</v>
      </c>
      <c r="O429" s="18"/>
      <c r="P429" s="18"/>
    </row>
    <row r="430" spans="1:16">
      <c r="A430" s="43" t="s">
        <v>70</v>
      </c>
      <c r="B430" s="43" t="s">
        <v>53</v>
      </c>
      <c r="C430" s="43" t="s">
        <v>1576</v>
      </c>
      <c r="D430" s="43" t="s">
        <v>1577</v>
      </c>
      <c r="E430" s="27">
        <f t="shared" si="89"/>
        <v>0.53815972222218988</v>
      </c>
      <c r="F430" s="18" t="s">
        <v>98</v>
      </c>
      <c r="G430" s="30">
        <f t="shared" si="90"/>
        <v>0.12347222222160781</v>
      </c>
      <c r="H430" s="23" t="str">
        <f t="shared" si="91"/>
        <v>BASE RAZEL AEROPORT - BASE RAZEL AEROPORT</v>
      </c>
      <c r="I430" s="33" t="str">
        <f>IF(F429='Données Hebdo'!A429, VLOOKUP(Feuil1!A430, 'Données Hebdo'!B:J, 8, FALSE), "")</f>
        <v/>
      </c>
      <c r="J430" s="27" t="str">
        <f t="shared" si="92"/>
        <v/>
      </c>
      <c r="K430" s="27" t="str">
        <f t="shared" si="93"/>
        <v/>
      </c>
      <c r="L430" s="27" t="str">
        <f t="shared" si="94"/>
        <v/>
      </c>
      <c r="M430" s="30" t="str">
        <f t="shared" si="95"/>
        <v/>
      </c>
      <c r="N430" s="18" t="str">
        <f t="shared" si="96"/>
        <v/>
      </c>
      <c r="O430" s="18"/>
      <c r="P430" s="18"/>
    </row>
    <row r="431" spans="1:16" ht="27.6">
      <c r="A431" s="43" t="s">
        <v>71</v>
      </c>
      <c r="B431" s="43" t="s">
        <v>42</v>
      </c>
      <c r="C431" s="43" t="s">
        <v>1476</v>
      </c>
      <c r="D431" s="43" t="s">
        <v>1477</v>
      </c>
      <c r="E431" s="27">
        <f t="shared" si="89"/>
        <v>0.63861111111327773</v>
      </c>
      <c r="F431" s="18" t="s">
        <v>98</v>
      </c>
      <c r="G431" s="30" t="str">
        <f t="shared" si="90"/>
        <v/>
      </c>
      <c r="H431" s="23" t="str">
        <f t="shared" si="91"/>
        <v/>
      </c>
      <c r="I431" s="33" t="str">
        <f>IF(F430='Données Hebdo'!A430, VLOOKUP(Feuil1!A431, 'Données Hebdo'!B:J, 8, FALSE), "")</f>
        <v/>
      </c>
      <c r="J431" s="27" t="str">
        <f t="shared" si="92"/>
        <v>08:41:02 à 14:17:30</v>
      </c>
      <c r="K431" s="27" t="str">
        <f t="shared" si="93"/>
        <v>2016-06-03 14:17:30</v>
      </c>
      <c r="L431" s="27">
        <f t="shared" si="94"/>
        <v>0.23365740740700858</v>
      </c>
      <c r="M431" s="30">
        <f t="shared" si="95"/>
        <v>0.63861111111327773</v>
      </c>
      <c r="N431" s="18" t="str">
        <f t="shared" si="96"/>
        <v>CARRIERE RAZEL NKOMETOU - CARRIERE RAZEL NKOMETOU</v>
      </c>
      <c r="O431" s="18"/>
      <c r="P431" s="18"/>
    </row>
    <row r="432" spans="1:16" ht="27.6">
      <c r="A432" s="43" t="s">
        <v>71</v>
      </c>
      <c r="B432" s="43" t="s">
        <v>42</v>
      </c>
      <c r="C432" s="43" t="s">
        <v>1578</v>
      </c>
      <c r="D432" s="43" t="s">
        <v>1579</v>
      </c>
      <c r="E432" s="27">
        <f t="shared" si="89"/>
        <v>3.1898148146865424E-2</v>
      </c>
      <c r="F432" s="18" t="s">
        <v>98</v>
      </c>
      <c r="G432" s="30">
        <f t="shared" si="90"/>
        <v>0.23365740740700858</v>
      </c>
      <c r="H432" s="23" t="str">
        <f t="shared" si="91"/>
        <v>CARRIERE RAZEL NKOMETOU - CARRIERE RAZEL NKOMETOU</v>
      </c>
      <c r="I432" s="33" t="str">
        <f>IF(F431='Données Hebdo'!A431, VLOOKUP(Feuil1!A432, 'Données Hebdo'!B:J, 8, FALSE), "")</f>
        <v/>
      </c>
      <c r="J432" s="27" t="str">
        <f t="shared" si="92"/>
        <v>15:03:26 à 19:07:52</v>
      </c>
      <c r="K432" s="27" t="str">
        <f t="shared" si="93"/>
        <v>2016-06-03 19:07:52</v>
      </c>
      <c r="L432" s="27">
        <f t="shared" si="94"/>
        <v>0.16974537037458504</v>
      </c>
      <c r="M432" s="30">
        <f t="shared" si="95"/>
        <v>3.1898148146865424E-2</v>
      </c>
      <c r="N432" s="18" t="str">
        <f t="shared" si="96"/>
        <v>CARRIERE RAZEL NKOMETOU - BASE RAZEL PREFECTURE</v>
      </c>
      <c r="O432" s="18"/>
      <c r="P432" s="18"/>
    </row>
    <row r="433" spans="1:16">
      <c r="A433" s="43" t="s">
        <v>71</v>
      </c>
      <c r="B433" s="43" t="s">
        <v>197</v>
      </c>
      <c r="C433" s="43" t="s">
        <v>1580</v>
      </c>
      <c r="D433" s="43" t="s">
        <v>1581</v>
      </c>
      <c r="E433" s="27">
        <f t="shared" si="89"/>
        <v>0.51285879629722331</v>
      </c>
      <c r="F433" s="18" t="s">
        <v>98</v>
      </c>
      <c r="G433" s="30">
        <f t="shared" si="90"/>
        <v>0.16974537037458504</v>
      </c>
      <c r="H433" s="23" t="str">
        <f t="shared" si="91"/>
        <v>CARRIERE RAZEL NKOMETOU - BASE RAZEL PREFECTURE</v>
      </c>
      <c r="I433" s="33" t="str">
        <f>IF(F432='Données Hebdo'!A432, VLOOKUP(Feuil1!A433, 'Données Hebdo'!B:J, 8, FALSE), "")</f>
        <v/>
      </c>
      <c r="J433" s="27" t="str">
        <f t="shared" si="92"/>
        <v/>
      </c>
      <c r="K433" s="27" t="str">
        <f t="shared" si="93"/>
        <v/>
      </c>
      <c r="L433" s="27" t="str">
        <f t="shared" si="94"/>
        <v/>
      </c>
      <c r="M433" s="30" t="str">
        <f t="shared" si="95"/>
        <v/>
      </c>
      <c r="N433" s="18" t="str">
        <f t="shared" si="96"/>
        <v/>
      </c>
      <c r="O433" s="18"/>
      <c r="P433" s="18"/>
    </row>
    <row r="434" spans="1:16" ht="27.6">
      <c r="A434" s="43" t="s">
        <v>72</v>
      </c>
      <c r="B434" s="43" t="s">
        <v>42</v>
      </c>
      <c r="C434" s="43" t="s">
        <v>1494</v>
      </c>
      <c r="D434" s="43" t="s">
        <v>1495</v>
      </c>
      <c r="E434" s="27">
        <f t="shared" si="89"/>
        <v>0.6522569444423425</v>
      </c>
      <c r="F434" s="18" t="s">
        <v>98</v>
      </c>
      <c r="G434" s="30" t="str">
        <f t="shared" si="90"/>
        <v/>
      </c>
      <c r="H434" s="23" t="str">
        <f t="shared" si="91"/>
        <v/>
      </c>
      <c r="I434" s="33" t="str">
        <f>IF(F433='Données Hebdo'!A433, VLOOKUP(Feuil1!A434, 'Données Hebdo'!B:J, 8, FALSE), "")</f>
        <v/>
      </c>
      <c r="J434" s="27" t="str">
        <f t="shared" si="92"/>
        <v>08:09:48 à 09:02:51</v>
      </c>
      <c r="K434" s="27" t="str">
        <f t="shared" si="93"/>
        <v>2016-06-03 09:02:51</v>
      </c>
      <c r="L434" s="27">
        <f t="shared" si="94"/>
        <v>3.6840277774899732E-2</v>
      </c>
      <c r="M434" s="30">
        <f t="shared" si="95"/>
        <v>0.6522569444423425</v>
      </c>
      <c r="N434" s="18" t="str">
        <f t="shared" si="96"/>
        <v>CARRIERE RAZEL NKOMETOU - BASE RAZEL PREFECTURE</v>
      </c>
      <c r="O434" s="18"/>
      <c r="P434" s="18"/>
    </row>
    <row r="435" spans="1:16" ht="27.6">
      <c r="A435" s="43" t="s">
        <v>72</v>
      </c>
      <c r="B435" s="43" t="s">
        <v>197</v>
      </c>
      <c r="C435" s="43" t="s">
        <v>1582</v>
      </c>
      <c r="D435" s="43" t="s">
        <v>1583</v>
      </c>
      <c r="E435" s="27">
        <f t="shared" si="89"/>
        <v>1.0069444448163267E-2</v>
      </c>
      <c r="F435" s="18" t="s">
        <v>98</v>
      </c>
      <c r="G435" s="30">
        <f t="shared" si="90"/>
        <v>3.6840277774899732E-2</v>
      </c>
      <c r="H435" s="23" t="str">
        <f t="shared" si="91"/>
        <v>CARRIERE RAZEL NKOMETOU - BASE RAZEL PREFECTURE</v>
      </c>
      <c r="I435" s="33" t="str">
        <f>IF(F434='Données Hebdo'!A434, VLOOKUP(Feuil1!A435, 'Données Hebdo'!B:J, 8, FALSE), "")</f>
        <v/>
      </c>
      <c r="J435" s="27" t="str">
        <f t="shared" si="92"/>
        <v>09:17:21 à 09:56:01</v>
      </c>
      <c r="K435" s="27" t="str">
        <f t="shared" si="93"/>
        <v>2016-06-03 09:56:01</v>
      </c>
      <c r="L435" s="27">
        <f t="shared" si="94"/>
        <v>2.6851851849642117E-2</v>
      </c>
      <c r="M435" s="30">
        <f t="shared" si="95"/>
        <v>1.0069444448163267E-2</v>
      </c>
      <c r="N435" s="18" t="str">
        <f t="shared" si="96"/>
        <v>BASE RAZEL PREFECTURE - CARRIERE RAZEL NKOMETOU</v>
      </c>
      <c r="O435" s="18"/>
      <c r="P435" s="18"/>
    </row>
    <row r="436" spans="1:16" ht="27.6">
      <c r="A436" s="43" t="s">
        <v>72</v>
      </c>
      <c r="B436" s="43" t="s">
        <v>42</v>
      </c>
      <c r="C436" s="43" t="s">
        <v>1584</v>
      </c>
      <c r="D436" s="43" t="s">
        <v>1585</v>
      </c>
      <c r="E436" s="27">
        <f t="shared" si="89"/>
        <v>1.0949074072414078E-2</v>
      </c>
      <c r="F436" s="18" t="s">
        <v>98</v>
      </c>
      <c r="G436" s="30">
        <f t="shared" si="90"/>
        <v>2.6851851849642117E-2</v>
      </c>
      <c r="H436" s="23" t="str">
        <f t="shared" si="91"/>
        <v>BASE RAZEL PREFECTURE - CARRIERE RAZEL NKOMETOU</v>
      </c>
      <c r="I436" s="33" t="str">
        <f>IF(F435='Données Hebdo'!A435, VLOOKUP(Feuil1!A436, 'Données Hebdo'!B:J, 8, FALSE), "")</f>
        <v/>
      </c>
      <c r="J436" s="27" t="str">
        <f t="shared" si="92"/>
        <v>10:11:47 à 10:59:17</v>
      </c>
      <c r="K436" s="27" t="str">
        <f t="shared" si="93"/>
        <v>2016-06-03 10:59:17</v>
      </c>
      <c r="L436" s="27">
        <f t="shared" si="94"/>
        <v>3.2986111116770189E-2</v>
      </c>
      <c r="M436" s="30">
        <f t="shared" si="95"/>
        <v>1.0949074072414078E-2</v>
      </c>
      <c r="N436" s="18" t="str">
        <f t="shared" si="96"/>
        <v>CARRIERE RAZEL NKOMETOU - BASE RAZEL PREFECTURE</v>
      </c>
      <c r="O436" s="18"/>
      <c r="P436" s="18"/>
    </row>
    <row r="437" spans="1:16" ht="27.6">
      <c r="A437" s="43" t="s">
        <v>72</v>
      </c>
      <c r="B437" s="43" t="s">
        <v>197</v>
      </c>
      <c r="C437" s="43" t="s">
        <v>1586</v>
      </c>
      <c r="D437" s="43" t="s">
        <v>1587</v>
      </c>
      <c r="E437" s="27">
        <f t="shared" si="89"/>
        <v>3.4837962957681157E-3</v>
      </c>
      <c r="F437" s="18" t="s">
        <v>98</v>
      </c>
      <c r="G437" s="30">
        <f t="shared" si="90"/>
        <v>3.2986111116770189E-2</v>
      </c>
      <c r="H437" s="23" t="str">
        <f t="shared" si="91"/>
        <v>CARRIERE RAZEL NKOMETOU - BASE RAZEL PREFECTURE</v>
      </c>
      <c r="I437" s="33" t="str">
        <f>IF(F436='Données Hebdo'!A436, VLOOKUP(Feuil1!A437, 'Données Hebdo'!B:J, 8, FALSE), "")</f>
        <v/>
      </c>
      <c r="J437" s="27" t="str">
        <f t="shared" si="92"/>
        <v>11:04:18 à 11:40:46</v>
      </c>
      <c r="K437" s="27" t="str">
        <f t="shared" si="93"/>
        <v>2016-06-03 11:40:46</v>
      </c>
      <c r="L437" s="27">
        <f t="shared" si="94"/>
        <v>2.5324074071249925E-2</v>
      </c>
      <c r="M437" s="30">
        <f t="shared" si="95"/>
        <v>3.4837962957681157E-3</v>
      </c>
      <c r="N437" s="18" t="str">
        <f t="shared" si="96"/>
        <v>BASE RAZEL PREFECTURE - CARRIERE RAZEL NKOMETOU</v>
      </c>
      <c r="O437" s="18"/>
      <c r="P437" s="18"/>
    </row>
    <row r="438" spans="1:16" ht="27.6">
      <c r="A438" s="43" t="s">
        <v>72</v>
      </c>
      <c r="B438" s="43" t="s">
        <v>42</v>
      </c>
      <c r="C438" s="43" t="s">
        <v>1588</v>
      </c>
      <c r="D438" s="43" t="s">
        <v>1589</v>
      </c>
      <c r="E438" s="27">
        <f t="shared" si="89"/>
        <v>6.6793981481168885E-2</v>
      </c>
      <c r="F438" s="18" t="s">
        <v>98</v>
      </c>
      <c r="G438" s="30">
        <f t="shared" si="90"/>
        <v>2.5324074071249925E-2</v>
      </c>
      <c r="H438" s="23" t="str">
        <f t="shared" si="91"/>
        <v>BASE RAZEL PREFECTURE - CARRIERE RAZEL NKOMETOU</v>
      </c>
      <c r="I438" s="33" t="str">
        <f>IF(F437='Données Hebdo'!A437, VLOOKUP(Feuil1!A438, 'Données Hebdo'!B:J, 8, FALSE), "")</f>
        <v/>
      </c>
      <c r="J438" s="27" t="str">
        <f t="shared" si="92"/>
        <v>13:16:57 à 18:41:36</v>
      </c>
      <c r="K438" s="27" t="str">
        <f t="shared" si="93"/>
        <v>2016-06-03 18:41:36</v>
      </c>
      <c r="L438" s="27">
        <f t="shared" si="94"/>
        <v>0.22545138889108784</v>
      </c>
      <c r="M438" s="30">
        <f t="shared" si="95"/>
        <v>6.6793981481168885E-2</v>
      </c>
      <c r="N438" s="18" t="str">
        <f t="shared" si="96"/>
        <v>CARRIERE RAZEL NKOMETOU - CARRIERE RAZEL NKOMETOU</v>
      </c>
      <c r="O438" s="18"/>
      <c r="P438" s="18"/>
    </row>
    <row r="439" spans="1:16">
      <c r="A439" s="43" t="s">
        <v>72</v>
      </c>
      <c r="B439" s="43" t="s">
        <v>42</v>
      </c>
      <c r="C439" s="43" t="s">
        <v>1590</v>
      </c>
      <c r="D439" s="43" t="s">
        <v>1591</v>
      </c>
      <c r="E439" s="27">
        <f t="shared" si="89"/>
        <v>0.56804398148233304</v>
      </c>
      <c r="F439" s="18" t="s">
        <v>98</v>
      </c>
      <c r="G439" s="30">
        <f t="shared" si="90"/>
        <v>0.22545138889108784</v>
      </c>
      <c r="H439" s="23" t="str">
        <f t="shared" si="91"/>
        <v>CARRIERE RAZEL NKOMETOU - CARRIERE RAZEL NKOMETOU</v>
      </c>
      <c r="I439" s="33" t="str">
        <f>IF(F438='Données Hebdo'!A438, VLOOKUP(Feuil1!A439, 'Données Hebdo'!B:J, 8, FALSE), "")</f>
        <v/>
      </c>
      <c r="J439" s="27" t="str">
        <f t="shared" si="92"/>
        <v/>
      </c>
      <c r="K439" s="27" t="str">
        <f t="shared" si="93"/>
        <v/>
      </c>
      <c r="L439" s="27" t="str">
        <f t="shared" si="94"/>
        <v/>
      </c>
      <c r="M439" s="30" t="str">
        <f t="shared" si="95"/>
        <v/>
      </c>
      <c r="N439" s="18" t="str">
        <f t="shared" si="96"/>
        <v/>
      </c>
      <c r="O439" s="18"/>
      <c r="P439" s="18"/>
    </row>
    <row r="440" spans="1:16" ht="27.6">
      <c r="A440" s="43" t="s">
        <v>82</v>
      </c>
      <c r="B440" s="43" t="s">
        <v>53</v>
      </c>
      <c r="C440" s="43" t="s">
        <v>1502</v>
      </c>
      <c r="D440" s="43" t="s">
        <v>1503</v>
      </c>
      <c r="E440" s="27">
        <f t="shared" si="89"/>
        <v>0.48166666666656965</v>
      </c>
      <c r="F440" s="18" t="s">
        <v>98</v>
      </c>
      <c r="G440" s="30" t="str">
        <f t="shared" si="90"/>
        <v/>
      </c>
      <c r="H440" s="23" t="str">
        <f t="shared" si="91"/>
        <v/>
      </c>
      <c r="I440" s="33" t="str">
        <f>IF(F439='Données Hebdo'!A439, VLOOKUP(Feuil1!A440, 'Données Hebdo'!B:J, 8, FALSE), "")</f>
        <v/>
      </c>
      <c r="J440" s="27" t="str">
        <f t="shared" si="92"/>
        <v>07:03:06 à 22:21:34</v>
      </c>
      <c r="K440" s="27" t="str">
        <f t="shared" si="93"/>
        <v>2016-06-03 22:21:34</v>
      </c>
      <c r="L440" s="27">
        <f t="shared" si="94"/>
        <v>0.63782407407416031</v>
      </c>
      <c r="M440" s="30">
        <f t="shared" si="95"/>
        <v>0.48166666666656965</v>
      </c>
      <c r="N440" s="18" t="str">
        <f t="shared" si="96"/>
        <v>BASE RAZEL AEROPORT - BASE RAZEL AEROPORT</v>
      </c>
      <c r="O440" s="18"/>
      <c r="P440" s="18"/>
    </row>
    <row r="441" spans="1:16">
      <c r="A441" s="43" t="s">
        <v>82</v>
      </c>
      <c r="B441" s="43" t="s">
        <v>53</v>
      </c>
      <c r="C441" s="43" t="s">
        <v>1592</v>
      </c>
      <c r="D441" s="43" t="s">
        <v>1593</v>
      </c>
      <c r="E441" s="27">
        <f t="shared" si="89"/>
        <v>0.39815972222277196</v>
      </c>
      <c r="F441" s="18" t="s">
        <v>98</v>
      </c>
      <c r="G441" s="30">
        <f t="shared" si="90"/>
        <v>0.63782407407416031</v>
      </c>
      <c r="H441" s="23" t="str">
        <f t="shared" si="91"/>
        <v>BASE RAZEL AEROPORT - BASE RAZEL AEROPORT</v>
      </c>
      <c r="I441" s="33" t="str">
        <f>IF(F440='Données Hebdo'!A440, VLOOKUP(Feuil1!A441, 'Données Hebdo'!B:J, 8, FALSE), "")</f>
        <v/>
      </c>
      <c r="J441" s="27" t="str">
        <f t="shared" si="92"/>
        <v/>
      </c>
      <c r="K441" s="27" t="str">
        <f t="shared" si="93"/>
        <v/>
      </c>
      <c r="L441" s="27" t="str">
        <f t="shared" si="94"/>
        <v/>
      </c>
      <c r="M441" s="30" t="str">
        <f t="shared" si="95"/>
        <v/>
      </c>
      <c r="N441" s="18" t="str">
        <f t="shared" si="96"/>
        <v/>
      </c>
      <c r="O441" s="18"/>
      <c r="P441" s="18"/>
    </row>
    <row r="442" spans="1:16" ht="27.6">
      <c r="A442" s="43" t="s">
        <v>85</v>
      </c>
      <c r="B442" s="43" t="s">
        <v>58</v>
      </c>
      <c r="C442" s="43" t="s">
        <v>1594</v>
      </c>
      <c r="D442" s="43" t="s">
        <v>1595</v>
      </c>
      <c r="E442" s="27">
        <f t="shared" si="89"/>
        <v>0.96684027777519077</v>
      </c>
      <c r="F442" s="18" t="s">
        <v>98</v>
      </c>
      <c r="G442" s="30" t="str">
        <f t="shared" si="90"/>
        <v/>
      </c>
      <c r="H442" s="23" t="str">
        <f t="shared" si="91"/>
        <v/>
      </c>
      <c r="I442" s="33" t="str">
        <f>IF(F441='Données Hebdo'!A441, VLOOKUP(Feuil1!A442, 'Données Hebdo'!B:J, 8, FALSE), "")</f>
        <v/>
      </c>
      <c r="J442" s="27" t="str">
        <f t="shared" si="92"/>
        <v>09:08:12 à 16:43:53</v>
      </c>
      <c r="K442" s="27" t="str">
        <f t="shared" si="93"/>
        <v>2016-06-03 16:43:53</v>
      </c>
      <c r="L442" s="27">
        <f t="shared" si="94"/>
        <v>0.31644675925781485</v>
      </c>
      <c r="M442" s="30">
        <f t="shared" si="95"/>
        <v>0.96684027777519077</v>
      </c>
      <c r="N442" s="18" t="str">
        <f t="shared" si="96"/>
        <v>BASE RAZEL WOURI - BASE RAZEL KRIBI</v>
      </c>
      <c r="O442" s="18"/>
      <c r="P442" s="18"/>
    </row>
    <row r="443" spans="1:16">
      <c r="A443" s="43" t="s">
        <v>85</v>
      </c>
      <c r="B443" s="43" t="s">
        <v>163</v>
      </c>
      <c r="C443" s="43" t="s">
        <v>1596</v>
      </c>
      <c r="D443" s="43" t="s">
        <v>1597</v>
      </c>
      <c r="E443" s="27">
        <f t="shared" si="89"/>
        <v>4.7685185185400769E-2</v>
      </c>
      <c r="F443" s="18" t="s">
        <v>98</v>
      </c>
      <c r="G443" s="30">
        <f t="shared" si="90"/>
        <v>0.31644675925781485</v>
      </c>
      <c r="H443" s="23" t="str">
        <f t="shared" si="91"/>
        <v>BASE RAZEL WOURI - BASE RAZEL KRIBI</v>
      </c>
      <c r="I443" s="33" t="str">
        <f>IF(F442='Données Hebdo'!A442, VLOOKUP(Feuil1!A443, 'Données Hebdo'!B:J, 8, FALSE), "")</f>
        <v/>
      </c>
      <c r="J443" s="27" t="str">
        <f t="shared" si="92"/>
        <v/>
      </c>
      <c r="K443" s="27" t="str">
        <f t="shared" si="93"/>
        <v/>
      </c>
      <c r="L443" s="27" t="str">
        <f t="shared" si="94"/>
        <v/>
      </c>
      <c r="M443" s="30" t="str">
        <f t="shared" si="95"/>
        <v/>
      </c>
      <c r="N443" s="18" t="str">
        <f t="shared" si="96"/>
        <v/>
      </c>
      <c r="O443" s="18"/>
      <c r="P443" s="18"/>
    </row>
    <row r="444" spans="1:16" ht="27.6">
      <c r="A444" s="43" t="s">
        <v>86</v>
      </c>
      <c r="B444" s="43" t="s">
        <v>53</v>
      </c>
      <c r="C444" s="43" t="s">
        <v>1540</v>
      </c>
      <c r="D444" s="43" t="s">
        <v>1541</v>
      </c>
      <c r="E444" s="27">
        <f t="shared" si="89"/>
        <v>0.45829861111269565</v>
      </c>
      <c r="F444" s="18" t="s">
        <v>98</v>
      </c>
      <c r="G444" s="30" t="str">
        <f t="shared" si="90"/>
        <v/>
      </c>
      <c r="H444" s="23" t="str">
        <f t="shared" si="91"/>
        <v/>
      </c>
      <c r="I444" s="33" t="str">
        <f>IF(F443='Données Hebdo'!A443, VLOOKUP(Feuil1!A444, 'Données Hebdo'!B:J, 8, FALSE), "")</f>
        <v/>
      </c>
      <c r="J444" s="27" t="str">
        <f t="shared" si="92"/>
        <v>05:22:26 à 06:54:58</v>
      </c>
      <c r="K444" s="27" t="str">
        <f t="shared" si="93"/>
        <v>2016-06-03 06:54:58</v>
      </c>
      <c r="L444" s="27">
        <f t="shared" si="94"/>
        <v>6.4259259263053536E-2</v>
      </c>
      <c r="M444" s="30">
        <f t="shared" si="95"/>
        <v>0.45829861111269565</v>
      </c>
      <c r="N444" s="18" t="str">
        <f t="shared" si="96"/>
        <v>BASE RAZEL AEROPORT - CARRIERE LOGBADJECK</v>
      </c>
      <c r="O444" s="18"/>
      <c r="P444" s="18"/>
    </row>
    <row r="445" spans="1:16" ht="27.6">
      <c r="A445" s="43" t="s">
        <v>86</v>
      </c>
      <c r="B445" s="43" t="s">
        <v>55</v>
      </c>
      <c r="C445" s="43" t="s">
        <v>1598</v>
      </c>
      <c r="D445" s="43" t="s">
        <v>1599</v>
      </c>
      <c r="E445" s="27">
        <f t="shared" si="89"/>
        <v>6.7893518513301387E-2</v>
      </c>
      <c r="F445" s="18" t="s">
        <v>98</v>
      </c>
      <c r="G445" s="30">
        <f t="shared" si="90"/>
        <v>6.4259259263053536E-2</v>
      </c>
      <c r="H445" s="23" t="str">
        <f t="shared" si="91"/>
        <v>BASE RAZEL AEROPORT - CARRIERE LOGBADJECK</v>
      </c>
      <c r="I445" s="33" t="str">
        <f>IF(F444='Données Hebdo'!A444, VLOOKUP(Feuil1!A445, 'Données Hebdo'!B:J, 8, FALSE), "")</f>
        <v/>
      </c>
      <c r="J445" s="27" t="str">
        <f t="shared" si="92"/>
        <v>08:32:44 à 10:29:50</v>
      </c>
      <c r="K445" s="27" t="str">
        <f t="shared" si="93"/>
        <v>2016-06-03 10:29:50</v>
      </c>
      <c r="L445" s="27">
        <f t="shared" si="94"/>
        <v>8.1319444449036382E-2</v>
      </c>
      <c r="M445" s="30">
        <f t="shared" si="95"/>
        <v>6.7893518513301387E-2</v>
      </c>
      <c r="N445" s="18" t="str">
        <f t="shared" si="96"/>
        <v>CARRIERE LOGBADJECK - BASE RAZEL AEROPORT</v>
      </c>
      <c r="O445" s="18"/>
      <c r="P445" s="18"/>
    </row>
    <row r="446" spans="1:16" ht="27.6">
      <c r="A446" s="43" t="s">
        <v>86</v>
      </c>
      <c r="B446" s="43" t="s">
        <v>53</v>
      </c>
      <c r="C446" s="43" t="s">
        <v>1600</v>
      </c>
      <c r="D446" s="43" t="s">
        <v>1601</v>
      </c>
      <c r="E446" s="27">
        <f t="shared" si="89"/>
        <v>3.379629626579117E-3</v>
      </c>
      <c r="F446" s="18" t="s">
        <v>98</v>
      </c>
      <c r="G446" s="30">
        <f t="shared" si="90"/>
        <v>8.1319444449036382E-2</v>
      </c>
      <c r="H446" s="23" t="str">
        <f t="shared" si="91"/>
        <v>CARRIERE LOGBADJECK - BASE RAZEL AEROPORT</v>
      </c>
      <c r="I446" s="33" t="str">
        <f>IF(F445='Données Hebdo'!A445, VLOOKUP(Feuil1!A446, 'Données Hebdo'!B:J, 8, FALSE), "")</f>
        <v/>
      </c>
      <c r="J446" s="27" t="str">
        <f t="shared" si="92"/>
        <v>10:34:42 à 12:10:21</v>
      </c>
      <c r="K446" s="27" t="str">
        <f t="shared" si="93"/>
        <v>2016-06-03 12:10:21</v>
      </c>
      <c r="L446" s="27">
        <f t="shared" si="94"/>
        <v>6.64236111115315E-2</v>
      </c>
      <c r="M446" s="30">
        <f t="shared" si="95"/>
        <v>3.379629626579117E-3</v>
      </c>
      <c r="N446" s="18" t="str">
        <f t="shared" si="96"/>
        <v>BASE RAZEL AEROPORT - CARRIERE LOGBADJECK</v>
      </c>
      <c r="O446" s="18"/>
      <c r="P446" s="18"/>
    </row>
    <row r="447" spans="1:16" ht="27.6">
      <c r="A447" s="43" t="s">
        <v>86</v>
      </c>
      <c r="B447" s="43" t="s">
        <v>55</v>
      </c>
      <c r="C447" s="43" t="s">
        <v>1602</v>
      </c>
      <c r="D447" s="43" t="s">
        <v>1603</v>
      </c>
      <c r="E447" s="27">
        <f t="shared" si="89"/>
        <v>3.3865740741021E-2</v>
      </c>
      <c r="F447" s="18" t="s">
        <v>98</v>
      </c>
      <c r="G447" s="30">
        <f t="shared" si="90"/>
        <v>6.64236111115315E-2</v>
      </c>
      <c r="H447" s="23" t="str">
        <f t="shared" si="91"/>
        <v>BASE RAZEL AEROPORT - CARRIERE LOGBADJECK</v>
      </c>
      <c r="I447" s="33" t="str">
        <f>IF(F446='Données Hebdo'!A446, VLOOKUP(Feuil1!A447, 'Données Hebdo'!B:J, 8, FALSE), "")</f>
        <v/>
      </c>
      <c r="J447" s="27" t="str">
        <f t="shared" si="92"/>
        <v>12:59:07 à 14:30:12</v>
      </c>
      <c r="K447" s="27" t="str">
        <f t="shared" si="93"/>
        <v>2016-06-03 14:30:12</v>
      </c>
      <c r="L447" s="27">
        <f t="shared" si="94"/>
        <v>6.3252314816054422E-2</v>
      </c>
      <c r="M447" s="30">
        <f t="shared" si="95"/>
        <v>3.3865740741021E-2</v>
      </c>
      <c r="N447" s="18" t="str">
        <f t="shared" si="96"/>
        <v>CARRIERE LOGBADJECK - BASE RAZEL AEROPORT</v>
      </c>
      <c r="O447" s="18"/>
      <c r="P447" s="18"/>
    </row>
    <row r="448" spans="1:16" ht="27.6">
      <c r="A448" s="43" t="s">
        <v>86</v>
      </c>
      <c r="B448" s="43" t="s">
        <v>53</v>
      </c>
      <c r="C448" s="43" t="s">
        <v>1604</v>
      </c>
      <c r="D448" s="43" t="s">
        <v>1605</v>
      </c>
      <c r="E448" s="27">
        <f t="shared" si="89"/>
        <v>9.2245370396994986E-3</v>
      </c>
      <c r="F448" s="18" t="s">
        <v>98</v>
      </c>
      <c r="G448" s="30">
        <f t="shared" si="90"/>
        <v>6.3252314816054422E-2</v>
      </c>
      <c r="H448" s="23" t="str">
        <f t="shared" si="91"/>
        <v>CARRIERE LOGBADJECK - BASE RAZEL AEROPORT</v>
      </c>
      <c r="I448" s="33" t="str">
        <f>IF(F447='Données Hebdo'!A447, VLOOKUP(Feuil1!A448, 'Données Hebdo'!B:J, 8, FALSE), "")</f>
        <v/>
      </c>
      <c r="J448" s="27" t="str">
        <f t="shared" si="92"/>
        <v>14:43:29 à 16:27:39</v>
      </c>
      <c r="K448" s="27" t="str">
        <f t="shared" si="93"/>
        <v>2016-06-03 16:27:39</v>
      </c>
      <c r="L448" s="27">
        <f t="shared" si="94"/>
        <v>7.2337962956225965E-2</v>
      </c>
      <c r="M448" s="30">
        <f t="shared" si="95"/>
        <v>9.2245370396994986E-3</v>
      </c>
      <c r="N448" s="18" t="str">
        <f t="shared" si="96"/>
        <v>BASE RAZEL AEROPORT - CARRIERE LOGBADJECK</v>
      </c>
      <c r="O448" s="18"/>
      <c r="P448" s="18"/>
    </row>
    <row r="449" spans="1:16" ht="27.6">
      <c r="A449" s="43" t="s">
        <v>86</v>
      </c>
      <c r="B449" s="43" t="s">
        <v>55</v>
      </c>
      <c r="C449" s="43" t="s">
        <v>1606</v>
      </c>
      <c r="D449" s="43" t="s">
        <v>1607</v>
      </c>
      <c r="E449" s="27">
        <f t="shared" si="89"/>
        <v>1.5011574076197576E-2</v>
      </c>
      <c r="F449" s="18" t="s">
        <v>98</v>
      </c>
      <c r="G449" s="30">
        <f t="shared" si="90"/>
        <v>7.2337962956225965E-2</v>
      </c>
      <c r="H449" s="23" t="str">
        <f t="shared" si="91"/>
        <v>BASE RAZEL AEROPORT - CARRIERE LOGBADJECK</v>
      </c>
      <c r="I449" s="33" t="str">
        <f>IF(F448='Données Hebdo'!A448, VLOOKUP(Feuil1!A449, 'Données Hebdo'!B:J, 8, FALSE), "")</f>
        <v/>
      </c>
      <c r="J449" s="27" t="str">
        <f t="shared" si="92"/>
        <v>16:49:16 à 18:10:25</v>
      </c>
      <c r="K449" s="27" t="str">
        <f t="shared" si="93"/>
        <v>2016-06-03 18:10:25</v>
      </c>
      <c r="L449" s="27">
        <f t="shared" si="94"/>
        <v>5.635416667064419E-2</v>
      </c>
      <c r="M449" s="30">
        <f t="shared" si="95"/>
        <v>1.5011574076197576E-2</v>
      </c>
      <c r="N449" s="18" t="str">
        <f t="shared" si="96"/>
        <v>CARRIERE LOGBADJECK - BASE RAZEL AEROPORT</v>
      </c>
      <c r="O449" s="18"/>
      <c r="P449" s="18"/>
    </row>
    <row r="450" spans="1:16">
      <c r="A450" s="43" t="s">
        <v>86</v>
      </c>
      <c r="B450" s="43" t="s">
        <v>53</v>
      </c>
      <c r="C450" s="43" t="s">
        <v>1608</v>
      </c>
      <c r="D450" s="43" t="s">
        <v>1609</v>
      </c>
      <c r="E450" s="27">
        <f t="shared" si="89"/>
        <v>0.54236111111094942</v>
      </c>
      <c r="F450" s="18" t="s">
        <v>98</v>
      </c>
      <c r="G450" s="30">
        <f t="shared" si="90"/>
        <v>5.635416667064419E-2</v>
      </c>
      <c r="H450" s="23" t="str">
        <f t="shared" si="91"/>
        <v>CARRIERE LOGBADJECK - BASE RAZEL AEROPORT</v>
      </c>
      <c r="I450" s="33" t="str">
        <f>IF(F449='Données Hebdo'!A449, VLOOKUP(Feuil1!A450, 'Données Hebdo'!B:J, 8, FALSE), "")</f>
        <v/>
      </c>
      <c r="J450" s="27" t="str">
        <f>IF(A450=A241, RIGHT(D450, 8)&amp;" à "&amp;RIGHT(C241, 8), "")</f>
        <v/>
      </c>
      <c r="K450" s="27" t="str">
        <f>IF(A450=A241, C241, "")</f>
        <v/>
      </c>
      <c r="L450" s="27" t="str">
        <f>IF(A450=A241, G241, "")</f>
        <v/>
      </c>
      <c r="M450" s="30" t="str">
        <f>IF(A450=A241, E450, "")</f>
        <v/>
      </c>
      <c r="N450" s="18" t="str">
        <f>IF(A450=A241, H241, "")</f>
        <v/>
      </c>
      <c r="O450" s="18"/>
      <c r="P450" s="18"/>
    </row>
    <row r="451" spans="1:16" ht="27.6">
      <c r="A451" s="43" t="s">
        <v>88</v>
      </c>
      <c r="B451" s="43" t="s">
        <v>53</v>
      </c>
      <c r="C451" s="43" t="s">
        <v>1556</v>
      </c>
      <c r="D451" s="43" t="s">
        <v>1557</v>
      </c>
      <c r="E451" s="27">
        <f t="shared" ref="E451:E513" si="97">IFERROR(D451-C451, "")</f>
        <v>0.46549768518161727</v>
      </c>
      <c r="F451" s="18" t="s">
        <v>98</v>
      </c>
      <c r="G451" s="30" t="str">
        <f>IF(A451=A241, C451-D241, "")</f>
        <v/>
      </c>
      <c r="H451" s="23" t="str">
        <f>IF(A451=A241, B241&amp;" - "&amp;B451, "")</f>
        <v/>
      </c>
      <c r="I451" s="33" t="str">
        <f>IF(F241='Données Hebdo'!A451, VLOOKUP(Feuil1!A451, 'Données Hebdo'!B:J, 8, FALSE), "")</f>
        <v/>
      </c>
      <c r="J451" s="27" t="str">
        <f t="shared" si="92"/>
        <v>05:36:03 à 06:58:20</v>
      </c>
      <c r="K451" s="27" t="str">
        <f t="shared" si="93"/>
        <v>2016-06-03 06:58:20</v>
      </c>
      <c r="L451" s="27">
        <f t="shared" si="94"/>
        <v>5.7141203709761612E-2</v>
      </c>
      <c r="M451" s="30">
        <f t="shared" si="95"/>
        <v>0.46549768518161727</v>
      </c>
      <c r="N451" s="18" t="str">
        <f t="shared" si="96"/>
        <v>BASE RAZEL AEROPORT - CARRIERE LOGBADJECK</v>
      </c>
      <c r="O451" s="18"/>
      <c r="P451" s="18"/>
    </row>
    <row r="452" spans="1:16" ht="27.6">
      <c r="A452" s="43" t="s">
        <v>88</v>
      </c>
      <c r="B452" s="43" t="s">
        <v>55</v>
      </c>
      <c r="C452" s="43" t="s">
        <v>1612</v>
      </c>
      <c r="D452" s="43" t="s">
        <v>1613</v>
      </c>
      <c r="E452" s="27">
        <f t="shared" si="97"/>
        <v>6.6053240734618157E-2</v>
      </c>
      <c r="F452" s="18" t="s">
        <v>98</v>
      </c>
      <c r="G452" s="30">
        <f t="shared" si="90"/>
        <v>5.7141203709761612E-2</v>
      </c>
      <c r="H452" s="23" t="str">
        <f t="shared" si="91"/>
        <v>BASE RAZEL AEROPORT - CARRIERE LOGBADJECK</v>
      </c>
      <c r="I452" s="33" t="str">
        <f>IF(F451='Données Hebdo'!A452, VLOOKUP(Feuil1!A452, 'Données Hebdo'!B:J, 8, FALSE), "")</f>
        <v/>
      </c>
      <c r="J452" s="27" t="str">
        <f t="shared" si="92"/>
        <v>08:33:27 à 10:30:00</v>
      </c>
      <c r="K452" s="27" t="str">
        <f t="shared" si="93"/>
        <v>2016-06-03 10:30:00</v>
      </c>
      <c r="L452" s="27">
        <f t="shared" si="94"/>
        <v>8.0937500002619345E-2</v>
      </c>
      <c r="M452" s="30">
        <f t="shared" si="95"/>
        <v>6.6053240734618157E-2</v>
      </c>
      <c r="N452" s="18" t="str">
        <f t="shared" si="96"/>
        <v>CARRIERE LOGBADJECK - BASE RAZEL AEROPORT</v>
      </c>
      <c r="O452" s="18"/>
      <c r="P452" s="18"/>
    </row>
    <row r="453" spans="1:16" ht="27.6">
      <c r="A453" s="43" t="s">
        <v>88</v>
      </c>
      <c r="B453" s="43" t="s">
        <v>53</v>
      </c>
      <c r="C453" s="43" t="s">
        <v>1614</v>
      </c>
      <c r="D453" s="43" t="s">
        <v>1615</v>
      </c>
      <c r="E453" s="27">
        <f t="shared" si="97"/>
        <v>4.5023148122709244E-3</v>
      </c>
      <c r="F453" s="18" t="s">
        <v>98</v>
      </c>
      <c r="G453" s="30">
        <f t="shared" si="90"/>
        <v>8.0937500002619345E-2</v>
      </c>
      <c r="H453" s="23" t="str">
        <f t="shared" si="91"/>
        <v>CARRIERE LOGBADJECK - BASE RAZEL AEROPORT</v>
      </c>
      <c r="I453" s="33" t="str">
        <f>IF(F452='Données Hebdo'!A453, VLOOKUP(Feuil1!A453, 'Données Hebdo'!B:J, 8, FALSE), "")</f>
        <v/>
      </c>
      <c r="J453" s="27" t="str">
        <f t="shared" si="92"/>
        <v>10:36:29 à 12:10:01</v>
      </c>
      <c r="K453" s="27" t="str">
        <f t="shared" si="93"/>
        <v>2016-06-03 12:10:01</v>
      </c>
      <c r="L453" s="27">
        <f t="shared" si="94"/>
        <v>6.4953703709761612E-2</v>
      </c>
      <c r="M453" s="30">
        <f t="shared" si="95"/>
        <v>4.5023148122709244E-3</v>
      </c>
      <c r="N453" s="18" t="str">
        <f t="shared" si="96"/>
        <v>BASE RAZEL AEROPORT - CARRIERE LOGBADJECK</v>
      </c>
      <c r="O453" s="18"/>
      <c r="P453" s="18"/>
    </row>
    <row r="454" spans="1:16" ht="27.6">
      <c r="A454" s="43" t="s">
        <v>88</v>
      </c>
      <c r="B454" s="43" t="s">
        <v>55</v>
      </c>
      <c r="C454" s="43" t="s">
        <v>1616</v>
      </c>
      <c r="D454" s="43" t="s">
        <v>1617</v>
      </c>
      <c r="E454" s="27">
        <f t="shared" si="97"/>
        <v>3.4907407403807156E-2</v>
      </c>
      <c r="F454" s="18" t="s">
        <v>99</v>
      </c>
      <c r="G454" s="30">
        <f t="shared" si="90"/>
        <v>6.4953703709761612E-2</v>
      </c>
      <c r="H454" s="23" t="str">
        <f t="shared" si="91"/>
        <v>BASE RAZEL AEROPORT - CARRIERE LOGBADJECK</v>
      </c>
      <c r="I454" s="33" t="str">
        <f>IF(F453='Données Hebdo'!A454, VLOOKUP(Feuil1!A454, 'Données Hebdo'!B:J, 8, FALSE), "")</f>
        <v/>
      </c>
      <c r="J454" s="27" t="str">
        <f t="shared" si="92"/>
        <v>13:00:17 à 14:56:58</v>
      </c>
      <c r="K454" s="27" t="str">
        <f t="shared" si="93"/>
        <v>2016-06-03 14:56:58</v>
      </c>
      <c r="L454" s="27">
        <f t="shared" si="94"/>
        <v>8.1030092595028691E-2</v>
      </c>
      <c r="M454" s="30">
        <f t="shared" si="95"/>
        <v>3.4907407403807156E-2</v>
      </c>
      <c r="N454" s="18" t="str">
        <f t="shared" si="96"/>
        <v>CARRIERE LOGBADJECK - BASE RAZEL AEROPORT</v>
      </c>
      <c r="O454" s="18"/>
      <c r="P454" s="18"/>
    </row>
    <row r="455" spans="1:16" ht="27.6">
      <c r="A455" s="43" t="s">
        <v>88</v>
      </c>
      <c r="B455" s="43" t="s">
        <v>53</v>
      </c>
      <c r="C455" s="43" t="s">
        <v>1618</v>
      </c>
      <c r="D455" s="43" t="s">
        <v>1619</v>
      </c>
      <c r="E455" s="27">
        <f t="shared" si="97"/>
        <v>7.326388884393964E-3</v>
      </c>
      <c r="F455" s="18" t="s">
        <v>99</v>
      </c>
      <c r="G455" s="30">
        <f t="shared" si="90"/>
        <v>8.1030092595028691E-2</v>
      </c>
      <c r="H455" s="23" t="str">
        <f t="shared" si="91"/>
        <v>CARRIERE LOGBADJECK - BASE RAZEL AEROPORT</v>
      </c>
      <c r="I455" s="33" t="str">
        <f>IF(F454='Données Hebdo'!A455, VLOOKUP(Feuil1!A455, 'Données Hebdo'!B:J, 8, FALSE), "")</f>
        <v/>
      </c>
      <c r="J455" s="27" t="str">
        <f t="shared" si="92"/>
        <v>15:07:31 à 16:22:00</v>
      </c>
      <c r="K455" s="27" t="str">
        <f t="shared" si="93"/>
        <v>2016-06-03 16:22:00</v>
      </c>
      <c r="L455" s="27">
        <f t="shared" si="94"/>
        <v>5.1724537035624962E-2</v>
      </c>
      <c r="M455" s="30">
        <f t="shared" si="95"/>
        <v>7.326388884393964E-3</v>
      </c>
      <c r="N455" s="18" t="str">
        <f t="shared" si="96"/>
        <v>BASE RAZEL AEROPORT - CARRIERE LOGBADJECK</v>
      </c>
      <c r="O455" s="18"/>
      <c r="P455" s="18"/>
    </row>
    <row r="456" spans="1:16" ht="27.6">
      <c r="A456" s="43" t="s">
        <v>88</v>
      </c>
      <c r="B456" s="43" t="s">
        <v>55</v>
      </c>
      <c r="C456" s="43" t="s">
        <v>1620</v>
      </c>
      <c r="D456" s="43" t="s">
        <v>1607</v>
      </c>
      <c r="E456" s="27">
        <f t="shared" si="97"/>
        <v>1.8935185187729076E-2</v>
      </c>
      <c r="F456" s="18" t="s">
        <v>99</v>
      </c>
      <c r="G456" s="30">
        <f t="shared" si="90"/>
        <v>5.1724537035624962E-2</v>
      </c>
      <c r="H456" s="23" t="str">
        <f t="shared" si="91"/>
        <v>BASE RAZEL AEROPORT - CARRIERE LOGBADJECK</v>
      </c>
      <c r="I456" s="33" t="str">
        <f>IF(F455='Données Hebdo'!A456, VLOOKUP(Feuil1!A456, 'Données Hebdo'!B:J, 8, FALSE), "")</f>
        <v/>
      </c>
      <c r="J456" s="27" t="str">
        <f t="shared" si="92"/>
        <v>16:49:16 à 18:07:38</v>
      </c>
      <c r="K456" s="27" t="str">
        <f t="shared" si="93"/>
        <v>2016-06-03 18:07:38</v>
      </c>
      <c r="L456" s="27">
        <f t="shared" si="94"/>
        <v>5.4421296299551614E-2</v>
      </c>
      <c r="M456" s="30">
        <f t="shared" si="95"/>
        <v>1.8935185187729076E-2</v>
      </c>
      <c r="N456" s="18" t="str">
        <f t="shared" si="96"/>
        <v>CARRIERE LOGBADJECK - BASE RAZEL AEROPORT</v>
      </c>
      <c r="O456" s="18"/>
      <c r="P456" s="18"/>
    </row>
    <row r="457" spans="1:16">
      <c r="A457" s="43" t="s">
        <v>88</v>
      </c>
      <c r="B457" s="43" t="s">
        <v>53</v>
      </c>
      <c r="C457" s="43" t="s">
        <v>1621</v>
      </c>
      <c r="D457" s="43" t="s">
        <v>1622</v>
      </c>
      <c r="E457" s="27">
        <f t="shared" si="97"/>
        <v>0.54533564814482816</v>
      </c>
      <c r="F457" s="18" t="s">
        <v>99</v>
      </c>
      <c r="G457" s="30">
        <f t="shared" si="90"/>
        <v>5.4421296299551614E-2</v>
      </c>
      <c r="H457" s="23" t="str">
        <f t="shared" si="91"/>
        <v>CARRIERE LOGBADJECK - BASE RAZEL AEROPORT</v>
      </c>
      <c r="I457" s="33" t="str">
        <f>IF(F456='Données Hebdo'!A457, VLOOKUP(Feuil1!A457, 'Données Hebdo'!B:J, 8, FALSE), "")</f>
        <v/>
      </c>
      <c r="J457" s="27" t="str">
        <f t="shared" si="92"/>
        <v/>
      </c>
      <c r="K457" s="27" t="str">
        <f t="shared" si="93"/>
        <v/>
      </c>
      <c r="L457" s="27" t="str">
        <f t="shared" si="94"/>
        <v/>
      </c>
      <c r="M457" s="30" t="str">
        <f t="shared" si="95"/>
        <v/>
      </c>
      <c r="N457" s="18" t="str">
        <f t="shared" si="96"/>
        <v/>
      </c>
      <c r="O457" s="18"/>
      <c r="P457" s="18"/>
    </row>
    <row r="458" spans="1:16" ht="27.6">
      <c r="A458" s="43" t="s">
        <v>81</v>
      </c>
      <c r="B458" s="43" t="s">
        <v>197</v>
      </c>
      <c r="C458" s="43" t="s">
        <v>1623</v>
      </c>
      <c r="D458" s="43" t="s">
        <v>1624</v>
      </c>
      <c r="E458" s="27">
        <f t="shared" si="97"/>
        <v>1.8912037034169771E-2</v>
      </c>
      <c r="F458" s="18" t="s">
        <v>99</v>
      </c>
      <c r="G458" s="30" t="str">
        <f t="shared" si="90"/>
        <v/>
      </c>
      <c r="H458" s="23" t="str">
        <f t="shared" si="91"/>
        <v/>
      </c>
      <c r="I458" s="33" t="str">
        <f>IF(F457='Données Hebdo'!A458, VLOOKUP(Feuil1!A458, 'Données Hebdo'!B:J, 8, FALSE), "")</f>
        <v/>
      </c>
      <c r="J458" s="27" t="str">
        <f t="shared" si="92"/>
        <v>10:13:24 à 10:14:31</v>
      </c>
      <c r="K458" s="27" t="str">
        <f t="shared" si="93"/>
        <v>2016-06-04 10:14:31</v>
      </c>
      <c r="L458" s="27">
        <f t="shared" si="94"/>
        <v>7.7546296233776957E-4</v>
      </c>
      <c r="M458" s="30">
        <f t="shared" si="95"/>
        <v>1.8912037034169771E-2</v>
      </c>
      <c r="N458" s="18" t="str">
        <f t="shared" si="96"/>
        <v>BASE RAZEL PREFECTURE - BASE RAZEL PREFECTURE</v>
      </c>
      <c r="O458" s="18"/>
      <c r="P458" s="18"/>
    </row>
    <row r="459" spans="1:16" ht="27.6">
      <c r="A459" s="43" t="s">
        <v>81</v>
      </c>
      <c r="B459" s="43" t="s">
        <v>197</v>
      </c>
      <c r="C459" s="43" t="s">
        <v>1625</v>
      </c>
      <c r="D459" s="43" t="s">
        <v>1626</v>
      </c>
      <c r="E459" s="27">
        <f t="shared" si="97"/>
        <v>1.0104166671226267E-2</v>
      </c>
      <c r="F459" s="18" t="s">
        <v>99</v>
      </c>
      <c r="G459" s="30">
        <f t="shared" ref="G459:G522" si="98">IF(A459=A458, C459-D458, "")</f>
        <v>7.7546296233776957E-4</v>
      </c>
      <c r="H459" s="23" t="str">
        <f t="shared" ref="H459:H522" si="99">IF(A459=A458, B458&amp;" - "&amp;B459, "")</f>
        <v>BASE RAZEL PREFECTURE - BASE RAZEL PREFECTURE</v>
      </c>
      <c r="I459" s="33" t="str">
        <f>IF(F458='Données Hebdo'!A459, VLOOKUP(Feuil1!A459, 'Données Hebdo'!B:J, 8, FALSE), "")</f>
        <v/>
      </c>
      <c r="J459" s="27" t="str">
        <f t="shared" ref="J459:J522" si="100">IF(A459=A460, RIGHT(D459, 8)&amp;" à "&amp;RIGHT(C460, 8), "")</f>
        <v>10:29:04 à 10:30:14</v>
      </c>
      <c r="K459" s="27" t="str">
        <f t="shared" ref="K459:K522" si="101">IF(A459=A460, C460, "")</f>
        <v>2016-06-04 10:30:14</v>
      </c>
      <c r="L459" s="27">
        <f t="shared" ref="L459:L522" si="102">IF(A459=A460, G460, "")</f>
        <v>8.1018518540076911E-4</v>
      </c>
      <c r="M459" s="30">
        <f t="shared" ref="M459:M522" si="103">IF(A459=A460, E459, "")</f>
        <v>1.0104166671226267E-2</v>
      </c>
      <c r="N459" s="18" t="str">
        <f t="shared" ref="N459:N522" si="104">IF(A459=A460, H460, "")</f>
        <v>BASE RAZEL PREFECTURE - BASE RAZEL PREFECTURE</v>
      </c>
      <c r="O459" s="18"/>
      <c r="P459" s="18"/>
    </row>
    <row r="460" spans="1:16" ht="27.6">
      <c r="A460" s="43" t="s">
        <v>81</v>
      </c>
      <c r="B460" s="43" t="s">
        <v>197</v>
      </c>
      <c r="C460" s="43" t="s">
        <v>1627</v>
      </c>
      <c r="D460" s="43" t="s">
        <v>1628</v>
      </c>
      <c r="E460" s="27">
        <f t="shared" si="97"/>
        <v>2.5462962948950008E-3</v>
      </c>
      <c r="F460" s="18" t="s">
        <v>99</v>
      </c>
      <c r="G460" s="30">
        <f t="shared" si="98"/>
        <v>8.1018518540076911E-4</v>
      </c>
      <c r="H460" s="23" t="str">
        <f t="shared" si="99"/>
        <v>BASE RAZEL PREFECTURE - BASE RAZEL PREFECTURE</v>
      </c>
      <c r="I460" s="33" t="str">
        <f>IF(F459='Données Hebdo'!A460, VLOOKUP(Feuil1!A460, 'Données Hebdo'!B:J, 8, FALSE), "")</f>
        <v/>
      </c>
      <c r="J460" s="27" t="str">
        <f t="shared" si="100"/>
        <v>10:33:54 à 10:35:10</v>
      </c>
      <c r="K460" s="27" t="str">
        <f t="shared" si="101"/>
        <v>2016-06-04 10:35:10</v>
      </c>
      <c r="L460" s="27">
        <f t="shared" si="102"/>
        <v>8.7962963152676821E-4</v>
      </c>
      <c r="M460" s="30">
        <f t="shared" si="103"/>
        <v>2.5462962948950008E-3</v>
      </c>
      <c r="N460" s="18" t="str">
        <f t="shared" si="104"/>
        <v>BASE RAZEL PREFECTURE - BASE RAZEL PREFECTURE</v>
      </c>
      <c r="O460" s="18"/>
      <c r="P460" s="18"/>
    </row>
    <row r="461" spans="1:16" ht="27.6">
      <c r="A461" s="43" t="s">
        <v>81</v>
      </c>
      <c r="B461" s="43" t="s">
        <v>197</v>
      </c>
      <c r="C461" s="43" t="s">
        <v>1629</v>
      </c>
      <c r="D461" s="43" t="s">
        <v>1630</v>
      </c>
      <c r="E461" s="27">
        <f t="shared" si="97"/>
        <v>1.3333333328773733E-2</v>
      </c>
      <c r="F461" s="18" t="s">
        <v>99</v>
      </c>
      <c r="G461" s="30">
        <f t="shared" si="98"/>
        <v>8.7962963152676821E-4</v>
      </c>
      <c r="H461" s="23" t="str">
        <f t="shared" si="99"/>
        <v>BASE RAZEL PREFECTURE - BASE RAZEL PREFECTURE</v>
      </c>
      <c r="I461" s="33" t="str">
        <f>IF(F460='Données Hebdo'!A461, VLOOKUP(Feuil1!A461, 'Données Hebdo'!B:J, 8, FALSE), "")</f>
        <v/>
      </c>
      <c r="J461" s="27" t="str">
        <f t="shared" si="100"/>
        <v>10:54:22 à 10:54:54</v>
      </c>
      <c r="K461" s="27" t="str">
        <f t="shared" si="101"/>
        <v>2016-06-04 10:54:54</v>
      </c>
      <c r="L461" s="27">
        <f t="shared" si="102"/>
        <v>3.7037036963738501E-4</v>
      </c>
      <c r="M461" s="30">
        <f t="shared" si="103"/>
        <v>1.3333333328773733E-2</v>
      </c>
      <c r="N461" s="18" t="str">
        <f t="shared" si="104"/>
        <v>BASE RAZEL PREFECTURE - BASE RAZEL PREFECTURE</v>
      </c>
      <c r="O461" s="18"/>
      <c r="P461" s="18"/>
    </row>
    <row r="462" spans="1:16" ht="27.6">
      <c r="A462" s="43" t="s">
        <v>81</v>
      </c>
      <c r="B462" s="43" t="s">
        <v>197</v>
      </c>
      <c r="C462" s="43" t="s">
        <v>1631</v>
      </c>
      <c r="D462" s="43" t="s">
        <v>1632</v>
      </c>
      <c r="E462" s="27">
        <f t="shared" si="97"/>
        <v>3.2523148183827288E-3</v>
      </c>
      <c r="F462" s="18" t="s">
        <v>99</v>
      </c>
      <c r="G462" s="30">
        <f t="shared" si="98"/>
        <v>3.7037036963738501E-4</v>
      </c>
      <c r="H462" s="23" t="str">
        <f t="shared" si="99"/>
        <v>BASE RAZEL PREFECTURE - BASE RAZEL PREFECTURE</v>
      </c>
      <c r="I462" s="33" t="str">
        <f>IF(F461='Données Hebdo'!A462, VLOOKUP(Feuil1!A462, 'Données Hebdo'!B:J, 8, FALSE), "")</f>
        <v/>
      </c>
      <c r="J462" s="27" t="str">
        <f t="shared" si="100"/>
        <v>10:59:35 à 11:00:20</v>
      </c>
      <c r="K462" s="27" t="str">
        <f t="shared" si="101"/>
        <v>2016-06-04 11:00:20</v>
      </c>
      <c r="L462" s="27">
        <f t="shared" si="102"/>
        <v>5.2083333139307797E-4</v>
      </c>
      <c r="M462" s="30">
        <f t="shared" si="103"/>
        <v>3.2523148183827288E-3</v>
      </c>
      <c r="N462" s="18" t="str">
        <f t="shared" si="104"/>
        <v>BASE RAZEL PREFECTURE - BASE RAZEL PREFECTURE</v>
      </c>
      <c r="O462" s="18"/>
      <c r="P462" s="18"/>
    </row>
    <row r="463" spans="1:16" ht="27.6">
      <c r="A463" s="43" t="s">
        <v>81</v>
      </c>
      <c r="B463" s="43" t="s">
        <v>197</v>
      </c>
      <c r="C463" s="43" t="s">
        <v>1633</v>
      </c>
      <c r="D463" s="43" t="s">
        <v>1634</v>
      </c>
      <c r="E463" s="27">
        <f t="shared" si="97"/>
        <v>4.652777781302575E-3</v>
      </c>
      <c r="F463" s="18" t="s">
        <v>99</v>
      </c>
      <c r="G463" s="30">
        <f t="shared" si="98"/>
        <v>5.2083333139307797E-4</v>
      </c>
      <c r="H463" s="23" t="str">
        <f t="shared" si="99"/>
        <v>BASE RAZEL PREFECTURE - BASE RAZEL PREFECTURE</v>
      </c>
      <c r="I463" s="33" t="str">
        <f>IF(F462='Données Hebdo'!A463, VLOOKUP(Feuil1!A463, 'Données Hebdo'!B:J, 8, FALSE), "")</f>
        <v/>
      </c>
      <c r="J463" s="27" t="str">
        <f t="shared" si="100"/>
        <v>11:07:02 à 11:07:48</v>
      </c>
      <c r="K463" s="27" t="str">
        <f t="shared" si="101"/>
        <v>2016-06-04 11:07:48</v>
      </c>
      <c r="L463" s="27">
        <f t="shared" si="102"/>
        <v>5.3240740817273036E-4</v>
      </c>
      <c r="M463" s="30">
        <f t="shared" si="103"/>
        <v>4.652777781302575E-3</v>
      </c>
      <c r="N463" s="18" t="str">
        <f t="shared" si="104"/>
        <v>BASE RAZEL PREFECTURE - BASE RAZEL PREFECTURE</v>
      </c>
      <c r="O463" s="18"/>
      <c r="P463" s="18"/>
    </row>
    <row r="464" spans="1:16" ht="27.6">
      <c r="A464" s="43" t="s">
        <v>81</v>
      </c>
      <c r="B464" s="43" t="s">
        <v>197</v>
      </c>
      <c r="C464" s="43" t="s">
        <v>1635</v>
      </c>
      <c r="D464" s="43" t="s">
        <v>1636</v>
      </c>
      <c r="E464" s="27">
        <f t="shared" si="97"/>
        <v>9.7800925868796185E-3</v>
      </c>
      <c r="F464" s="18" t="s">
        <v>99</v>
      </c>
      <c r="G464" s="30">
        <f t="shared" si="98"/>
        <v>5.3240740817273036E-4</v>
      </c>
      <c r="H464" s="23" t="str">
        <f t="shared" si="99"/>
        <v>BASE RAZEL PREFECTURE - BASE RAZEL PREFECTURE</v>
      </c>
      <c r="I464" s="33" t="str">
        <f>IF(F463='Données Hebdo'!A464, VLOOKUP(Feuil1!A464, 'Données Hebdo'!B:J, 8, FALSE), "")</f>
        <v/>
      </c>
      <c r="J464" s="27" t="str">
        <f t="shared" si="100"/>
        <v>11:21:53 à 11:22:42</v>
      </c>
      <c r="K464" s="27" t="str">
        <f t="shared" si="101"/>
        <v>2016-06-04 11:22:42</v>
      </c>
      <c r="L464" s="27">
        <f t="shared" si="102"/>
        <v>5.671296312357299E-4</v>
      </c>
      <c r="M464" s="30">
        <f t="shared" si="103"/>
        <v>9.7800925868796185E-3</v>
      </c>
      <c r="N464" s="18" t="str">
        <f t="shared" si="104"/>
        <v>BASE RAZEL PREFECTURE - BASE RAZEL PREFECTURE</v>
      </c>
      <c r="O464" s="18"/>
      <c r="P464" s="18"/>
    </row>
    <row r="465" spans="1:16" ht="27.6">
      <c r="A465" s="43" t="s">
        <v>81</v>
      </c>
      <c r="B465" s="43" t="s">
        <v>197</v>
      </c>
      <c r="C465" s="43" t="s">
        <v>1637</v>
      </c>
      <c r="D465" s="43" t="s">
        <v>1638</v>
      </c>
      <c r="E465" s="27">
        <f t="shared" si="97"/>
        <v>2.164351855753921E-3</v>
      </c>
      <c r="F465" s="18" t="s">
        <v>99</v>
      </c>
      <c r="G465" s="30">
        <f t="shared" si="98"/>
        <v>5.671296312357299E-4</v>
      </c>
      <c r="H465" s="23" t="str">
        <f t="shared" si="99"/>
        <v>BASE RAZEL PREFECTURE - BASE RAZEL PREFECTURE</v>
      </c>
      <c r="I465" s="33" t="str">
        <f>IF(F464='Données Hebdo'!A465, VLOOKUP(Feuil1!A465, 'Données Hebdo'!B:J, 8, FALSE), "")</f>
        <v/>
      </c>
      <c r="J465" s="27" t="str">
        <f t="shared" si="100"/>
        <v>11:25:49 à 11:26:45</v>
      </c>
      <c r="K465" s="27" t="str">
        <f t="shared" si="101"/>
        <v>2016-06-04 11:26:45</v>
      </c>
      <c r="L465" s="27">
        <f t="shared" si="102"/>
        <v>6.4814814686542377E-4</v>
      </c>
      <c r="M465" s="30">
        <f t="shared" si="103"/>
        <v>2.164351855753921E-3</v>
      </c>
      <c r="N465" s="18" t="str">
        <f t="shared" si="104"/>
        <v>BASE RAZEL PREFECTURE - BASE RAZEL PREFECTURE</v>
      </c>
      <c r="O465" s="18"/>
      <c r="P465" s="18"/>
    </row>
    <row r="466" spans="1:16" ht="27.6">
      <c r="A466" s="43" t="s">
        <v>81</v>
      </c>
      <c r="B466" s="43" t="s">
        <v>197</v>
      </c>
      <c r="C466" s="43" t="s">
        <v>1639</v>
      </c>
      <c r="D466" s="43" t="s">
        <v>1640</v>
      </c>
      <c r="E466" s="27">
        <f t="shared" si="97"/>
        <v>3.6574074038071558E-3</v>
      </c>
      <c r="F466" s="18" t="s">
        <v>99</v>
      </c>
      <c r="G466" s="30">
        <f t="shared" si="98"/>
        <v>6.4814814686542377E-4</v>
      </c>
      <c r="H466" s="23" t="str">
        <f t="shared" si="99"/>
        <v>BASE RAZEL PREFECTURE - BASE RAZEL PREFECTURE</v>
      </c>
      <c r="I466" s="33" t="str">
        <f>IF(F465='Données Hebdo'!A466, VLOOKUP(Feuil1!A466, 'Données Hebdo'!B:J, 8, FALSE), "")</f>
        <v/>
      </c>
      <c r="J466" s="27" t="str">
        <f t="shared" si="100"/>
        <v>11:32:01 à 11:33:22</v>
      </c>
      <c r="K466" s="27" t="str">
        <f t="shared" si="101"/>
        <v>2016-06-04 11:33:22</v>
      </c>
      <c r="L466" s="27">
        <f t="shared" si="102"/>
        <v>9.3750000087311491E-4</v>
      </c>
      <c r="M466" s="30">
        <f t="shared" si="103"/>
        <v>3.6574074038071558E-3</v>
      </c>
      <c r="N466" s="18" t="str">
        <f t="shared" si="104"/>
        <v>BASE RAZEL PREFECTURE - BASE RAZEL PREFECTURE</v>
      </c>
      <c r="O466" s="18"/>
      <c r="P466" s="18"/>
    </row>
    <row r="467" spans="1:16" ht="27.6">
      <c r="A467" s="43" t="s">
        <v>81</v>
      </c>
      <c r="B467" s="43" t="s">
        <v>197</v>
      </c>
      <c r="C467" s="43" t="s">
        <v>1641</v>
      </c>
      <c r="D467" s="43" t="s">
        <v>1642</v>
      </c>
      <c r="E467" s="27">
        <f t="shared" si="97"/>
        <v>4.5983796298969537E-2</v>
      </c>
      <c r="F467" s="18" t="s">
        <v>99</v>
      </c>
      <c r="G467" s="30">
        <f t="shared" si="98"/>
        <v>9.3750000087311491E-4</v>
      </c>
      <c r="H467" s="23" t="str">
        <f t="shared" si="99"/>
        <v>BASE RAZEL PREFECTURE - BASE RAZEL PREFECTURE</v>
      </c>
      <c r="I467" s="33" t="str">
        <f>IF(F466='Données Hebdo'!A467, VLOOKUP(Feuil1!A467, 'Données Hebdo'!B:J, 8, FALSE), "")</f>
        <v/>
      </c>
      <c r="J467" s="27" t="str">
        <f t="shared" si="100"/>
        <v>12:39:35 à 12:41:18</v>
      </c>
      <c r="K467" s="27" t="str">
        <f t="shared" si="101"/>
        <v>2016-06-04 12:41:18</v>
      </c>
      <c r="L467" s="27">
        <f t="shared" si="102"/>
        <v>1.1921296318178065E-3</v>
      </c>
      <c r="M467" s="30">
        <f t="shared" si="103"/>
        <v>4.5983796298969537E-2</v>
      </c>
      <c r="N467" s="18" t="str">
        <f t="shared" si="104"/>
        <v>BASE RAZEL PREFECTURE - BASE RAZEL PREFECTURE</v>
      </c>
      <c r="O467" s="18"/>
      <c r="P467" s="18"/>
    </row>
    <row r="468" spans="1:16" ht="27.6">
      <c r="A468" s="43" t="s">
        <v>81</v>
      </c>
      <c r="B468" s="43" t="s">
        <v>197</v>
      </c>
      <c r="C468" s="43" t="s">
        <v>1643</v>
      </c>
      <c r="D468" s="43" t="s">
        <v>1644</v>
      </c>
      <c r="E468" s="27">
        <f t="shared" si="97"/>
        <v>8.9583333319751546E-3</v>
      </c>
      <c r="F468" s="18" t="s">
        <v>99</v>
      </c>
      <c r="G468" s="30">
        <f t="shared" si="98"/>
        <v>1.1921296318178065E-3</v>
      </c>
      <c r="H468" s="23" t="str">
        <f t="shared" si="99"/>
        <v>BASE RAZEL PREFECTURE - BASE RAZEL PREFECTURE</v>
      </c>
      <c r="I468" s="33" t="str">
        <f>IF(F467='Données Hebdo'!A468, VLOOKUP(Feuil1!A468, 'Données Hebdo'!B:J, 8, FALSE), "")</f>
        <v/>
      </c>
      <c r="J468" s="27" t="str">
        <f t="shared" si="100"/>
        <v>12:54:12 à 12:55:09</v>
      </c>
      <c r="K468" s="27" t="str">
        <f t="shared" si="101"/>
        <v>2016-06-04 12:55:09</v>
      </c>
      <c r="L468" s="27">
        <f t="shared" si="102"/>
        <v>6.5972222364507616E-4</v>
      </c>
      <c r="M468" s="30">
        <f t="shared" si="103"/>
        <v>8.9583333319751546E-3</v>
      </c>
      <c r="N468" s="18" t="str">
        <f t="shared" si="104"/>
        <v>BASE RAZEL PREFECTURE - BASE RAZEL PREFECTURE</v>
      </c>
      <c r="O468" s="18"/>
      <c r="P468" s="18"/>
    </row>
    <row r="469" spans="1:16" ht="27.6">
      <c r="A469" s="43" t="s">
        <v>81</v>
      </c>
      <c r="B469" s="43" t="s">
        <v>197</v>
      </c>
      <c r="C469" s="43" t="s">
        <v>1645</v>
      </c>
      <c r="D469" s="43" t="s">
        <v>1646</v>
      </c>
      <c r="E469" s="27">
        <f t="shared" si="97"/>
        <v>3.5069444420514628E-3</v>
      </c>
      <c r="F469" s="18" t="s">
        <v>99</v>
      </c>
      <c r="G469" s="30">
        <f t="shared" si="98"/>
        <v>6.5972222364507616E-4</v>
      </c>
      <c r="H469" s="23" t="str">
        <f t="shared" si="99"/>
        <v>BASE RAZEL PREFECTURE - BASE RAZEL PREFECTURE</v>
      </c>
      <c r="I469" s="33" t="str">
        <f>IF(F468='Données Hebdo'!A469, VLOOKUP(Feuil1!A469, 'Données Hebdo'!B:J, 8, FALSE), "")</f>
        <v/>
      </c>
      <c r="J469" s="27" t="str">
        <f t="shared" si="100"/>
        <v>13:00:12 à 13:00:57</v>
      </c>
      <c r="K469" s="27" t="str">
        <f t="shared" si="101"/>
        <v>2016-06-04 13:00:57</v>
      </c>
      <c r="L469" s="27">
        <f t="shared" si="102"/>
        <v>5.2083333139307797E-4</v>
      </c>
      <c r="M469" s="30">
        <f t="shared" si="103"/>
        <v>3.5069444420514628E-3</v>
      </c>
      <c r="N469" s="18" t="str">
        <f t="shared" si="104"/>
        <v>BASE RAZEL PREFECTURE - BASE RAZEL PREFECTURE</v>
      </c>
      <c r="O469" s="18"/>
      <c r="P469" s="18"/>
    </row>
    <row r="470" spans="1:16" ht="27.6">
      <c r="A470" s="43" t="s">
        <v>81</v>
      </c>
      <c r="B470" s="43" t="s">
        <v>197</v>
      </c>
      <c r="C470" s="43" t="s">
        <v>1647</v>
      </c>
      <c r="D470" s="43" t="s">
        <v>1648</v>
      </c>
      <c r="E470" s="27">
        <f t="shared" si="97"/>
        <v>5.0925925970659591E-3</v>
      </c>
      <c r="F470" s="18" t="s">
        <v>99</v>
      </c>
      <c r="G470" s="30">
        <f t="shared" si="98"/>
        <v>5.2083333139307797E-4</v>
      </c>
      <c r="H470" s="23" t="str">
        <f t="shared" si="99"/>
        <v>BASE RAZEL PREFECTURE - BASE RAZEL PREFECTURE</v>
      </c>
      <c r="I470" s="33" t="str">
        <f>IF(F469='Données Hebdo'!A470, VLOOKUP(Feuil1!A470, 'Données Hebdo'!B:J, 8, FALSE), "")</f>
        <v/>
      </c>
      <c r="J470" s="27" t="str">
        <f t="shared" si="100"/>
        <v>13:08:17 à 13:10:23</v>
      </c>
      <c r="K470" s="27" t="str">
        <f t="shared" si="101"/>
        <v>2016-06-04 13:10:23</v>
      </c>
      <c r="L470" s="27">
        <f t="shared" si="102"/>
        <v>1.4583333322661929E-3</v>
      </c>
      <c r="M470" s="30">
        <f t="shared" si="103"/>
        <v>5.0925925970659591E-3</v>
      </c>
      <c r="N470" s="18" t="str">
        <f t="shared" si="104"/>
        <v>BASE RAZEL PREFECTURE - BASE RAZEL PREFECTURE</v>
      </c>
      <c r="O470" s="18"/>
      <c r="P470" s="18"/>
    </row>
    <row r="471" spans="1:16" ht="27.6">
      <c r="A471" s="43" t="s">
        <v>81</v>
      </c>
      <c r="B471" s="43" t="s">
        <v>197</v>
      </c>
      <c r="C471" s="43" t="s">
        <v>1649</v>
      </c>
      <c r="D471" s="43" t="s">
        <v>1650</v>
      </c>
      <c r="E471" s="27">
        <f t="shared" si="97"/>
        <v>1.5393518515338656E-2</v>
      </c>
      <c r="F471" s="18" t="s">
        <v>99</v>
      </c>
      <c r="G471" s="30">
        <f t="shared" si="98"/>
        <v>1.4583333322661929E-3</v>
      </c>
      <c r="H471" s="23" t="str">
        <f t="shared" si="99"/>
        <v>BASE RAZEL PREFECTURE - BASE RAZEL PREFECTURE</v>
      </c>
      <c r="I471" s="33" t="str">
        <f>IF(F470='Données Hebdo'!A471, VLOOKUP(Feuil1!A471, 'Données Hebdo'!B:J, 8, FALSE), "")</f>
        <v/>
      </c>
      <c r="J471" s="27" t="str">
        <f t="shared" si="100"/>
        <v>13:32:33 à 13:34:15</v>
      </c>
      <c r="K471" s="27" t="str">
        <f t="shared" si="101"/>
        <v>2016-06-04 13:34:15</v>
      </c>
      <c r="L471" s="27">
        <f t="shared" si="102"/>
        <v>1.1805555550381541E-3</v>
      </c>
      <c r="M471" s="30">
        <f t="shared" si="103"/>
        <v>1.5393518515338656E-2</v>
      </c>
      <c r="N471" s="18" t="str">
        <f t="shared" si="104"/>
        <v>BASE RAZEL PREFECTURE - BASE RAZEL PREFECTURE</v>
      </c>
      <c r="O471" s="18"/>
      <c r="P471" s="18"/>
    </row>
    <row r="472" spans="1:16" ht="27.6">
      <c r="A472" s="43" t="s">
        <v>81</v>
      </c>
      <c r="B472" s="43" t="s">
        <v>197</v>
      </c>
      <c r="C472" s="43" t="s">
        <v>1651</v>
      </c>
      <c r="D472" s="43" t="s">
        <v>1652</v>
      </c>
      <c r="E472" s="27">
        <f t="shared" si="97"/>
        <v>2.0486111097852699E-3</v>
      </c>
      <c r="F472" s="18" t="s">
        <v>99</v>
      </c>
      <c r="G472" s="30">
        <f t="shared" si="98"/>
        <v>1.1805555550381541E-3</v>
      </c>
      <c r="H472" s="23" t="str">
        <f t="shared" si="99"/>
        <v>BASE RAZEL PREFECTURE - BASE RAZEL PREFECTURE</v>
      </c>
      <c r="I472" s="33" t="str">
        <f>IF(F471='Données Hebdo'!A472, VLOOKUP(Feuil1!A472, 'Données Hebdo'!B:J, 8, FALSE), "")</f>
        <v/>
      </c>
      <c r="J472" s="27" t="str">
        <f t="shared" si="100"/>
        <v>13:37:12 à 13:38:10</v>
      </c>
      <c r="K472" s="27" t="str">
        <f t="shared" si="101"/>
        <v>2016-06-04 13:38:10</v>
      </c>
      <c r="L472" s="27">
        <f t="shared" si="102"/>
        <v>6.7129630042472854E-4</v>
      </c>
      <c r="M472" s="30">
        <f t="shared" si="103"/>
        <v>2.0486111097852699E-3</v>
      </c>
      <c r="N472" s="18" t="str">
        <f t="shared" si="104"/>
        <v>BASE RAZEL PREFECTURE - BASE RAZEL PREFECTURE</v>
      </c>
      <c r="O472" s="18"/>
      <c r="P472" s="18"/>
    </row>
    <row r="473" spans="1:16" ht="27.6">
      <c r="A473" s="43" t="s">
        <v>81</v>
      </c>
      <c r="B473" s="43" t="s">
        <v>197</v>
      </c>
      <c r="C473" s="43" t="s">
        <v>1653</v>
      </c>
      <c r="D473" s="43" t="s">
        <v>1654</v>
      </c>
      <c r="E473" s="27">
        <f t="shared" si="97"/>
        <v>4.386574073578231E-3</v>
      </c>
      <c r="F473" s="18" t="s">
        <v>99</v>
      </c>
      <c r="G473" s="30">
        <f t="shared" si="98"/>
        <v>6.7129630042472854E-4</v>
      </c>
      <c r="H473" s="23" t="str">
        <f t="shared" si="99"/>
        <v>BASE RAZEL PREFECTURE - BASE RAZEL PREFECTURE</v>
      </c>
      <c r="I473" s="33" t="str">
        <f>IF(F472='Données Hebdo'!A473, VLOOKUP(Feuil1!A473, 'Données Hebdo'!B:J, 8, FALSE), "")</f>
        <v/>
      </c>
      <c r="J473" s="27" t="str">
        <f t="shared" si="100"/>
        <v>13:44:29 à 13:46:52</v>
      </c>
      <c r="K473" s="27" t="str">
        <f t="shared" si="101"/>
        <v>2016-06-04 13:46:52</v>
      </c>
      <c r="L473" s="27">
        <f t="shared" si="102"/>
        <v>1.6550925938645378E-3</v>
      </c>
      <c r="M473" s="30">
        <f t="shared" si="103"/>
        <v>4.386574073578231E-3</v>
      </c>
      <c r="N473" s="18" t="str">
        <f t="shared" si="104"/>
        <v>BASE RAZEL PREFECTURE - BASE RAZEL PREFECTURE</v>
      </c>
      <c r="O473" s="18"/>
      <c r="P473" s="18"/>
    </row>
    <row r="474" spans="1:16" ht="27.6">
      <c r="A474" s="43" t="s">
        <v>81</v>
      </c>
      <c r="B474" s="43" t="s">
        <v>197</v>
      </c>
      <c r="C474" s="43" t="s">
        <v>1655</v>
      </c>
      <c r="D474" s="43" t="s">
        <v>1656</v>
      </c>
      <c r="E474" s="27">
        <f t="shared" si="97"/>
        <v>8.5648147796746343E-4</v>
      </c>
      <c r="F474" s="18" t="s">
        <v>99</v>
      </c>
      <c r="G474" s="30">
        <f t="shared" si="98"/>
        <v>1.6550925938645378E-3</v>
      </c>
      <c r="H474" s="23" t="str">
        <f t="shared" si="99"/>
        <v>BASE RAZEL PREFECTURE - BASE RAZEL PREFECTURE</v>
      </c>
      <c r="I474" s="33" t="str">
        <f>IF(F473='Données Hebdo'!A474, VLOOKUP(Feuil1!A474, 'Données Hebdo'!B:J, 8, FALSE), "")</f>
        <v/>
      </c>
      <c r="J474" s="27" t="str">
        <f t="shared" si="100"/>
        <v>13:48:06 à 13:49:53</v>
      </c>
      <c r="K474" s="27" t="str">
        <f t="shared" si="101"/>
        <v>2016-06-04 13:49:53</v>
      </c>
      <c r="L474" s="27">
        <f t="shared" si="102"/>
        <v>1.2384259243845008E-3</v>
      </c>
      <c r="M474" s="30">
        <f t="shared" si="103"/>
        <v>8.5648147796746343E-4</v>
      </c>
      <c r="N474" s="18" t="str">
        <f t="shared" si="104"/>
        <v>BASE RAZEL PREFECTURE - BASE RAZEL PREFECTURE</v>
      </c>
      <c r="O474" s="18"/>
      <c r="P474" s="18"/>
    </row>
    <row r="475" spans="1:16" ht="27.6">
      <c r="A475" s="43" t="s">
        <v>81</v>
      </c>
      <c r="B475" s="43" t="s">
        <v>197</v>
      </c>
      <c r="C475" s="43" t="s">
        <v>1657</v>
      </c>
      <c r="D475" s="43" t="s">
        <v>1658</v>
      </c>
      <c r="E475" s="27">
        <f t="shared" si="97"/>
        <v>1.5625000014551915E-3</v>
      </c>
      <c r="F475" s="18" t="s">
        <v>99</v>
      </c>
      <c r="G475" s="30">
        <f t="shared" si="98"/>
        <v>1.2384259243845008E-3</v>
      </c>
      <c r="H475" s="23" t="str">
        <f t="shared" si="99"/>
        <v>BASE RAZEL PREFECTURE - BASE RAZEL PREFECTURE</v>
      </c>
      <c r="I475" s="33" t="str">
        <f>IF(F474='Données Hebdo'!A475, VLOOKUP(Feuil1!A475, 'Données Hebdo'!B:J, 8, FALSE), "")</f>
        <v/>
      </c>
      <c r="J475" s="27" t="str">
        <f t="shared" si="100"/>
        <v>13:52:08 à 13:53:47</v>
      </c>
      <c r="K475" s="27" t="str">
        <f t="shared" si="101"/>
        <v>2016-06-04 13:53:47</v>
      </c>
      <c r="L475" s="27">
        <f t="shared" si="102"/>
        <v>1.1458333319751546E-3</v>
      </c>
      <c r="M475" s="30">
        <f t="shared" si="103"/>
        <v>1.5625000014551915E-3</v>
      </c>
      <c r="N475" s="18" t="str">
        <f t="shared" si="104"/>
        <v>BASE RAZEL PREFECTURE - BASE RAZEL PREFECTURE</v>
      </c>
      <c r="O475" s="18"/>
      <c r="P475" s="18"/>
    </row>
    <row r="476" spans="1:16" ht="27.6">
      <c r="A476" s="43" t="s">
        <v>81</v>
      </c>
      <c r="B476" s="43" t="s">
        <v>197</v>
      </c>
      <c r="C476" s="43" t="s">
        <v>1659</v>
      </c>
      <c r="D476" s="43" t="s">
        <v>1660</v>
      </c>
      <c r="E476" s="27">
        <f t="shared" si="97"/>
        <v>5.5555555591126904E-3</v>
      </c>
      <c r="F476" s="18" t="s">
        <v>99</v>
      </c>
      <c r="G476" s="30">
        <f t="shared" si="98"/>
        <v>1.1458333319751546E-3</v>
      </c>
      <c r="H476" s="23" t="str">
        <f t="shared" si="99"/>
        <v>BASE RAZEL PREFECTURE - BASE RAZEL PREFECTURE</v>
      </c>
      <c r="I476" s="33" t="str">
        <f>IF(F475='Données Hebdo'!A476, VLOOKUP(Feuil1!A476, 'Données Hebdo'!B:J, 8, FALSE), "")</f>
        <v/>
      </c>
      <c r="J476" s="27" t="str">
        <f t="shared" si="100"/>
        <v>14:01:47 à 14:03:18</v>
      </c>
      <c r="K476" s="27" t="str">
        <f t="shared" si="101"/>
        <v>2016-06-04 14:03:18</v>
      </c>
      <c r="L476" s="27">
        <f t="shared" si="102"/>
        <v>1.0532407395658083E-3</v>
      </c>
      <c r="M476" s="30">
        <f t="shared" si="103"/>
        <v>5.5555555591126904E-3</v>
      </c>
      <c r="N476" s="18" t="str">
        <f t="shared" si="104"/>
        <v>BASE RAZEL PREFECTURE - BASE RAZEL PREFECTURE</v>
      </c>
      <c r="O476" s="18"/>
      <c r="P476" s="18"/>
    </row>
    <row r="477" spans="1:16" ht="27.6">
      <c r="A477" s="43" t="s">
        <v>81</v>
      </c>
      <c r="B477" s="43" t="s">
        <v>197</v>
      </c>
      <c r="C477" s="43" t="s">
        <v>1661</v>
      </c>
      <c r="D477" s="43" t="s">
        <v>1662</v>
      </c>
      <c r="E477" s="27">
        <f t="shared" si="97"/>
        <v>1.2453703704522923E-2</v>
      </c>
      <c r="F477" s="18" t="s">
        <v>99</v>
      </c>
      <c r="G477" s="30">
        <f t="shared" si="98"/>
        <v>1.0532407395658083E-3</v>
      </c>
      <c r="H477" s="23" t="str">
        <f t="shared" si="99"/>
        <v>BASE RAZEL PREFECTURE - BASE RAZEL PREFECTURE</v>
      </c>
      <c r="I477" s="33" t="str">
        <f>IF(F476='Données Hebdo'!A477, VLOOKUP(Feuil1!A477, 'Données Hebdo'!B:J, 8, FALSE), "")</f>
        <v/>
      </c>
      <c r="J477" s="27" t="str">
        <f t="shared" si="100"/>
        <v>14:21:14 à 14:23:27</v>
      </c>
      <c r="K477" s="27" t="str">
        <f t="shared" si="101"/>
        <v>2016-06-04 14:23:27</v>
      </c>
      <c r="L477" s="27">
        <f t="shared" si="102"/>
        <v>1.5393518478958867E-3</v>
      </c>
      <c r="M477" s="30">
        <f t="shared" si="103"/>
        <v>1.2453703704522923E-2</v>
      </c>
      <c r="N477" s="18" t="str">
        <f t="shared" si="104"/>
        <v>BASE RAZEL PREFECTURE - BASE RAZEL PREFECTURE</v>
      </c>
      <c r="O477" s="18"/>
      <c r="P477" s="18"/>
    </row>
    <row r="478" spans="1:16" ht="27.6">
      <c r="A478" s="43" t="s">
        <v>81</v>
      </c>
      <c r="B478" s="43" t="s">
        <v>197</v>
      </c>
      <c r="C478" s="43" t="s">
        <v>1663</v>
      </c>
      <c r="D478" s="43" t="s">
        <v>1664</v>
      </c>
      <c r="E478" s="27">
        <f t="shared" si="97"/>
        <v>3.9849537039117422E-2</v>
      </c>
      <c r="F478" s="18" t="s">
        <v>99</v>
      </c>
      <c r="G478" s="30">
        <f t="shared" si="98"/>
        <v>1.5393518478958867E-3</v>
      </c>
      <c r="H478" s="23" t="str">
        <f t="shared" si="99"/>
        <v>BASE RAZEL PREFECTURE - BASE RAZEL PREFECTURE</v>
      </c>
      <c r="I478" s="33" t="str">
        <f>IF(F477='Données Hebdo'!A478, VLOOKUP(Feuil1!A478, 'Données Hebdo'!B:J, 8, FALSE), "")</f>
        <v/>
      </c>
      <c r="J478" s="27" t="str">
        <f t="shared" si="100"/>
        <v>15:20:50 à 15:22:17</v>
      </c>
      <c r="K478" s="27" t="str">
        <f t="shared" si="101"/>
        <v>2016-06-04 15:22:17</v>
      </c>
      <c r="L478" s="27">
        <f t="shared" si="102"/>
        <v>1.006944446999114E-3</v>
      </c>
      <c r="M478" s="30">
        <f t="shared" si="103"/>
        <v>3.9849537039117422E-2</v>
      </c>
      <c r="N478" s="18" t="str">
        <f t="shared" si="104"/>
        <v>BASE RAZEL PREFECTURE - BASE RAZEL PREFECTURE</v>
      </c>
      <c r="O478" s="18"/>
      <c r="P478" s="18"/>
    </row>
    <row r="479" spans="1:16" ht="27.6">
      <c r="A479" s="43" t="s">
        <v>81</v>
      </c>
      <c r="B479" s="43" t="s">
        <v>197</v>
      </c>
      <c r="C479" s="43" t="s">
        <v>1665</v>
      </c>
      <c r="D479" s="43" t="s">
        <v>1666</v>
      </c>
      <c r="E479" s="27">
        <f t="shared" si="97"/>
        <v>4.2013888887595385E-3</v>
      </c>
      <c r="F479" s="18" t="s">
        <v>99</v>
      </c>
      <c r="G479" s="30">
        <f t="shared" si="98"/>
        <v>1.006944446999114E-3</v>
      </c>
      <c r="H479" s="23" t="str">
        <f t="shared" si="99"/>
        <v>BASE RAZEL PREFECTURE - BASE RAZEL PREFECTURE</v>
      </c>
      <c r="I479" s="33" t="str">
        <f>IF(F478='Données Hebdo'!A479, VLOOKUP(Feuil1!A479, 'Données Hebdo'!B:J, 8, FALSE), "")</f>
        <v/>
      </c>
      <c r="J479" s="27" t="str">
        <f t="shared" si="100"/>
        <v>15:28:20 à 15:29:36</v>
      </c>
      <c r="K479" s="27" t="str">
        <f t="shared" si="101"/>
        <v>2016-06-04 15:29:36</v>
      </c>
      <c r="L479" s="27">
        <f t="shared" si="102"/>
        <v>8.7962963152676821E-4</v>
      </c>
      <c r="M479" s="30">
        <f t="shared" si="103"/>
        <v>4.2013888887595385E-3</v>
      </c>
      <c r="N479" s="18" t="str">
        <f t="shared" si="104"/>
        <v>BASE RAZEL PREFECTURE - BASE RAZEL PREFECTURE</v>
      </c>
      <c r="O479" s="18"/>
      <c r="P479" s="18"/>
    </row>
    <row r="480" spans="1:16" ht="27.6">
      <c r="A480" s="43" t="s">
        <v>81</v>
      </c>
      <c r="B480" s="43" t="s">
        <v>197</v>
      </c>
      <c r="C480" s="43" t="s">
        <v>1667</v>
      </c>
      <c r="D480" s="43" t="s">
        <v>1668</v>
      </c>
      <c r="E480" s="27">
        <f t="shared" si="97"/>
        <v>1.0416666627861559E-3</v>
      </c>
      <c r="F480" s="18" t="s">
        <v>99</v>
      </c>
      <c r="G480" s="30">
        <f t="shared" si="98"/>
        <v>8.7962963152676821E-4</v>
      </c>
      <c r="H480" s="23" t="str">
        <f t="shared" si="99"/>
        <v>BASE RAZEL PREFECTURE - BASE RAZEL PREFECTURE</v>
      </c>
      <c r="I480" s="33" t="str">
        <f>IF(F479='Données Hebdo'!A480, VLOOKUP(Feuil1!A480, 'Données Hebdo'!B:J, 8, FALSE), "")</f>
        <v/>
      </c>
      <c r="J480" s="27" t="str">
        <f t="shared" si="100"/>
        <v>15:31:06 à 15:32:08</v>
      </c>
      <c r="K480" s="27" t="str">
        <f t="shared" si="101"/>
        <v>2016-06-04 15:32:08</v>
      </c>
      <c r="L480" s="27">
        <f t="shared" si="102"/>
        <v>7.1759259299142286E-4</v>
      </c>
      <c r="M480" s="30">
        <f t="shared" si="103"/>
        <v>1.0416666627861559E-3</v>
      </c>
      <c r="N480" s="18" t="str">
        <f t="shared" si="104"/>
        <v>BASE RAZEL PREFECTURE - BASE RAZEL PREFECTURE</v>
      </c>
      <c r="O480" s="18"/>
      <c r="P480" s="18"/>
    </row>
    <row r="481" spans="1:16" ht="27.6">
      <c r="A481" s="43" t="s">
        <v>81</v>
      </c>
      <c r="B481" s="43" t="s">
        <v>197</v>
      </c>
      <c r="C481" s="43" t="s">
        <v>1669</v>
      </c>
      <c r="D481" s="43" t="s">
        <v>1670</v>
      </c>
      <c r="E481" s="27">
        <f t="shared" si="97"/>
        <v>4.8611110833007842E-4</v>
      </c>
      <c r="F481" s="18" t="s">
        <v>99</v>
      </c>
      <c r="G481" s="30">
        <f t="shared" si="98"/>
        <v>7.1759259299142286E-4</v>
      </c>
      <c r="H481" s="23" t="str">
        <f t="shared" si="99"/>
        <v>BASE RAZEL PREFECTURE - BASE RAZEL PREFECTURE</v>
      </c>
      <c r="I481" s="33" t="str">
        <f>IF(F480='Données Hebdo'!A481, VLOOKUP(Feuil1!A481, 'Données Hebdo'!B:J, 8, FALSE), "")</f>
        <v/>
      </c>
      <c r="J481" s="27" t="str">
        <f t="shared" si="100"/>
        <v>15:32:50 à 15:34:50</v>
      </c>
      <c r="K481" s="27" t="str">
        <f t="shared" si="101"/>
        <v>2016-06-04 15:34:50</v>
      </c>
      <c r="L481" s="27">
        <f t="shared" si="102"/>
        <v>1.3888888934161514E-3</v>
      </c>
      <c r="M481" s="30">
        <f t="shared" si="103"/>
        <v>4.8611110833007842E-4</v>
      </c>
      <c r="N481" s="18" t="str">
        <f t="shared" si="104"/>
        <v>BASE RAZEL PREFECTURE - BASE RAZEL PREFECTURE</v>
      </c>
      <c r="O481" s="18"/>
      <c r="P481" s="18"/>
    </row>
    <row r="482" spans="1:16" ht="27.6">
      <c r="A482" s="43" t="s">
        <v>81</v>
      </c>
      <c r="B482" s="43" t="s">
        <v>197</v>
      </c>
      <c r="C482" s="43" t="s">
        <v>1671</v>
      </c>
      <c r="D482" s="43" t="s">
        <v>1672</v>
      </c>
      <c r="E482" s="27">
        <f t="shared" si="97"/>
        <v>6.8287036992842332E-4</v>
      </c>
      <c r="F482" s="18" t="s">
        <v>99</v>
      </c>
      <c r="G482" s="30">
        <f t="shared" si="98"/>
        <v>1.3888888934161514E-3</v>
      </c>
      <c r="H482" s="23" t="str">
        <f t="shared" si="99"/>
        <v>BASE RAZEL PREFECTURE - BASE RAZEL PREFECTURE</v>
      </c>
      <c r="I482" s="33" t="str">
        <f>IF(F481='Données Hebdo'!A482, VLOOKUP(Feuil1!A482, 'Données Hebdo'!B:J, 8, FALSE), "")</f>
        <v/>
      </c>
      <c r="J482" s="27" t="str">
        <f t="shared" si="100"/>
        <v>15:35:49 à 15:36:38</v>
      </c>
      <c r="K482" s="27" t="str">
        <f t="shared" si="101"/>
        <v>2016-06-04 15:36:38</v>
      </c>
      <c r="L482" s="27">
        <f t="shared" si="102"/>
        <v>5.671296312357299E-4</v>
      </c>
      <c r="M482" s="30">
        <f t="shared" si="103"/>
        <v>6.8287036992842332E-4</v>
      </c>
      <c r="N482" s="18" t="str">
        <f t="shared" si="104"/>
        <v>BASE RAZEL PREFECTURE - BASE RAZEL PREFECTURE</v>
      </c>
      <c r="O482" s="18"/>
      <c r="P482" s="18"/>
    </row>
    <row r="483" spans="1:16" ht="27.6">
      <c r="A483" s="43" t="s">
        <v>81</v>
      </c>
      <c r="B483" s="43" t="s">
        <v>197</v>
      </c>
      <c r="C483" s="43" t="s">
        <v>1673</v>
      </c>
      <c r="D483" s="43" t="s">
        <v>1674</v>
      </c>
      <c r="E483" s="27">
        <f t="shared" si="97"/>
        <v>1.1458333319751546E-3</v>
      </c>
      <c r="F483" s="18" t="s">
        <v>99</v>
      </c>
      <c r="G483" s="30">
        <f t="shared" si="98"/>
        <v>5.671296312357299E-4</v>
      </c>
      <c r="H483" s="23" t="str">
        <f t="shared" si="99"/>
        <v>BASE RAZEL PREFECTURE - BASE RAZEL PREFECTURE</v>
      </c>
      <c r="I483" s="33" t="str">
        <f>IF(F482='Données Hebdo'!A483, VLOOKUP(Feuil1!A483, 'Données Hebdo'!B:J, 8, FALSE), "")</f>
        <v/>
      </c>
      <c r="J483" s="27" t="str">
        <f t="shared" si="100"/>
        <v>15:38:17 à 15:39:34</v>
      </c>
      <c r="K483" s="27" t="str">
        <f t="shared" si="101"/>
        <v>2016-06-04 15:39:34</v>
      </c>
      <c r="L483" s="27">
        <f t="shared" si="102"/>
        <v>8.9120370103046298E-4</v>
      </c>
      <c r="M483" s="30">
        <f t="shared" si="103"/>
        <v>1.1458333319751546E-3</v>
      </c>
      <c r="N483" s="18" t="str">
        <f t="shared" si="104"/>
        <v>BASE RAZEL PREFECTURE - BASE RAZEL PREFECTURE</v>
      </c>
      <c r="O483" s="18"/>
      <c r="P483" s="18"/>
    </row>
    <row r="484" spans="1:16" ht="27.6">
      <c r="A484" s="43" t="s">
        <v>81</v>
      </c>
      <c r="B484" s="43" t="s">
        <v>197</v>
      </c>
      <c r="C484" s="43" t="s">
        <v>1675</v>
      </c>
      <c r="D484" s="43" t="s">
        <v>1676</v>
      </c>
      <c r="E484" s="27">
        <f t="shared" si="97"/>
        <v>4.5023148195468821E-3</v>
      </c>
      <c r="F484" s="18" t="s">
        <v>99</v>
      </c>
      <c r="G484" s="30">
        <f t="shared" si="98"/>
        <v>8.9120370103046298E-4</v>
      </c>
      <c r="H484" s="23" t="str">
        <f t="shared" si="99"/>
        <v>BASE RAZEL PREFECTURE - BASE RAZEL PREFECTURE</v>
      </c>
      <c r="I484" s="33" t="str">
        <f>IF(F483='Données Hebdo'!A484, VLOOKUP(Feuil1!A484, 'Données Hebdo'!B:J, 8, FALSE), "")</f>
        <v/>
      </c>
      <c r="J484" s="27" t="str">
        <f t="shared" si="100"/>
        <v>15:46:03 à 15:46:59</v>
      </c>
      <c r="K484" s="27" t="str">
        <f t="shared" si="101"/>
        <v>2016-06-04 15:46:59</v>
      </c>
      <c r="L484" s="27">
        <f t="shared" si="102"/>
        <v>6.4814814686542377E-4</v>
      </c>
      <c r="M484" s="30">
        <f t="shared" si="103"/>
        <v>4.5023148195468821E-3</v>
      </c>
      <c r="N484" s="18" t="str">
        <f t="shared" si="104"/>
        <v>BASE RAZEL PREFECTURE - BASE RAZEL PREFECTURE</v>
      </c>
      <c r="O484" s="18"/>
      <c r="P484" s="18"/>
    </row>
    <row r="485" spans="1:16" ht="27.6">
      <c r="A485" s="43" t="s">
        <v>81</v>
      </c>
      <c r="B485" s="43" t="s">
        <v>197</v>
      </c>
      <c r="C485" s="43" t="s">
        <v>1677</v>
      </c>
      <c r="D485" s="43" t="s">
        <v>1678</v>
      </c>
      <c r="E485" s="27">
        <f t="shared" si="97"/>
        <v>2.2673611107165925E-2</v>
      </c>
      <c r="F485" s="18" t="s">
        <v>99</v>
      </c>
      <c r="G485" s="30">
        <f t="shared" si="98"/>
        <v>6.4814814686542377E-4</v>
      </c>
      <c r="H485" s="23" t="str">
        <f t="shared" si="99"/>
        <v>BASE RAZEL PREFECTURE - BASE RAZEL PREFECTURE</v>
      </c>
      <c r="I485" s="33" t="str">
        <f>IF(F484='Données Hebdo'!A485, VLOOKUP(Feuil1!A485, 'Données Hebdo'!B:J, 8, FALSE), "")</f>
        <v/>
      </c>
      <c r="J485" s="27" t="str">
        <f t="shared" si="100"/>
        <v>16:19:38 à 16:20:17</v>
      </c>
      <c r="K485" s="27" t="str">
        <f t="shared" si="101"/>
        <v>2016-06-04 16:20:17</v>
      </c>
      <c r="L485" s="27">
        <f t="shared" si="102"/>
        <v>4.5138889254303649E-4</v>
      </c>
      <c r="M485" s="30">
        <f t="shared" si="103"/>
        <v>2.2673611107165925E-2</v>
      </c>
      <c r="N485" s="18" t="str">
        <f t="shared" si="104"/>
        <v>BASE RAZEL PREFECTURE - BASE RAZEL PREFECTURE</v>
      </c>
      <c r="O485" s="18"/>
      <c r="P485" s="18"/>
    </row>
    <row r="486" spans="1:16" ht="27.6">
      <c r="A486" s="43" t="s">
        <v>81</v>
      </c>
      <c r="B486" s="43" t="s">
        <v>197</v>
      </c>
      <c r="C486" s="43" t="s">
        <v>1679</v>
      </c>
      <c r="D486" s="43" t="s">
        <v>1680</v>
      </c>
      <c r="E486" s="27">
        <f t="shared" si="97"/>
        <v>3.819444464170374E-4</v>
      </c>
      <c r="F486" s="18" t="s">
        <v>99</v>
      </c>
      <c r="G486" s="30">
        <f t="shared" si="98"/>
        <v>4.5138889254303649E-4</v>
      </c>
      <c r="H486" s="23" t="str">
        <f t="shared" si="99"/>
        <v>BASE RAZEL PREFECTURE - BASE RAZEL PREFECTURE</v>
      </c>
      <c r="I486" s="33" t="str">
        <f>IF(F485='Données Hebdo'!A486, VLOOKUP(Feuil1!A486, 'Données Hebdo'!B:J, 8, FALSE), "")</f>
        <v/>
      </c>
      <c r="J486" s="27" t="str">
        <f t="shared" si="100"/>
        <v>16:20:50 à 16:21:20</v>
      </c>
      <c r="K486" s="27" t="str">
        <f t="shared" si="101"/>
        <v>2016-06-04 16:21:20</v>
      </c>
      <c r="L486" s="27">
        <f t="shared" si="102"/>
        <v>3.4722221607808024E-4</v>
      </c>
      <c r="M486" s="30">
        <f t="shared" si="103"/>
        <v>3.819444464170374E-4</v>
      </c>
      <c r="N486" s="18" t="str">
        <f t="shared" si="104"/>
        <v>BASE RAZEL PREFECTURE - BASE RAZEL PREFECTURE</v>
      </c>
      <c r="O486" s="18"/>
      <c r="P486" s="18"/>
    </row>
    <row r="487" spans="1:16" ht="27.6">
      <c r="A487" s="43" t="s">
        <v>81</v>
      </c>
      <c r="B487" s="43" t="s">
        <v>197</v>
      </c>
      <c r="C487" s="43" t="s">
        <v>1681</v>
      </c>
      <c r="D487" s="43" t="s">
        <v>1682</v>
      </c>
      <c r="E487" s="27">
        <f t="shared" si="97"/>
        <v>2.1875000020372681E-3</v>
      </c>
      <c r="F487" s="18" t="s">
        <v>99</v>
      </c>
      <c r="G487" s="30">
        <f t="shared" si="98"/>
        <v>3.4722221607808024E-4</v>
      </c>
      <c r="H487" s="23" t="str">
        <f t="shared" si="99"/>
        <v>BASE RAZEL PREFECTURE - BASE RAZEL PREFECTURE</v>
      </c>
      <c r="I487" s="33" t="str">
        <f>IF(F486='Données Hebdo'!A487, VLOOKUP(Feuil1!A487, 'Données Hebdo'!B:J, 8, FALSE), "")</f>
        <v/>
      </c>
      <c r="J487" s="27" t="str">
        <f t="shared" si="100"/>
        <v>16:24:29 à 16:26:33</v>
      </c>
      <c r="K487" s="27" t="str">
        <f t="shared" si="101"/>
        <v>2016-06-04 16:26:33</v>
      </c>
      <c r="L487" s="27">
        <f t="shared" si="102"/>
        <v>1.4351851859828457E-3</v>
      </c>
      <c r="M487" s="30">
        <f t="shared" si="103"/>
        <v>2.1875000020372681E-3</v>
      </c>
      <c r="N487" s="18" t="str">
        <f t="shared" si="104"/>
        <v>BASE RAZEL PREFECTURE - BASE RAZEL PREFECTURE</v>
      </c>
      <c r="O487" s="18"/>
      <c r="P487" s="18"/>
    </row>
    <row r="488" spans="1:16" ht="27.6">
      <c r="A488" s="43" t="s">
        <v>81</v>
      </c>
      <c r="B488" s="43" t="s">
        <v>197</v>
      </c>
      <c r="C488" s="43" t="s">
        <v>1683</v>
      </c>
      <c r="D488" s="43" t="s">
        <v>1684</v>
      </c>
      <c r="E488" s="27">
        <f t="shared" si="97"/>
        <v>1.9097222218988463E-2</v>
      </c>
      <c r="F488" s="18" t="s">
        <v>99</v>
      </c>
      <c r="G488" s="30">
        <f t="shared" si="98"/>
        <v>1.4351851859828457E-3</v>
      </c>
      <c r="H488" s="23" t="str">
        <f t="shared" si="99"/>
        <v>BASE RAZEL PREFECTURE - BASE RAZEL PREFECTURE</v>
      </c>
      <c r="I488" s="33" t="str">
        <f>IF(F487='Données Hebdo'!A488, VLOOKUP(Feuil1!A488, 'Données Hebdo'!B:J, 8, FALSE), "")</f>
        <v/>
      </c>
      <c r="J488" s="27" t="str">
        <f t="shared" si="100"/>
        <v>16:54:03 à 16:54:55</v>
      </c>
      <c r="K488" s="27" t="str">
        <f t="shared" si="101"/>
        <v>2016-06-04 16:54:55</v>
      </c>
      <c r="L488" s="27">
        <f t="shared" si="102"/>
        <v>6.0185185429872945E-4</v>
      </c>
      <c r="M488" s="30">
        <f t="shared" si="103"/>
        <v>1.9097222218988463E-2</v>
      </c>
      <c r="N488" s="18" t="str">
        <f t="shared" si="104"/>
        <v>BASE RAZEL PREFECTURE - BASE RAZEL PREFECTURE</v>
      </c>
      <c r="O488" s="18"/>
      <c r="P488" s="18"/>
    </row>
    <row r="489" spans="1:16" ht="27.6">
      <c r="A489" s="43" t="s">
        <v>81</v>
      </c>
      <c r="B489" s="43" t="s">
        <v>197</v>
      </c>
      <c r="C489" s="43" t="s">
        <v>1685</v>
      </c>
      <c r="D489" s="43" t="s">
        <v>1686</v>
      </c>
      <c r="E489" s="27">
        <f t="shared" si="97"/>
        <v>7.3379629611736163E-3</v>
      </c>
      <c r="F489" s="18" t="s">
        <v>99</v>
      </c>
      <c r="G489" s="30">
        <f t="shared" si="98"/>
        <v>6.0185185429872945E-4</v>
      </c>
      <c r="H489" s="23" t="str">
        <f t="shared" si="99"/>
        <v>BASE RAZEL PREFECTURE - BASE RAZEL PREFECTURE</v>
      </c>
      <c r="I489" s="33" t="str">
        <f>IF(F488='Données Hebdo'!A489, VLOOKUP(Feuil1!A489, 'Données Hebdo'!B:J, 8, FALSE), "")</f>
        <v/>
      </c>
      <c r="J489" s="27" t="str">
        <f t="shared" si="100"/>
        <v>17:05:29 à 17:06:49</v>
      </c>
      <c r="K489" s="27" t="str">
        <f t="shared" si="101"/>
        <v>2016-06-04 17:06:49</v>
      </c>
      <c r="L489" s="27">
        <f t="shared" si="102"/>
        <v>9.2592593136942014E-4</v>
      </c>
      <c r="M489" s="30">
        <f t="shared" si="103"/>
        <v>7.3379629611736163E-3</v>
      </c>
      <c r="N489" s="18" t="str">
        <f t="shared" si="104"/>
        <v>BASE RAZEL PREFECTURE - BASE RAZEL PREFECTURE</v>
      </c>
      <c r="O489" s="18"/>
      <c r="P489" s="18"/>
    </row>
    <row r="490" spans="1:16" ht="27.6">
      <c r="A490" s="43" t="s">
        <v>81</v>
      </c>
      <c r="B490" s="43" t="s">
        <v>197</v>
      </c>
      <c r="C490" s="43" t="s">
        <v>1687</v>
      </c>
      <c r="D490" s="43" t="s">
        <v>1688</v>
      </c>
      <c r="E490" s="27">
        <f t="shared" si="97"/>
        <v>1.0532407395658083E-3</v>
      </c>
      <c r="F490" s="18" t="s">
        <v>99</v>
      </c>
      <c r="G490" s="30">
        <f t="shared" si="98"/>
        <v>9.2592593136942014E-4</v>
      </c>
      <c r="H490" s="23" t="str">
        <f t="shared" si="99"/>
        <v>BASE RAZEL PREFECTURE - BASE RAZEL PREFECTURE</v>
      </c>
      <c r="I490" s="33" t="str">
        <f>IF(F489='Données Hebdo'!A490, VLOOKUP(Feuil1!A490, 'Données Hebdo'!B:J, 8, FALSE), "")</f>
        <v/>
      </c>
      <c r="J490" s="27" t="str">
        <f t="shared" si="100"/>
        <v>17:08:20 à 17:09:58</v>
      </c>
      <c r="K490" s="27" t="str">
        <f t="shared" si="101"/>
        <v>2016-06-04 17:09:58</v>
      </c>
      <c r="L490" s="27">
        <f t="shared" si="102"/>
        <v>1.1342592551955022E-3</v>
      </c>
      <c r="M490" s="30">
        <f t="shared" si="103"/>
        <v>1.0532407395658083E-3</v>
      </c>
      <c r="N490" s="18" t="str">
        <f t="shared" si="104"/>
        <v>BASE RAZEL PREFECTURE - BASE RAZEL PREFECTURE</v>
      </c>
      <c r="O490" s="18"/>
      <c r="P490" s="18"/>
    </row>
    <row r="491" spans="1:16" ht="27.6">
      <c r="A491" s="43" t="s">
        <v>81</v>
      </c>
      <c r="B491" s="43" t="s">
        <v>197</v>
      </c>
      <c r="C491" s="43" t="s">
        <v>1689</v>
      </c>
      <c r="D491" s="43" t="s">
        <v>1690</v>
      </c>
      <c r="E491" s="27">
        <f t="shared" si="97"/>
        <v>1.006944446999114E-3</v>
      </c>
      <c r="F491" s="18" t="s">
        <v>99</v>
      </c>
      <c r="G491" s="30">
        <f t="shared" si="98"/>
        <v>1.1342592551955022E-3</v>
      </c>
      <c r="H491" s="23" t="str">
        <f t="shared" si="99"/>
        <v>BASE RAZEL PREFECTURE - BASE RAZEL PREFECTURE</v>
      </c>
      <c r="I491" s="33" t="str">
        <f>IF(F490='Données Hebdo'!A491, VLOOKUP(Feuil1!A491, 'Données Hebdo'!B:J, 8, FALSE), "")</f>
        <v/>
      </c>
      <c r="J491" s="27" t="str">
        <f t="shared" si="100"/>
        <v>17:11:25 à 17:13:28</v>
      </c>
      <c r="K491" s="27" t="str">
        <f t="shared" si="101"/>
        <v>2016-06-04 17:13:28</v>
      </c>
      <c r="L491" s="27">
        <f t="shared" si="102"/>
        <v>1.4236111092031933E-3</v>
      </c>
      <c r="M491" s="30">
        <f t="shared" si="103"/>
        <v>1.006944446999114E-3</v>
      </c>
      <c r="N491" s="18" t="str">
        <f t="shared" si="104"/>
        <v>BASE RAZEL PREFECTURE - BASE RAZEL PREFECTURE</v>
      </c>
      <c r="O491" s="18"/>
      <c r="P491" s="18"/>
    </row>
    <row r="492" spans="1:16" ht="27.6">
      <c r="A492" s="43" t="s">
        <v>81</v>
      </c>
      <c r="B492" s="43" t="s">
        <v>197</v>
      </c>
      <c r="C492" s="43" t="s">
        <v>1691</v>
      </c>
      <c r="D492" s="43" t="s">
        <v>1692</v>
      </c>
      <c r="E492" s="27">
        <f t="shared" si="97"/>
        <v>3.125000002910383E-4</v>
      </c>
      <c r="F492" s="18" t="s">
        <v>99</v>
      </c>
      <c r="G492" s="30">
        <f t="shared" si="98"/>
        <v>1.4236111092031933E-3</v>
      </c>
      <c r="H492" s="23" t="str">
        <f t="shared" si="99"/>
        <v>BASE RAZEL PREFECTURE - BASE RAZEL PREFECTURE</v>
      </c>
      <c r="I492" s="33" t="str">
        <f>IF(F491='Données Hebdo'!A492, VLOOKUP(Feuil1!A492, 'Données Hebdo'!B:J, 8, FALSE), "")</f>
        <v/>
      </c>
      <c r="J492" s="27" t="str">
        <f t="shared" si="100"/>
        <v>17:13:55 à 17:15:49</v>
      </c>
      <c r="K492" s="27" t="str">
        <f t="shared" si="101"/>
        <v>2016-06-04 17:15:49</v>
      </c>
      <c r="L492" s="27">
        <f t="shared" si="102"/>
        <v>1.3194444472901523E-3</v>
      </c>
      <c r="M492" s="30">
        <f t="shared" si="103"/>
        <v>3.125000002910383E-4</v>
      </c>
      <c r="N492" s="18" t="str">
        <f t="shared" si="104"/>
        <v>BASE RAZEL PREFECTURE - BASE RAZEL PREFECTURE</v>
      </c>
      <c r="O492" s="18"/>
      <c r="P492" s="18"/>
    </row>
    <row r="493" spans="1:16" ht="27.6">
      <c r="A493" s="43" t="s">
        <v>81</v>
      </c>
      <c r="B493" s="43" t="s">
        <v>197</v>
      </c>
      <c r="C493" s="43" t="s">
        <v>1693</v>
      </c>
      <c r="D493" s="43" t="s">
        <v>1694</v>
      </c>
      <c r="E493" s="27">
        <f t="shared" si="97"/>
        <v>5.1157407360733487E-3</v>
      </c>
      <c r="F493" s="18" t="s">
        <v>99</v>
      </c>
      <c r="G493" s="30">
        <f t="shared" si="98"/>
        <v>1.3194444472901523E-3</v>
      </c>
      <c r="H493" s="23" t="str">
        <f t="shared" si="99"/>
        <v>BASE RAZEL PREFECTURE - BASE RAZEL PREFECTURE</v>
      </c>
      <c r="I493" s="33" t="str">
        <f>IF(F492='Données Hebdo'!A493, VLOOKUP(Feuil1!A493, 'Données Hebdo'!B:J, 8, FALSE), "")</f>
        <v/>
      </c>
      <c r="J493" s="27" t="str">
        <f t="shared" si="100"/>
        <v>17:23:11 à 17:23:55</v>
      </c>
      <c r="K493" s="27" t="str">
        <f t="shared" si="101"/>
        <v>2016-06-04 17:23:55</v>
      </c>
      <c r="L493" s="27">
        <f t="shared" si="102"/>
        <v>5.092592618893832E-4</v>
      </c>
      <c r="M493" s="30">
        <f t="shared" si="103"/>
        <v>5.1157407360733487E-3</v>
      </c>
      <c r="N493" s="18" t="str">
        <f t="shared" si="104"/>
        <v>BASE RAZEL PREFECTURE - BASE RAZEL PREFECTURE</v>
      </c>
      <c r="O493" s="18"/>
      <c r="P493" s="18"/>
    </row>
    <row r="494" spans="1:16" ht="27.6">
      <c r="A494" s="43" t="s">
        <v>81</v>
      </c>
      <c r="B494" s="43" t="s">
        <v>197</v>
      </c>
      <c r="C494" s="43" t="s">
        <v>1695</v>
      </c>
      <c r="D494" s="43" t="s">
        <v>1696</v>
      </c>
      <c r="E494" s="27">
        <f t="shared" si="97"/>
        <v>7.638888928340748E-4</v>
      </c>
      <c r="F494" s="18" t="s">
        <v>99</v>
      </c>
      <c r="G494" s="30">
        <f t="shared" si="98"/>
        <v>5.092592618893832E-4</v>
      </c>
      <c r="H494" s="23" t="str">
        <f t="shared" si="99"/>
        <v>BASE RAZEL PREFECTURE - BASE RAZEL PREFECTURE</v>
      </c>
      <c r="I494" s="33" t="str">
        <f>IF(F493='Données Hebdo'!A494, VLOOKUP(Feuil1!A494, 'Données Hebdo'!B:J, 8, FALSE), "")</f>
        <v/>
      </c>
      <c r="J494" s="27" t="str">
        <f t="shared" si="100"/>
        <v>17:25:01 à 17:25:29</v>
      </c>
      <c r="K494" s="27" t="str">
        <f t="shared" si="101"/>
        <v>2016-06-04 17:25:29</v>
      </c>
      <c r="L494" s="27">
        <f t="shared" si="102"/>
        <v>3.2407406979473308E-4</v>
      </c>
      <c r="M494" s="30">
        <f t="shared" si="103"/>
        <v>7.638888928340748E-4</v>
      </c>
      <c r="N494" s="18" t="str">
        <f t="shared" si="104"/>
        <v>BASE RAZEL PREFECTURE - BASE RAZEL PREFECTURE</v>
      </c>
      <c r="O494" s="18"/>
      <c r="P494" s="18"/>
    </row>
    <row r="495" spans="1:16" ht="27.6">
      <c r="A495" s="43" t="s">
        <v>81</v>
      </c>
      <c r="B495" s="43" t="s">
        <v>197</v>
      </c>
      <c r="C495" s="43" t="s">
        <v>1697</v>
      </c>
      <c r="D495" s="43" t="s">
        <v>1698</v>
      </c>
      <c r="E495" s="27">
        <f t="shared" si="97"/>
        <v>6.0185185429872945E-4</v>
      </c>
      <c r="F495" s="18" t="s">
        <v>99</v>
      </c>
      <c r="G495" s="30">
        <f t="shared" si="98"/>
        <v>3.2407406979473308E-4</v>
      </c>
      <c r="H495" s="23" t="str">
        <f t="shared" si="99"/>
        <v>BASE RAZEL PREFECTURE - BASE RAZEL PREFECTURE</v>
      </c>
      <c r="I495" s="33" t="str">
        <f>IF(F494='Données Hebdo'!A495, VLOOKUP(Feuil1!A495, 'Données Hebdo'!B:J, 8, FALSE), "")</f>
        <v/>
      </c>
      <c r="J495" s="27" t="str">
        <f t="shared" si="100"/>
        <v>17:26:21 à 17:28:12</v>
      </c>
      <c r="K495" s="27" t="str">
        <f t="shared" si="101"/>
        <v>2016-06-04 17:28:12</v>
      </c>
      <c r="L495" s="27">
        <f t="shared" si="102"/>
        <v>1.2847222169511952E-3</v>
      </c>
      <c r="M495" s="30">
        <f t="shared" si="103"/>
        <v>6.0185185429872945E-4</v>
      </c>
      <c r="N495" s="18" t="str">
        <f t="shared" si="104"/>
        <v>BASE RAZEL PREFECTURE - BASE RAZEL PREFECTURE</v>
      </c>
      <c r="O495" s="18"/>
      <c r="P495" s="18"/>
    </row>
    <row r="496" spans="1:16" ht="27.6">
      <c r="A496" s="43" t="s">
        <v>81</v>
      </c>
      <c r="B496" s="43" t="s">
        <v>197</v>
      </c>
      <c r="C496" s="43" t="s">
        <v>1699</v>
      </c>
      <c r="D496" s="43" t="s">
        <v>1700</v>
      </c>
      <c r="E496" s="27">
        <f t="shared" si="97"/>
        <v>7.7546296961372718E-4</v>
      </c>
      <c r="F496" s="18" t="s">
        <v>99</v>
      </c>
      <c r="G496" s="30">
        <f t="shared" si="98"/>
        <v>1.2847222169511952E-3</v>
      </c>
      <c r="H496" s="23" t="str">
        <f t="shared" si="99"/>
        <v>BASE RAZEL PREFECTURE - BASE RAZEL PREFECTURE</v>
      </c>
      <c r="I496" s="33" t="str">
        <f>IF(F495='Données Hebdo'!A496, VLOOKUP(Feuil1!A496, 'Données Hebdo'!B:J, 8, FALSE), "")</f>
        <v/>
      </c>
      <c r="J496" s="27" t="str">
        <f t="shared" si="100"/>
        <v>17:29:19 à 17:30:14</v>
      </c>
      <c r="K496" s="27" t="str">
        <f t="shared" si="101"/>
        <v>2016-06-04 17:30:14</v>
      </c>
      <c r="L496" s="27">
        <f t="shared" si="102"/>
        <v>6.3657407008577138E-4</v>
      </c>
      <c r="M496" s="30">
        <f t="shared" si="103"/>
        <v>7.7546296961372718E-4</v>
      </c>
      <c r="N496" s="18" t="str">
        <f t="shared" si="104"/>
        <v>BASE RAZEL PREFECTURE - BASE RAZEL PREFECTURE</v>
      </c>
      <c r="O496" s="18"/>
      <c r="P496" s="18"/>
    </row>
    <row r="497" spans="1:16" ht="27.6">
      <c r="A497" s="43" t="s">
        <v>81</v>
      </c>
      <c r="B497" s="43" t="s">
        <v>197</v>
      </c>
      <c r="C497" s="43" t="s">
        <v>1701</v>
      </c>
      <c r="D497" s="43" t="s">
        <v>1702</v>
      </c>
      <c r="E497" s="27">
        <f t="shared" si="97"/>
        <v>8.217592621804215E-4</v>
      </c>
      <c r="F497" s="18" t="s">
        <v>99</v>
      </c>
      <c r="G497" s="30">
        <f t="shared" si="98"/>
        <v>6.3657407008577138E-4</v>
      </c>
      <c r="H497" s="23" t="str">
        <f t="shared" si="99"/>
        <v>BASE RAZEL PREFECTURE - BASE RAZEL PREFECTURE</v>
      </c>
      <c r="I497" s="33" t="str">
        <f>IF(F496='Données Hebdo'!A497, VLOOKUP(Feuil1!A497, 'Données Hebdo'!B:J, 8, FALSE), "")</f>
        <v/>
      </c>
      <c r="J497" s="27" t="str">
        <f t="shared" si="100"/>
        <v>17:31:25 à 17:32:40</v>
      </c>
      <c r="K497" s="27" t="str">
        <f t="shared" si="101"/>
        <v>2016-06-04 17:32:40</v>
      </c>
      <c r="L497" s="27">
        <f t="shared" si="102"/>
        <v>8.6805555474711582E-4</v>
      </c>
      <c r="M497" s="30">
        <f t="shared" si="103"/>
        <v>8.217592621804215E-4</v>
      </c>
      <c r="N497" s="18" t="str">
        <f t="shared" si="104"/>
        <v>BASE RAZEL PREFECTURE - BASE RAZEL PREFECTURE</v>
      </c>
      <c r="O497" s="18"/>
      <c r="P497" s="18"/>
    </row>
    <row r="498" spans="1:16" ht="27.6">
      <c r="A498" s="43" t="s">
        <v>81</v>
      </c>
      <c r="B498" s="43" t="s">
        <v>197</v>
      </c>
      <c r="C498" s="43" t="s">
        <v>1703</v>
      </c>
      <c r="D498" s="43" t="s">
        <v>1704</v>
      </c>
      <c r="E498" s="27">
        <f t="shared" si="97"/>
        <v>5.5555555445607752E-4</v>
      </c>
      <c r="F498" s="18" t="s">
        <v>99</v>
      </c>
      <c r="G498" s="30">
        <f t="shared" si="98"/>
        <v>8.6805555474711582E-4</v>
      </c>
      <c r="H498" s="23" t="str">
        <f t="shared" si="99"/>
        <v>BASE RAZEL PREFECTURE - BASE RAZEL PREFECTURE</v>
      </c>
      <c r="I498" s="33" t="str">
        <f>IF(F497='Données Hebdo'!A498, VLOOKUP(Feuil1!A498, 'Données Hebdo'!B:J, 8, FALSE), "")</f>
        <v/>
      </c>
      <c r="J498" s="27" t="str">
        <f t="shared" si="100"/>
        <v>17:33:28 à 17:37:11</v>
      </c>
      <c r="K498" s="27" t="str">
        <f t="shared" si="101"/>
        <v>2016-06-04 17:37:11</v>
      </c>
      <c r="L498" s="27">
        <f t="shared" si="102"/>
        <v>2.5810185179580003E-3</v>
      </c>
      <c r="M498" s="30">
        <f t="shared" si="103"/>
        <v>5.5555555445607752E-4</v>
      </c>
      <c r="N498" s="18" t="str">
        <f t="shared" si="104"/>
        <v>BASE RAZEL PREFECTURE - BASE RAZEL PREFECTURE</v>
      </c>
      <c r="O498" s="18"/>
      <c r="P498" s="18"/>
    </row>
    <row r="499" spans="1:16" ht="27.6">
      <c r="A499" s="43" t="s">
        <v>81</v>
      </c>
      <c r="B499" s="43" t="s">
        <v>197</v>
      </c>
      <c r="C499" s="43" t="s">
        <v>1705</v>
      </c>
      <c r="D499" s="43" t="s">
        <v>1706</v>
      </c>
      <c r="E499" s="27">
        <f t="shared" si="97"/>
        <v>9.7222222393611446E-4</v>
      </c>
      <c r="F499" s="18" t="s">
        <v>99</v>
      </c>
      <c r="G499" s="30">
        <f t="shared" si="98"/>
        <v>2.5810185179580003E-3</v>
      </c>
      <c r="H499" s="23" t="str">
        <f t="shared" si="99"/>
        <v>BASE RAZEL PREFECTURE - BASE RAZEL PREFECTURE</v>
      </c>
      <c r="I499" s="33" t="str">
        <f>IF(F498='Données Hebdo'!A499, VLOOKUP(Feuil1!A499, 'Données Hebdo'!B:J, 8, FALSE), "")</f>
        <v/>
      </c>
      <c r="J499" s="27" t="str">
        <f t="shared" si="100"/>
        <v>17:38:35 à 17:40:46</v>
      </c>
      <c r="K499" s="27" t="str">
        <f t="shared" si="101"/>
        <v>2016-06-04 17:40:46</v>
      </c>
      <c r="L499" s="27">
        <f t="shared" si="102"/>
        <v>1.5162037016125396E-3</v>
      </c>
      <c r="M499" s="30">
        <f t="shared" si="103"/>
        <v>9.7222222393611446E-4</v>
      </c>
      <c r="N499" s="18" t="str">
        <f t="shared" si="104"/>
        <v>BASE RAZEL PREFECTURE - BASE RAZEL PREFECTURE</v>
      </c>
      <c r="O499" s="18"/>
      <c r="P499" s="18"/>
    </row>
    <row r="500" spans="1:16" ht="27.6">
      <c r="A500" s="43" t="s">
        <v>81</v>
      </c>
      <c r="B500" s="43" t="s">
        <v>197</v>
      </c>
      <c r="C500" s="43" t="s">
        <v>1707</v>
      </c>
      <c r="D500" s="43" t="s">
        <v>1708</v>
      </c>
      <c r="E500" s="27">
        <f t="shared" si="97"/>
        <v>4.4675925964838825E-3</v>
      </c>
      <c r="F500" s="18" t="s">
        <v>99</v>
      </c>
      <c r="G500" s="30">
        <f t="shared" si="98"/>
        <v>1.5162037016125396E-3</v>
      </c>
      <c r="H500" s="23" t="str">
        <f t="shared" si="99"/>
        <v>BASE RAZEL PREFECTURE - BASE RAZEL PREFECTURE</v>
      </c>
      <c r="I500" s="33" t="str">
        <f>IF(F499='Données Hebdo'!A500, VLOOKUP(Feuil1!A500, 'Données Hebdo'!B:J, 8, FALSE), "")</f>
        <v/>
      </c>
      <c r="J500" s="27" t="str">
        <f t="shared" si="100"/>
        <v>17:47:12 à 17:47:58</v>
      </c>
      <c r="K500" s="27" t="str">
        <f t="shared" si="101"/>
        <v>2016-06-04 17:47:58</v>
      </c>
      <c r="L500" s="27">
        <f t="shared" si="102"/>
        <v>5.3240740089677274E-4</v>
      </c>
      <c r="M500" s="30">
        <f t="shared" si="103"/>
        <v>4.4675925964838825E-3</v>
      </c>
      <c r="N500" s="18" t="str">
        <f t="shared" si="104"/>
        <v>BASE RAZEL PREFECTURE - BASE RAZEL PREFECTURE</v>
      </c>
      <c r="O500" s="18"/>
      <c r="P500" s="18"/>
    </row>
    <row r="501" spans="1:16" ht="27.6">
      <c r="A501" s="43" t="s">
        <v>81</v>
      </c>
      <c r="B501" s="43" t="s">
        <v>197</v>
      </c>
      <c r="C501" s="43" t="s">
        <v>1709</v>
      </c>
      <c r="D501" s="43" t="s">
        <v>1710</v>
      </c>
      <c r="E501" s="27">
        <f t="shared" si="97"/>
        <v>8.9120370394084603E-3</v>
      </c>
      <c r="F501" s="18" t="s">
        <v>99</v>
      </c>
      <c r="G501" s="30">
        <f t="shared" si="98"/>
        <v>5.3240740089677274E-4</v>
      </c>
      <c r="H501" s="23" t="str">
        <f t="shared" si="99"/>
        <v>BASE RAZEL PREFECTURE - BASE RAZEL PREFECTURE</v>
      </c>
      <c r="I501" s="33" t="str">
        <f>IF(F500='Données Hebdo'!A501, VLOOKUP(Feuil1!A501, 'Données Hebdo'!B:J, 8, FALSE), "")</f>
        <v/>
      </c>
      <c r="J501" s="27" t="str">
        <f t="shared" si="100"/>
        <v>18:00:48 à 18:03:15</v>
      </c>
      <c r="K501" s="27" t="str">
        <f t="shared" si="101"/>
        <v>2016-06-04 18:03:15</v>
      </c>
      <c r="L501" s="27">
        <f t="shared" si="102"/>
        <v>1.7013888864312321E-3</v>
      </c>
      <c r="M501" s="30">
        <f t="shared" si="103"/>
        <v>8.9120370394084603E-3</v>
      </c>
      <c r="N501" s="18" t="str">
        <f t="shared" si="104"/>
        <v>BASE RAZEL PREFECTURE - BASE RAZEL PREFECTURE</v>
      </c>
      <c r="O501" s="18"/>
      <c r="P501" s="18"/>
    </row>
    <row r="502" spans="1:16" ht="27.6">
      <c r="A502" s="43" t="s">
        <v>81</v>
      </c>
      <c r="B502" s="43" t="s">
        <v>197</v>
      </c>
      <c r="C502" s="43" t="s">
        <v>1711</v>
      </c>
      <c r="D502" s="43" t="s">
        <v>1712</v>
      </c>
      <c r="E502" s="27">
        <f t="shared" si="97"/>
        <v>1.5856481550144963E-3</v>
      </c>
      <c r="F502" s="18" t="s">
        <v>99</v>
      </c>
      <c r="G502" s="30">
        <f t="shared" si="98"/>
        <v>1.7013888864312321E-3</v>
      </c>
      <c r="H502" s="23" t="str">
        <f t="shared" si="99"/>
        <v>BASE RAZEL PREFECTURE - BASE RAZEL PREFECTURE</v>
      </c>
      <c r="I502" s="33" t="str">
        <f>IF(F501='Données Hebdo'!A502, VLOOKUP(Feuil1!A502, 'Données Hebdo'!B:J, 8, FALSE), "")</f>
        <v/>
      </c>
      <c r="J502" s="27" t="str">
        <f t="shared" si="100"/>
        <v>18:05:32 à 18:07:36</v>
      </c>
      <c r="K502" s="27" t="str">
        <f t="shared" si="101"/>
        <v>2016-06-04 18:07:36</v>
      </c>
      <c r="L502" s="27">
        <f t="shared" si="102"/>
        <v>1.4351851787068881E-3</v>
      </c>
      <c r="M502" s="30">
        <f t="shared" si="103"/>
        <v>1.5856481550144963E-3</v>
      </c>
      <c r="N502" s="18" t="str">
        <f t="shared" si="104"/>
        <v>BASE RAZEL PREFECTURE - BASE RAZEL PREFECTURE</v>
      </c>
      <c r="O502" s="18"/>
      <c r="P502" s="18"/>
    </row>
    <row r="503" spans="1:16" ht="27.6">
      <c r="A503" s="43" t="s">
        <v>81</v>
      </c>
      <c r="B503" s="43" t="s">
        <v>197</v>
      </c>
      <c r="C503" s="43" t="s">
        <v>1713</v>
      </c>
      <c r="D503" s="43" t="s">
        <v>1714</v>
      </c>
      <c r="E503" s="27">
        <f t="shared" si="97"/>
        <v>1.3657407471328042E-3</v>
      </c>
      <c r="F503" s="18" t="s">
        <v>99</v>
      </c>
      <c r="G503" s="30">
        <f t="shared" si="98"/>
        <v>1.4351851787068881E-3</v>
      </c>
      <c r="H503" s="23" t="str">
        <f t="shared" si="99"/>
        <v>BASE RAZEL PREFECTURE - BASE RAZEL PREFECTURE</v>
      </c>
      <c r="I503" s="33" t="str">
        <f>IF(F502='Données Hebdo'!A503, VLOOKUP(Feuil1!A503, 'Données Hebdo'!B:J, 8, FALSE), "")</f>
        <v/>
      </c>
      <c r="J503" s="27" t="str">
        <f t="shared" si="100"/>
        <v>18:09:34 à 18:10:48</v>
      </c>
      <c r="K503" s="27" t="str">
        <f t="shared" si="101"/>
        <v>2016-06-04 18:10:48</v>
      </c>
      <c r="L503" s="27">
        <f t="shared" si="102"/>
        <v>8.5648147796746343E-4</v>
      </c>
      <c r="M503" s="30">
        <f t="shared" si="103"/>
        <v>1.3657407471328042E-3</v>
      </c>
      <c r="N503" s="18" t="str">
        <f t="shared" si="104"/>
        <v>BASE RAZEL PREFECTURE - BASE RAZEL PREFECTURE</v>
      </c>
      <c r="O503" s="18"/>
      <c r="P503" s="18"/>
    </row>
    <row r="504" spans="1:16" ht="27.6">
      <c r="A504" s="43" t="s">
        <v>81</v>
      </c>
      <c r="B504" s="43" t="s">
        <v>197</v>
      </c>
      <c r="C504" s="43" t="s">
        <v>1715</v>
      </c>
      <c r="D504" s="43" t="s">
        <v>1716</v>
      </c>
      <c r="E504" s="27">
        <f t="shared" si="97"/>
        <v>3.9467592578148469E-3</v>
      </c>
      <c r="F504" s="18" t="s">
        <v>99</v>
      </c>
      <c r="G504" s="30">
        <f t="shared" si="98"/>
        <v>8.5648147796746343E-4</v>
      </c>
      <c r="H504" s="23" t="str">
        <f t="shared" si="99"/>
        <v>BASE RAZEL PREFECTURE - BASE RAZEL PREFECTURE</v>
      </c>
      <c r="I504" s="33" t="str">
        <f>IF(F503='Données Hebdo'!A504, VLOOKUP(Feuil1!A504, 'Données Hebdo'!B:J, 8, FALSE), "")</f>
        <v/>
      </c>
      <c r="J504" s="27" t="str">
        <f t="shared" si="100"/>
        <v>18:16:29 à 18:17:31</v>
      </c>
      <c r="K504" s="27" t="str">
        <f t="shared" si="101"/>
        <v>2016-06-04 18:17:31</v>
      </c>
      <c r="L504" s="27">
        <f t="shared" si="102"/>
        <v>7.1759259299142286E-4</v>
      </c>
      <c r="M504" s="30">
        <f t="shared" si="103"/>
        <v>3.9467592578148469E-3</v>
      </c>
      <c r="N504" s="18" t="str">
        <f t="shared" si="104"/>
        <v>BASE RAZEL PREFECTURE - BASE RAZEL PREFECTURE</v>
      </c>
      <c r="O504" s="18"/>
      <c r="P504" s="18"/>
    </row>
    <row r="505" spans="1:16" ht="27.6">
      <c r="A505" s="43" t="s">
        <v>81</v>
      </c>
      <c r="B505" s="43" t="s">
        <v>197</v>
      </c>
      <c r="C505" s="43" t="s">
        <v>1717</v>
      </c>
      <c r="D505" s="43" t="s">
        <v>1718</v>
      </c>
      <c r="E505" s="27">
        <f t="shared" si="97"/>
        <v>3.4722222335403785E-4</v>
      </c>
      <c r="F505" s="18" t="s">
        <v>99</v>
      </c>
      <c r="G505" s="30">
        <f t="shared" si="98"/>
        <v>7.1759259299142286E-4</v>
      </c>
      <c r="H505" s="23" t="str">
        <f t="shared" si="99"/>
        <v>BASE RAZEL PREFECTURE - BASE RAZEL PREFECTURE</v>
      </c>
      <c r="I505" s="33" t="str">
        <f>IF(F504='Données Hebdo'!A505, VLOOKUP(Feuil1!A505, 'Données Hebdo'!B:J, 8, FALSE), "")</f>
        <v/>
      </c>
      <c r="J505" s="27" t="str">
        <f t="shared" si="100"/>
        <v>18:18:01 à 18:18:31</v>
      </c>
      <c r="K505" s="27" t="str">
        <f t="shared" si="101"/>
        <v>2016-06-04 18:18:31</v>
      </c>
      <c r="L505" s="27">
        <f t="shared" si="102"/>
        <v>3.4722222335403785E-4</v>
      </c>
      <c r="M505" s="30">
        <f t="shared" si="103"/>
        <v>3.4722222335403785E-4</v>
      </c>
      <c r="N505" s="18" t="str">
        <f t="shared" si="104"/>
        <v>BASE RAZEL PREFECTURE - BASE RAZEL PREFECTURE</v>
      </c>
      <c r="O505" s="18"/>
      <c r="P505" s="18"/>
    </row>
    <row r="506" spans="1:16" ht="27.6">
      <c r="A506" s="43" t="s">
        <v>81</v>
      </c>
      <c r="B506" s="43" t="s">
        <v>197</v>
      </c>
      <c r="C506" s="43" t="s">
        <v>1719</v>
      </c>
      <c r="D506" s="43" t="s">
        <v>1720</v>
      </c>
      <c r="E506" s="27">
        <f t="shared" si="97"/>
        <v>8.9120370103046298E-4</v>
      </c>
      <c r="F506" s="18" t="s">
        <v>99</v>
      </c>
      <c r="G506" s="30">
        <f t="shared" si="98"/>
        <v>3.4722222335403785E-4</v>
      </c>
      <c r="H506" s="23" t="str">
        <f t="shared" si="99"/>
        <v>BASE RAZEL PREFECTURE - BASE RAZEL PREFECTURE</v>
      </c>
      <c r="I506" s="33" t="str">
        <f>IF(F505='Données Hebdo'!A506, VLOOKUP(Feuil1!A506, 'Données Hebdo'!B:J, 8, FALSE), "")</f>
        <v/>
      </c>
      <c r="J506" s="27" t="str">
        <f t="shared" si="100"/>
        <v>18:19:48 à 18:20:53</v>
      </c>
      <c r="K506" s="27" t="str">
        <f t="shared" si="101"/>
        <v>2016-06-04 18:20:53</v>
      </c>
      <c r="L506" s="27">
        <f t="shared" si="102"/>
        <v>7.5231481605442241E-4</v>
      </c>
      <c r="M506" s="30">
        <f t="shared" si="103"/>
        <v>8.9120370103046298E-4</v>
      </c>
      <c r="N506" s="18" t="str">
        <f t="shared" si="104"/>
        <v>BASE RAZEL PREFECTURE - BASE RAZEL PREFECTURE</v>
      </c>
      <c r="O506" s="18"/>
      <c r="P506" s="18"/>
    </row>
    <row r="507" spans="1:16" ht="27.6">
      <c r="A507" s="43" t="s">
        <v>81</v>
      </c>
      <c r="B507" s="43" t="s">
        <v>197</v>
      </c>
      <c r="C507" s="43" t="s">
        <v>1721</v>
      </c>
      <c r="D507" s="43" t="s">
        <v>1722</v>
      </c>
      <c r="E507" s="27">
        <f t="shared" si="97"/>
        <v>1.4467592627624981E-3</v>
      </c>
      <c r="F507" s="18" t="s">
        <v>99</v>
      </c>
      <c r="G507" s="30">
        <f t="shared" si="98"/>
        <v>7.5231481605442241E-4</v>
      </c>
      <c r="H507" s="23" t="str">
        <f t="shared" si="99"/>
        <v>BASE RAZEL PREFECTURE - BASE RAZEL PREFECTURE</v>
      </c>
      <c r="I507" s="33" t="str">
        <f>IF(F506='Données Hebdo'!A507, VLOOKUP(Feuil1!A507, 'Données Hebdo'!B:J, 8, FALSE), "")</f>
        <v/>
      </c>
      <c r="J507" s="27" t="str">
        <f t="shared" si="100"/>
        <v>18:22:58 à 18:25:10</v>
      </c>
      <c r="K507" s="27" t="str">
        <f t="shared" si="101"/>
        <v>2016-06-04 18:25:10</v>
      </c>
      <c r="L507" s="27">
        <f t="shared" si="102"/>
        <v>1.527777778392192E-3</v>
      </c>
      <c r="M507" s="30">
        <f t="shared" si="103"/>
        <v>1.4467592627624981E-3</v>
      </c>
      <c r="N507" s="18" t="str">
        <f t="shared" si="104"/>
        <v>BASE RAZEL PREFECTURE - BASE RAZEL PREFECTURE</v>
      </c>
      <c r="O507" s="18"/>
      <c r="P507" s="18"/>
    </row>
    <row r="508" spans="1:16" ht="27.6">
      <c r="A508" s="43" t="s">
        <v>81</v>
      </c>
      <c r="B508" s="43" t="s">
        <v>197</v>
      </c>
      <c r="C508" s="43" t="s">
        <v>1723</v>
      </c>
      <c r="D508" s="43" t="s">
        <v>1724</v>
      </c>
      <c r="E508" s="27">
        <f t="shared" si="97"/>
        <v>1.7592592557775788E-3</v>
      </c>
      <c r="F508" s="18" t="s">
        <v>99</v>
      </c>
      <c r="G508" s="30">
        <f t="shared" si="98"/>
        <v>1.527777778392192E-3</v>
      </c>
      <c r="H508" s="23" t="str">
        <f t="shared" si="99"/>
        <v>BASE RAZEL PREFECTURE - BASE RAZEL PREFECTURE</v>
      </c>
      <c r="I508" s="33" t="str">
        <f>IF(F507='Données Hebdo'!A508, VLOOKUP(Feuil1!A508, 'Données Hebdo'!B:J, 8, FALSE), "")</f>
        <v/>
      </c>
      <c r="J508" s="27" t="str">
        <f t="shared" si="100"/>
        <v>18:27:42 à 18:28:31</v>
      </c>
      <c r="K508" s="27" t="str">
        <f t="shared" si="101"/>
        <v>2016-06-04 18:28:31</v>
      </c>
      <c r="L508" s="27">
        <f t="shared" si="102"/>
        <v>5.671296312357299E-4</v>
      </c>
      <c r="M508" s="30">
        <f t="shared" si="103"/>
        <v>1.7592592557775788E-3</v>
      </c>
      <c r="N508" s="18" t="str">
        <f t="shared" si="104"/>
        <v>BASE RAZEL PREFECTURE - BASE RAZEL PREFECTURE</v>
      </c>
      <c r="O508" s="18"/>
      <c r="P508" s="18"/>
    </row>
    <row r="509" spans="1:16" ht="27.6">
      <c r="A509" s="43" t="s">
        <v>81</v>
      </c>
      <c r="B509" s="43" t="s">
        <v>197</v>
      </c>
      <c r="C509" s="43" t="s">
        <v>1725</v>
      </c>
      <c r="D509" s="43" t="s">
        <v>1726</v>
      </c>
      <c r="E509" s="27">
        <f t="shared" si="97"/>
        <v>1.1967592588916887E-2</v>
      </c>
      <c r="F509" s="18" t="s">
        <v>99</v>
      </c>
      <c r="G509" s="30">
        <f t="shared" si="98"/>
        <v>5.671296312357299E-4</v>
      </c>
      <c r="H509" s="23" t="str">
        <f t="shared" si="99"/>
        <v>BASE RAZEL PREFECTURE - BASE RAZEL PREFECTURE</v>
      </c>
      <c r="I509" s="33" t="str">
        <f>IF(F508='Données Hebdo'!A509, VLOOKUP(Feuil1!A509, 'Données Hebdo'!B:J, 8, FALSE), "")</f>
        <v/>
      </c>
      <c r="J509" s="27" t="str">
        <f t="shared" si="100"/>
        <v>18:45:45 à 18:50:01</v>
      </c>
      <c r="K509" s="27" t="str">
        <f t="shared" si="101"/>
        <v>2016-06-04 18:50:01</v>
      </c>
      <c r="L509" s="27">
        <f t="shared" si="102"/>
        <v>2.9629629643750377E-3</v>
      </c>
      <c r="M509" s="30">
        <f t="shared" si="103"/>
        <v>1.1967592588916887E-2</v>
      </c>
      <c r="N509" s="18" t="str">
        <f t="shared" si="104"/>
        <v>BASE RAZEL PREFECTURE - BASE RAZEL PREFECTURE</v>
      </c>
      <c r="O509" s="18"/>
      <c r="P509" s="18"/>
    </row>
    <row r="510" spans="1:16" ht="27.6">
      <c r="A510" s="43" t="s">
        <v>81</v>
      </c>
      <c r="B510" s="43" t="s">
        <v>197</v>
      </c>
      <c r="C510" s="43" t="s">
        <v>1727</v>
      </c>
      <c r="D510" s="43" t="s">
        <v>1728</v>
      </c>
      <c r="E510" s="27">
        <f t="shared" si="97"/>
        <v>3.796296296059154E-3</v>
      </c>
      <c r="F510" s="18" t="s">
        <v>99</v>
      </c>
      <c r="G510" s="30">
        <f t="shared" si="98"/>
        <v>2.9629629643750377E-3</v>
      </c>
      <c r="H510" s="23" t="str">
        <f t="shared" si="99"/>
        <v>BASE RAZEL PREFECTURE - BASE RAZEL PREFECTURE</v>
      </c>
      <c r="I510" s="33" t="str">
        <f>IF(F509='Données Hebdo'!A510, VLOOKUP(Feuil1!A510, 'Données Hebdo'!B:J, 8, FALSE), "")</f>
        <v/>
      </c>
      <c r="J510" s="27" t="str">
        <f t="shared" si="100"/>
        <v>18:55:29 à 18:56:05</v>
      </c>
      <c r="K510" s="27" t="str">
        <f t="shared" si="101"/>
        <v>2016-06-04 18:56:05</v>
      </c>
      <c r="L510" s="27">
        <f t="shared" si="102"/>
        <v>4.1666666948003694E-4</v>
      </c>
      <c r="M510" s="30">
        <f t="shared" si="103"/>
        <v>3.796296296059154E-3</v>
      </c>
      <c r="N510" s="18" t="str">
        <f t="shared" si="104"/>
        <v>BASE RAZEL PREFECTURE - BASE RAZEL PREFECTURE</v>
      </c>
      <c r="O510" s="18"/>
      <c r="P510" s="18"/>
    </row>
    <row r="511" spans="1:16" ht="27.6">
      <c r="A511" s="43" t="s">
        <v>81</v>
      </c>
      <c r="B511" s="43" t="s">
        <v>197</v>
      </c>
      <c r="C511" s="43" t="s">
        <v>1729</v>
      </c>
      <c r="D511" s="43" t="s">
        <v>1730</v>
      </c>
      <c r="E511" s="27">
        <f t="shared" si="97"/>
        <v>1.3657407398568466E-3</v>
      </c>
      <c r="F511" s="18" t="s">
        <v>99</v>
      </c>
      <c r="G511" s="30">
        <f t="shared" si="98"/>
        <v>4.1666666948003694E-4</v>
      </c>
      <c r="H511" s="23" t="str">
        <f t="shared" si="99"/>
        <v>BASE RAZEL PREFECTURE - BASE RAZEL PREFECTURE</v>
      </c>
      <c r="I511" s="33" t="str">
        <f>IF(F510='Données Hebdo'!A511, VLOOKUP(Feuil1!A511, 'Données Hebdo'!B:J, 8, FALSE), "")</f>
        <v/>
      </c>
      <c r="J511" s="27" t="str">
        <f t="shared" si="100"/>
        <v>18:58:03 à 19:02:20</v>
      </c>
      <c r="K511" s="27" t="str">
        <f t="shared" si="101"/>
        <v>2016-06-04 19:02:20</v>
      </c>
      <c r="L511" s="27">
        <f t="shared" si="102"/>
        <v>2.9745370338787325E-3</v>
      </c>
      <c r="M511" s="30">
        <f t="shared" si="103"/>
        <v>1.3657407398568466E-3</v>
      </c>
      <c r="N511" s="18" t="str">
        <f t="shared" si="104"/>
        <v>BASE RAZEL PREFECTURE - BASE RAZEL PREFECTURE</v>
      </c>
      <c r="O511" s="18"/>
      <c r="P511" s="18"/>
    </row>
    <row r="512" spans="1:16" ht="27.6">
      <c r="A512" s="43" t="s">
        <v>81</v>
      </c>
      <c r="B512" s="43" t="s">
        <v>197</v>
      </c>
      <c r="C512" s="43" t="s">
        <v>1731</v>
      </c>
      <c r="D512" s="43" t="s">
        <v>1732</v>
      </c>
      <c r="E512" s="27">
        <f t="shared" si="97"/>
        <v>4.2013888887595385E-3</v>
      </c>
      <c r="F512" s="18" t="s">
        <v>99</v>
      </c>
      <c r="G512" s="30">
        <f t="shared" si="98"/>
        <v>2.9745370338787325E-3</v>
      </c>
      <c r="H512" s="23" t="str">
        <f t="shared" si="99"/>
        <v>BASE RAZEL PREFECTURE - BASE RAZEL PREFECTURE</v>
      </c>
      <c r="I512" s="33" t="str">
        <f>IF(F511='Données Hebdo'!A512, VLOOKUP(Feuil1!A512, 'Données Hebdo'!B:J, 8, FALSE), "")</f>
        <v/>
      </c>
      <c r="J512" s="27" t="str">
        <f t="shared" si="100"/>
        <v>19:08:23 à 19:11:51</v>
      </c>
      <c r="K512" s="27" t="str">
        <f t="shared" si="101"/>
        <v>2016-06-04 19:11:51</v>
      </c>
      <c r="L512" s="27">
        <f t="shared" si="102"/>
        <v>2.4074074099189602E-3</v>
      </c>
      <c r="M512" s="30">
        <f t="shared" si="103"/>
        <v>4.2013888887595385E-3</v>
      </c>
      <c r="N512" s="18" t="str">
        <f t="shared" si="104"/>
        <v>BASE RAZEL PREFECTURE - BASE RAZEL PREFECTURE</v>
      </c>
      <c r="O512" s="18"/>
      <c r="P512" s="18"/>
    </row>
    <row r="513" spans="1:16" ht="27.6">
      <c r="A513" s="43" t="s">
        <v>81</v>
      </c>
      <c r="B513" s="43" t="s">
        <v>197</v>
      </c>
      <c r="C513" s="43" t="s">
        <v>1733</v>
      </c>
      <c r="D513" s="43" t="s">
        <v>1734</v>
      </c>
      <c r="E513" s="27">
        <f t="shared" si="97"/>
        <v>2.7662037027766928E-3</v>
      </c>
      <c r="F513" s="18" t="s">
        <v>99</v>
      </c>
      <c r="G513" s="30">
        <f t="shared" si="98"/>
        <v>2.4074074099189602E-3</v>
      </c>
      <c r="H513" s="23" t="str">
        <f t="shared" si="99"/>
        <v>BASE RAZEL PREFECTURE - BASE RAZEL PREFECTURE</v>
      </c>
      <c r="I513" s="33" t="str">
        <f>IF(F512='Données Hebdo'!A513, VLOOKUP(Feuil1!A513, 'Données Hebdo'!B:J, 8, FALSE), "")</f>
        <v/>
      </c>
      <c r="J513" s="27" t="str">
        <f t="shared" si="100"/>
        <v>19:15:50 à 19:16:39</v>
      </c>
      <c r="K513" s="27" t="str">
        <f t="shared" si="101"/>
        <v>2016-06-04 19:16:39</v>
      </c>
      <c r="L513" s="27">
        <f t="shared" si="102"/>
        <v>5.671296312357299E-4</v>
      </c>
      <c r="M513" s="30">
        <f t="shared" si="103"/>
        <v>2.7662037027766928E-3</v>
      </c>
      <c r="N513" s="18" t="str">
        <f t="shared" si="104"/>
        <v>BASE RAZEL PREFECTURE - BASE RAZEL PREFECTURE</v>
      </c>
      <c r="O513" s="18"/>
      <c r="P513" s="18"/>
    </row>
    <row r="514" spans="1:16" ht="27.6">
      <c r="A514" s="43" t="s">
        <v>81</v>
      </c>
      <c r="B514" s="43" t="s">
        <v>197</v>
      </c>
      <c r="C514" s="43" t="s">
        <v>1735</v>
      </c>
      <c r="D514" s="43" t="s">
        <v>1736</v>
      </c>
      <c r="E514" s="27">
        <f t="shared" ref="E514:E560" si="105">IFERROR(D514-C514, "")</f>
        <v>1.8171296251239255E-3</v>
      </c>
      <c r="F514" s="18" t="s">
        <v>99</v>
      </c>
      <c r="G514" s="30">
        <f t="shared" si="98"/>
        <v>5.671296312357299E-4</v>
      </c>
      <c r="H514" s="23" t="str">
        <f t="shared" si="99"/>
        <v>BASE RAZEL PREFECTURE - BASE RAZEL PREFECTURE</v>
      </c>
      <c r="I514" s="33" t="str">
        <f>IF(F513='Données Hebdo'!A514, VLOOKUP(Feuil1!A514, 'Données Hebdo'!B:J, 8, FALSE), "")</f>
        <v/>
      </c>
      <c r="J514" s="27" t="str">
        <f t="shared" si="100"/>
        <v>19:19:16 à 19:20:41</v>
      </c>
      <c r="K514" s="27" t="str">
        <f t="shared" si="101"/>
        <v>2016-06-04 19:20:41</v>
      </c>
      <c r="L514" s="27">
        <f t="shared" si="102"/>
        <v>9.8379630071576685E-4</v>
      </c>
      <c r="M514" s="30">
        <f t="shared" si="103"/>
        <v>1.8171296251239255E-3</v>
      </c>
      <c r="N514" s="18" t="str">
        <f t="shared" si="104"/>
        <v>BASE RAZEL PREFECTURE - BASE RAZEL PREFECTURE</v>
      </c>
      <c r="O514" s="18"/>
      <c r="P514" s="18"/>
    </row>
    <row r="515" spans="1:16" ht="27.6">
      <c r="A515" s="43" t="s">
        <v>81</v>
      </c>
      <c r="B515" s="43" t="s">
        <v>197</v>
      </c>
      <c r="C515" s="43" t="s">
        <v>1737</v>
      </c>
      <c r="D515" s="43" t="s">
        <v>1738</v>
      </c>
      <c r="E515" s="27">
        <f t="shared" si="105"/>
        <v>1.8634259249665774E-3</v>
      </c>
      <c r="F515" s="18" t="s">
        <v>99</v>
      </c>
      <c r="G515" s="30">
        <f t="shared" si="98"/>
        <v>9.8379630071576685E-4</v>
      </c>
      <c r="H515" s="23" t="str">
        <f t="shared" si="99"/>
        <v>BASE RAZEL PREFECTURE - BASE RAZEL PREFECTURE</v>
      </c>
      <c r="I515" s="33" t="str">
        <f>IF(F514='Données Hebdo'!A515, VLOOKUP(Feuil1!A515, 'Données Hebdo'!B:J, 8, FALSE), "")</f>
        <v/>
      </c>
      <c r="J515" s="27" t="str">
        <f t="shared" si="100"/>
        <v>19:23:22 à 19:24:07</v>
      </c>
      <c r="K515" s="27" t="str">
        <f t="shared" si="101"/>
        <v>2016-06-04 19:24:07</v>
      </c>
      <c r="L515" s="27">
        <f t="shared" si="102"/>
        <v>5.2083333139307797E-4</v>
      </c>
      <c r="M515" s="30">
        <f t="shared" si="103"/>
        <v>1.8634259249665774E-3</v>
      </c>
      <c r="N515" s="18" t="str">
        <f t="shared" si="104"/>
        <v>BASE RAZEL PREFECTURE - BASE RAZEL PREFECTURE</v>
      </c>
      <c r="O515" s="18"/>
      <c r="P515" s="18"/>
    </row>
    <row r="516" spans="1:16" ht="27.6">
      <c r="A516" s="43" t="s">
        <v>81</v>
      </c>
      <c r="B516" s="43" t="s">
        <v>197</v>
      </c>
      <c r="C516" s="43" t="s">
        <v>1739</v>
      </c>
      <c r="D516" s="43" t="s">
        <v>1740</v>
      </c>
      <c r="E516" s="27">
        <f t="shared" si="105"/>
        <v>1.9791666709352285E-3</v>
      </c>
      <c r="F516" s="18" t="s">
        <v>99</v>
      </c>
      <c r="G516" s="30">
        <f t="shared" si="98"/>
        <v>5.2083333139307797E-4</v>
      </c>
      <c r="H516" s="23" t="str">
        <f t="shared" si="99"/>
        <v>BASE RAZEL PREFECTURE - BASE RAZEL PREFECTURE</v>
      </c>
      <c r="I516" s="33" t="str">
        <f>IF(F515='Données Hebdo'!A516, VLOOKUP(Feuil1!A516, 'Données Hebdo'!B:J, 8, FALSE), "")</f>
        <v/>
      </c>
      <c r="J516" s="27" t="str">
        <f t="shared" si="100"/>
        <v>19:26:58 à 19:29:53</v>
      </c>
      <c r="K516" s="27" t="str">
        <f t="shared" si="101"/>
        <v>2016-06-04 19:29:53</v>
      </c>
      <c r="L516" s="27">
        <f t="shared" si="102"/>
        <v>2.0254629635019228E-3</v>
      </c>
      <c r="M516" s="30">
        <f t="shared" si="103"/>
        <v>1.9791666709352285E-3</v>
      </c>
      <c r="N516" s="18" t="str">
        <f t="shared" si="104"/>
        <v>BASE RAZEL PREFECTURE - BASE RAZEL PREFECTURE</v>
      </c>
      <c r="O516" s="18"/>
      <c r="P516" s="18"/>
    </row>
    <row r="517" spans="1:16" ht="27.6">
      <c r="A517" s="43" t="s">
        <v>81</v>
      </c>
      <c r="B517" s="43" t="s">
        <v>197</v>
      </c>
      <c r="C517" s="43" t="s">
        <v>1741</v>
      </c>
      <c r="D517" s="43" t="s">
        <v>1742</v>
      </c>
      <c r="E517" s="27">
        <f t="shared" si="105"/>
        <v>2.152777771698311E-3</v>
      </c>
      <c r="F517" s="18" t="s">
        <v>99</v>
      </c>
      <c r="G517" s="30">
        <f t="shared" si="98"/>
        <v>2.0254629635019228E-3</v>
      </c>
      <c r="H517" s="23" t="str">
        <f t="shared" si="99"/>
        <v>BASE RAZEL PREFECTURE - BASE RAZEL PREFECTURE</v>
      </c>
      <c r="I517" s="33" t="str">
        <f>IF(F516='Données Hebdo'!A517, VLOOKUP(Feuil1!A517, 'Données Hebdo'!B:J, 8, FALSE), "")</f>
        <v/>
      </c>
      <c r="J517" s="27" t="str">
        <f t="shared" si="100"/>
        <v>19:32:59 à 19:34:32</v>
      </c>
      <c r="K517" s="27" t="str">
        <f t="shared" si="101"/>
        <v>2016-06-04 19:34:32</v>
      </c>
      <c r="L517" s="27">
        <f t="shared" si="102"/>
        <v>1.0763888931251131E-3</v>
      </c>
      <c r="M517" s="30">
        <f t="shared" si="103"/>
        <v>2.152777771698311E-3</v>
      </c>
      <c r="N517" s="18" t="str">
        <f t="shared" si="104"/>
        <v>BASE RAZEL PREFECTURE - BASE RAZEL PREFECTURE</v>
      </c>
      <c r="O517" s="18"/>
      <c r="P517" s="18"/>
    </row>
    <row r="518" spans="1:16" ht="27.6">
      <c r="A518" s="43" t="s">
        <v>81</v>
      </c>
      <c r="B518" s="43" t="s">
        <v>197</v>
      </c>
      <c r="C518" s="43" t="s">
        <v>1743</v>
      </c>
      <c r="D518" s="43" t="s">
        <v>1744</v>
      </c>
      <c r="E518" s="27">
        <f t="shared" si="105"/>
        <v>6.4814814686542377E-4</v>
      </c>
      <c r="F518" s="18" t="s">
        <v>99</v>
      </c>
      <c r="G518" s="30">
        <f t="shared" si="98"/>
        <v>1.0763888931251131E-3</v>
      </c>
      <c r="H518" s="23" t="str">
        <f t="shared" si="99"/>
        <v>BASE RAZEL PREFECTURE - BASE RAZEL PREFECTURE</v>
      </c>
      <c r="I518" s="33" t="str">
        <f>IF(F517='Données Hebdo'!A518, VLOOKUP(Feuil1!A518, 'Données Hebdo'!B:J, 8, FALSE), "")</f>
        <v/>
      </c>
      <c r="J518" s="27" t="str">
        <f t="shared" si="100"/>
        <v>19:35:28 à 19:38:26</v>
      </c>
      <c r="K518" s="27" t="str">
        <f t="shared" si="101"/>
        <v>2016-06-04 19:38:26</v>
      </c>
      <c r="L518" s="27">
        <f t="shared" si="102"/>
        <v>2.0601851865649223E-3</v>
      </c>
      <c r="M518" s="30">
        <f t="shared" si="103"/>
        <v>6.4814814686542377E-4</v>
      </c>
      <c r="N518" s="18" t="str">
        <f t="shared" si="104"/>
        <v>BASE RAZEL PREFECTURE - BASE RAZEL PREFECTURE</v>
      </c>
      <c r="O518" s="18"/>
      <c r="P518" s="18"/>
    </row>
    <row r="519" spans="1:16" ht="27.6">
      <c r="A519" s="43" t="s">
        <v>81</v>
      </c>
      <c r="B519" s="43" t="s">
        <v>197</v>
      </c>
      <c r="C519" s="43" t="s">
        <v>1745</v>
      </c>
      <c r="D519" s="43" t="s">
        <v>1746</v>
      </c>
      <c r="E519" s="27">
        <f t="shared" si="105"/>
        <v>1.5509259246755391E-3</v>
      </c>
      <c r="F519" s="18" t="s">
        <v>99</v>
      </c>
      <c r="G519" s="30">
        <f t="shared" si="98"/>
        <v>2.0601851865649223E-3</v>
      </c>
      <c r="H519" s="23" t="str">
        <f t="shared" si="99"/>
        <v>BASE RAZEL PREFECTURE - BASE RAZEL PREFECTURE</v>
      </c>
      <c r="I519" s="33" t="str">
        <f>IF(F518='Données Hebdo'!A519, VLOOKUP(Feuil1!A519, 'Données Hebdo'!B:J, 8, FALSE), "")</f>
        <v/>
      </c>
      <c r="J519" s="27" t="str">
        <f t="shared" si="100"/>
        <v>19:40:40 à 19:43:23</v>
      </c>
      <c r="K519" s="27" t="str">
        <f t="shared" si="101"/>
        <v>2016-06-04 19:43:23</v>
      </c>
      <c r="L519" s="27">
        <f t="shared" si="102"/>
        <v>1.8865740712499246E-3</v>
      </c>
      <c r="M519" s="30">
        <f t="shared" si="103"/>
        <v>1.5509259246755391E-3</v>
      </c>
      <c r="N519" s="18" t="str">
        <f t="shared" si="104"/>
        <v>BASE RAZEL PREFECTURE - BASE RAZEL PREFECTURE</v>
      </c>
      <c r="O519" s="18"/>
      <c r="P519" s="18"/>
    </row>
    <row r="520" spans="1:16" ht="27.6">
      <c r="A520" s="43" t="s">
        <v>81</v>
      </c>
      <c r="B520" s="43" t="s">
        <v>197</v>
      </c>
      <c r="C520" s="43" t="s">
        <v>1747</v>
      </c>
      <c r="D520" s="43" t="s">
        <v>1748</v>
      </c>
      <c r="E520" s="27">
        <f t="shared" si="105"/>
        <v>1.793981486116536E-3</v>
      </c>
      <c r="F520" s="18" t="s">
        <v>99</v>
      </c>
      <c r="G520" s="30">
        <f t="shared" si="98"/>
        <v>1.8865740712499246E-3</v>
      </c>
      <c r="H520" s="23" t="str">
        <f t="shared" si="99"/>
        <v>BASE RAZEL PREFECTURE - BASE RAZEL PREFECTURE</v>
      </c>
      <c r="I520" s="33" t="str">
        <f>IF(F519='Données Hebdo'!A520, VLOOKUP(Feuil1!A520, 'Données Hebdo'!B:J, 8, FALSE), "")</f>
        <v/>
      </c>
      <c r="J520" s="27" t="str">
        <f t="shared" si="100"/>
        <v>19:45:58 à 19:46:50</v>
      </c>
      <c r="K520" s="27" t="str">
        <f t="shared" si="101"/>
        <v>2016-06-04 19:46:50</v>
      </c>
      <c r="L520" s="27">
        <f t="shared" si="102"/>
        <v>6.0185184702277184E-4</v>
      </c>
      <c r="M520" s="30">
        <f t="shared" si="103"/>
        <v>1.793981486116536E-3</v>
      </c>
      <c r="N520" s="18" t="str">
        <f t="shared" si="104"/>
        <v>BASE RAZEL PREFECTURE - BASE RAZEL PREFECTURE</v>
      </c>
      <c r="O520" s="18"/>
      <c r="P520" s="18"/>
    </row>
    <row r="521" spans="1:16" ht="27.6">
      <c r="A521" s="43" t="s">
        <v>81</v>
      </c>
      <c r="B521" s="43" t="s">
        <v>197</v>
      </c>
      <c r="C521" s="43" t="s">
        <v>1749</v>
      </c>
      <c r="D521" s="43" t="s">
        <v>1750</v>
      </c>
      <c r="E521" s="27">
        <f t="shared" si="105"/>
        <v>3.7268518572091125E-3</v>
      </c>
      <c r="F521" s="18" t="s">
        <v>99</v>
      </c>
      <c r="G521" s="30">
        <f t="shared" si="98"/>
        <v>6.0185184702277184E-4</v>
      </c>
      <c r="H521" s="23" t="str">
        <f t="shared" si="99"/>
        <v>BASE RAZEL PREFECTURE - BASE RAZEL PREFECTURE</v>
      </c>
      <c r="I521" s="33" t="str">
        <f>IF(F520='Données Hebdo'!A521, VLOOKUP(Feuil1!A521, 'Données Hebdo'!B:J, 8, FALSE), "")</f>
        <v/>
      </c>
      <c r="J521" s="27" t="str">
        <f t="shared" si="100"/>
        <v>19:52:12 à 19:53:30</v>
      </c>
      <c r="K521" s="27" t="str">
        <f t="shared" si="101"/>
        <v>2016-06-04 19:53:30</v>
      </c>
      <c r="L521" s="27">
        <f t="shared" si="102"/>
        <v>9.0277777781011537E-4</v>
      </c>
      <c r="M521" s="30">
        <f t="shared" si="103"/>
        <v>3.7268518572091125E-3</v>
      </c>
      <c r="N521" s="18" t="str">
        <f t="shared" si="104"/>
        <v>BASE RAZEL PREFECTURE - BASE RAZEL PREFECTURE</v>
      </c>
      <c r="O521" s="18"/>
      <c r="P521" s="18"/>
    </row>
    <row r="522" spans="1:16" ht="27.6">
      <c r="A522" s="43" t="s">
        <v>81</v>
      </c>
      <c r="B522" s="43" t="s">
        <v>197</v>
      </c>
      <c r="C522" s="43" t="s">
        <v>1751</v>
      </c>
      <c r="D522" s="43" t="s">
        <v>1752</v>
      </c>
      <c r="E522" s="27">
        <f t="shared" si="105"/>
        <v>2.9745370338787325E-3</v>
      </c>
      <c r="F522" s="18" t="s">
        <v>99</v>
      </c>
      <c r="G522" s="30">
        <f t="shared" si="98"/>
        <v>9.0277777781011537E-4</v>
      </c>
      <c r="H522" s="23" t="str">
        <f t="shared" si="99"/>
        <v>BASE RAZEL PREFECTURE - BASE RAZEL PREFECTURE</v>
      </c>
      <c r="I522" s="33" t="str">
        <f>IF(F521='Données Hebdo'!A522, VLOOKUP(Feuil1!A522, 'Données Hebdo'!B:J, 8, FALSE), "")</f>
        <v/>
      </c>
      <c r="J522" s="27" t="str">
        <f t="shared" si="100"/>
        <v>19:57:47 à 19:58:45</v>
      </c>
      <c r="K522" s="27" t="str">
        <f t="shared" si="101"/>
        <v>2016-06-04 19:58:45</v>
      </c>
      <c r="L522" s="27">
        <f t="shared" si="102"/>
        <v>6.7129630042472854E-4</v>
      </c>
      <c r="M522" s="30">
        <f t="shared" si="103"/>
        <v>2.9745370338787325E-3</v>
      </c>
      <c r="N522" s="18" t="str">
        <f t="shared" si="104"/>
        <v>BASE RAZEL PREFECTURE - BASE RAZEL PREFECTURE</v>
      </c>
      <c r="O522" s="18"/>
      <c r="P522" s="18"/>
    </row>
    <row r="523" spans="1:16" ht="27.6">
      <c r="A523" s="43" t="s">
        <v>81</v>
      </c>
      <c r="B523" s="43" t="s">
        <v>197</v>
      </c>
      <c r="C523" s="43" t="s">
        <v>1753</v>
      </c>
      <c r="D523" s="43" t="s">
        <v>1754</v>
      </c>
      <c r="E523" s="27">
        <f t="shared" si="105"/>
        <v>6.2499999330611899E-4</v>
      </c>
      <c r="F523" s="18" t="s">
        <v>99</v>
      </c>
      <c r="G523" s="30">
        <f t="shared" ref="G523:G560" si="106">IF(A523=A522, C523-D522, "")</f>
        <v>6.7129630042472854E-4</v>
      </c>
      <c r="H523" s="23" t="str">
        <f t="shared" ref="H523:H560" si="107">IF(A523=A522, B522&amp;" - "&amp;B523, "")</f>
        <v>BASE RAZEL PREFECTURE - BASE RAZEL PREFECTURE</v>
      </c>
      <c r="I523" s="33" t="str">
        <f>IF(F522='Données Hebdo'!A523, VLOOKUP(Feuil1!A523, 'Données Hebdo'!B:J, 8, FALSE), "")</f>
        <v/>
      </c>
      <c r="J523" s="27" t="str">
        <f t="shared" ref="J523:J560" si="108">IF(A523=A524, RIGHT(D523, 8)&amp;" à "&amp;RIGHT(C524, 8), "")</f>
        <v>19:59:39 à 20:01:24</v>
      </c>
      <c r="K523" s="27" t="str">
        <f t="shared" ref="K523:K560" si="109">IF(A523=A524, C524, "")</f>
        <v>2016-06-04 20:01:24</v>
      </c>
      <c r="L523" s="27">
        <f t="shared" ref="L523:L560" si="110">IF(A523=A524, G524, "")</f>
        <v>1.2152777781011537E-3</v>
      </c>
      <c r="M523" s="30">
        <f t="shared" ref="M523:M560" si="111">IF(A523=A524, E523, "")</f>
        <v>6.2499999330611899E-4</v>
      </c>
      <c r="N523" s="18" t="str">
        <f t="shared" ref="N523:N560" si="112">IF(A523=A524, H524, "")</f>
        <v>BASE RAZEL PREFECTURE - BASE RAZEL PREFECTURE</v>
      </c>
      <c r="O523" s="18"/>
      <c r="P523" s="18"/>
    </row>
    <row r="524" spans="1:16" ht="27.6">
      <c r="A524" s="43" t="s">
        <v>81</v>
      </c>
      <c r="B524" s="43" t="s">
        <v>197</v>
      </c>
      <c r="C524" s="43" t="s">
        <v>1755</v>
      </c>
      <c r="D524" s="43" t="s">
        <v>1756</v>
      </c>
      <c r="E524" s="27">
        <f t="shared" si="105"/>
        <v>2.1064814864075743E-3</v>
      </c>
      <c r="F524" s="18" t="s">
        <v>99</v>
      </c>
      <c r="G524" s="30">
        <f t="shared" si="106"/>
        <v>1.2152777781011537E-3</v>
      </c>
      <c r="H524" s="23" t="str">
        <f t="shared" si="107"/>
        <v>BASE RAZEL PREFECTURE - BASE RAZEL PREFECTURE</v>
      </c>
      <c r="I524" s="33" t="str">
        <f>IF(F523='Données Hebdo'!A524, VLOOKUP(Feuil1!A524, 'Données Hebdo'!B:J, 8, FALSE), "")</f>
        <v/>
      </c>
      <c r="J524" s="27" t="str">
        <f t="shared" si="108"/>
        <v>20:04:26 à 20:06:12</v>
      </c>
      <c r="K524" s="27" t="str">
        <f t="shared" si="109"/>
        <v>2016-06-04 20:06:12</v>
      </c>
      <c r="L524" s="27">
        <f t="shared" si="110"/>
        <v>1.2268518476048484E-3</v>
      </c>
      <c r="M524" s="30">
        <f t="shared" si="111"/>
        <v>2.1064814864075743E-3</v>
      </c>
      <c r="N524" s="18" t="str">
        <f t="shared" si="112"/>
        <v>BASE RAZEL PREFECTURE - BASE RAZEL PREFECTURE</v>
      </c>
      <c r="O524" s="18"/>
      <c r="P524" s="18"/>
    </row>
    <row r="525" spans="1:16" ht="27.6">
      <c r="A525" s="43" t="s">
        <v>81</v>
      </c>
      <c r="B525" s="43" t="s">
        <v>197</v>
      </c>
      <c r="C525" s="43" t="s">
        <v>1757</v>
      </c>
      <c r="D525" s="43" t="s">
        <v>1758</v>
      </c>
      <c r="E525" s="27">
        <f t="shared" si="105"/>
        <v>3.125000002910383E-4</v>
      </c>
      <c r="F525" s="18" t="s">
        <v>99</v>
      </c>
      <c r="G525" s="30">
        <f t="shared" si="106"/>
        <v>1.2268518476048484E-3</v>
      </c>
      <c r="H525" s="23" t="str">
        <f t="shared" si="107"/>
        <v>BASE RAZEL PREFECTURE - BASE RAZEL PREFECTURE</v>
      </c>
      <c r="I525" s="33" t="str">
        <f>IF(F524='Données Hebdo'!A525, VLOOKUP(Feuil1!A525, 'Données Hebdo'!B:J, 8, FALSE), "")</f>
        <v/>
      </c>
      <c r="J525" s="27" t="str">
        <f t="shared" si="108"/>
        <v>20:06:39 à 20:07:32</v>
      </c>
      <c r="K525" s="27" t="str">
        <f t="shared" si="109"/>
        <v>2016-06-04 20:07:32</v>
      </c>
      <c r="L525" s="27">
        <f t="shared" si="110"/>
        <v>6.1342593107838184E-4</v>
      </c>
      <c r="M525" s="30">
        <f t="shared" si="111"/>
        <v>3.125000002910383E-4</v>
      </c>
      <c r="N525" s="18" t="str">
        <f t="shared" si="112"/>
        <v>BASE RAZEL PREFECTURE - BASE RAZEL PREFECTURE</v>
      </c>
      <c r="O525" s="18"/>
      <c r="P525" s="18"/>
    </row>
    <row r="526" spans="1:16" ht="27.6">
      <c r="A526" s="43" t="s">
        <v>81</v>
      </c>
      <c r="B526" s="43" t="s">
        <v>197</v>
      </c>
      <c r="C526" s="43" t="s">
        <v>1759</v>
      </c>
      <c r="D526" s="43" t="s">
        <v>1760</v>
      </c>
      <c r="E526" s="27">
        <f t="shared" si="105"/>
        <v>6.8171296297805384E-3</v>
      </c>
      <c r="F526" s="18" t="s">
        <v>99</v>
      </c>
      <c r="G526" s="30">
        <f t="shared" si="106"/>
        <v>6.1342593107838184E-4</v>
      </c>
      <c r="H526" s="23" t="str">
        <f t="shared" si="107"/>
        <v>BASE RAZEL PREFECTURE - BASE RAZEL PREFECTURE</v>
      </c>
      <c r="I526" s="33" t="str">
        <f>IF(F525='Données Hebdo'!A526, VLOOKUP(Feuil1!A526, 'Données Hebdo'!B:J, 8, FALSE), "")</f>
        <v/>
      </c>
      <c r="J526" s="27" t="str">
        <f t="shared" si="108"/>
        <v>20:17:21 à 20:20:33</v>
      </c>
      <c r="K526" s="27" t="str">
        <f t="shared" si="109"/>
        <v>2016-06-04 20:20:33</v>
      </c>
      <c r="L526" s="27">
        <f t="shared" si="110"/>
        <v>2.2222222178243101E-3</v>
      </c>
      <c r="M526" s="30">
        <f t="shared" si="111"/>
        <v>6.8171296297805384E-3</v>
      </c>
      <c r="N526" s="18" t="str">
        <f t="shared" si="112"/>
        <v>BASE RAZEL PREFECTURE - BASE RAZEL PREFECTURE</v>
      </c>
      <c r="O526" s="18"/>
      <c r="P526" s="18"/>
    </row>
    <row r="527" spans="1:16" ht="27.6">
      <c r="A527" s="43" t="s">
        <v>81</v>
      </c>
      <c r="B527" s="43" t="s">
        <v>197</v>
      </c>
      <c r="C527" s="43" t="s">
        <v>1761</v>
      </c>
      <c r="D527" s="43" t="s">
        <v>1762</v>
      </c>
      <c r="E527" s="27">
        <f t="shared" si="105"/>
        <v>4.7106481506489217E-3</v>
      </c>
      <c r="F527" s="18" t="s">
        <v>99</v>
      </c>
      <c r="G527" s="30">
        <f t="shared" si="106"/>
        <v>2.2222222178243101E-3</v>
      </c>
      <c r="H527" s="23" t="str">
        <f t="shared" si="107"/>
        <v>BASE RAZEL PREFECTURE - BASE RAZEL PREFECTURE</v>
      </c>
      <c r="I527" s="33" t="str">
        <f>IF(F526='Données Hebdo'!A527, VLOOKUP(Feuil1!A527, 'Données Hebdo'!B:J, 8, FALSE), "")</f>
        <v/>
      </c>
      <c r="J527" s="27" t="str">
        <f t="shared" si="108"/>
        <v>20:27:20 à 20:30:47</v>
      </c>
      <c r="K527" s="27" t="str">
        <f t="shared" si="109"/>
        <v>2016-06-04 20:30:47</v>
      </c>
      <c r="L527" s="27">
        <f t="shared" si="110"/>
        <v>2.3958333331393078E-3</v>
      </c>
      <c r="M527" s="30">
        <f t="shared" si="111"/>
        <v>4.7106481506489217E-3</v>
      </c>
      <c r="N527" s="18" t="str">
        <f t="shared" si="112"/>
        <v>BASE RAZEL PREFECTURE - BASE RAZEL PREFECTURE</v>
      </c>
      <c r="O527" s="18"/>
      <c r="P527" s="18"/>
    </row>
    <row r="528" spans="1:16" ht="27.6">
      <c r="A528" s="43" t="s">
        <v>81</v>
      </c>
      <c r="B528" s="43" t="s">
        <v>197</v>
      </c>
      <c r="C528" s="43" t="s">
        <v>1763</v>
      </c>
      <c r="D528" s="43" t="s">
        <v>1764</v>
      </c>
      <c r="E528" s="27">
        <f t="shared" si="105"/>
        <v>3.6111111112404615E-3</v>
      </c>
      <c r="F528" s="18" t="s">
        <v>99</v>
      </c>
      <c r="G528" s="30">
        <f t="shared" si="106"/>
        <v>2.3958333331393078E-3</v>
      </c>
      <c r="H528" s="23" t="str">
        <f t="shared" si="107"/>
        <v>BASE RAZEL PREFECTURE - BASE RAZEL PREFECTURE</v>
      </c>
      <c r="I528" s="33" t="str">
        <f>IF(F527='Données Hebdo'!A528, VLOOKUP(Feuil1!A528, 'Données Hebdo'!B:J, 8, FALSE), "")</f>
        <v/>
      </c>
      <c r="J528" s="27" t="str">
        <f t="shared" si="108"/>
        <v>20:35:59 à 20:39:00</v>
      </c>
      <c r="K528" s="27" t="str">
        <f t="shared" si="109"/>
        <v>2016-06-04 20:39:00</v>
      </c>
      <c r="L528" s="27">
        <f t="shared" si="110"/>
        <v>2.0949074096279219E-3</v>
      </c>
      <c r="M528" s="30">
        <f t="shared" si="111"/>
        <v>3.6111111112404615E-3</v>
      </c>
      <c r="N528" s="18" t="str">
        <f t="shared" si="112"/>
        <v>BASE RAZEL PREFECTURE - BASE RAZEL PREFECTURE</v>
      </c>
      <c r="O528" s="18"/>
      <c r="P528" s="18"/>
    </row>
    <row r="529" spans="1:16" ht="27.6">
      <c r="A529" s="43" t="s">
        <v>81</v>
      </c>
      <c r="B529" s="43" t="s">
        <v>197</v>
      </c>
      <c r="C529" s="43" t="s">
        <v>1765</v>
      </c>
      <c r="D529" s="43" t="s">
        <v>1766</v>
      </c>
      <c r="E529" s="27">
        <f t="shared" si="105"/>
        <v>5.7754629597184248E-3</v>
      </c>
      <c r="F529" s="18" t="s">
        <v>99</v>
      </c>
      <c r="G529" s="30">
        <f t="shared" si="106"/>
        <v>2.0949074096279219E-3</v>
      </c>
      <c r="H529" s="23" t="str">
        <f t="shared" si="107"/>
        <v>BASE RAZEL PREFECTURE - BASE RAZEL PREFECTURE</v>
      </c>
      <c r="I529" s="33" t="str">
        <f>IF(F528='Données Hebdo'!A529, VLOOKUP(Feuil1!A529, 'Données Hebdo'!B:J, 8, FALSE), "")</f>
        <v/>
      </c>
      <c r="J529" s="27" t="str">
        <f t="shared" si="108"/>
        <v>20:47:19 à 20:48:27</v>
      </c>
      <c r="K529" s="27" t="str">
        <f t="shared" si="109"/>
        <v>2016-06-04 20:48:27</v>
      </c>
      <c r="L529" s="27">
        <f t="shared" si="110"/>
        <v>7.8703703911742195E-4</v>
      </c>
      <c r="M529" s="30">
        <f t="shared" si="111"/>
        <v>5.7754629597184248E-3</v>
      </c>
      <c r="N529" s="18" t="str">
        <f t="shared" si="112"/>
        <v>BASE RAZEL PREFECTURE - BASE RAZEL PREFECTURE</v>
      </c>
      <c r="O529" s="18"/>
      <c r="P529" s="18"/>
    </row>
    <row r="530" spans="1:16" ht="27.6">
      <c r="A530" s="43" t="s">
        <v>81</v>
      </c>
      <c r="B530" s="43" t="s">
        <v>197</v>
      </c>
      <c r="C530" s="43" t="s">
        <v>1767</v>
      </c>
      <c r="D530" s="43" t="s">
        <v>1768</v>
      </c>
      <c r="E530" s="27">
        <f t="shared" si="105"/>
        <v>6.7245370373711921E-3</v>
      </c>
      <c r="F530" s="18" t="s">
        <v>99</v>
      </c>
      <c r="G530" s="30">
        <f t="shared" si="106"/>
        <v>7.8703703911742195E-4</v>
      </c>
      <c r="H530" s="23" t="str">
        <f t="shared" si="107"/>
        <v>BASE RAZEL PREFECTURE - BASE RAZEL PREFECTURE</v>
      </c>
      <c r="I530" s="33" t="str">
        <f>IF(F529='Données Hebdo'!A530, VLOOKUP(Feuil1!A530, 'Données Hebdo'!B:J, 8, FALSE), "")</f>
        <v/>
      </c>
      <c r="J530" s="27" t="str">
        <f t="shared" si="108"/>
        <v>20:58:08 à 20:59:08</v>
      </c>
      <c r="K530" s="27" t="str">
        <f t="shared" si="109"/>
        <v>2016-06-04 20:59:08</v>
      </c>
      <c r="L530" s="27">
        <f t="shared" si="110"/>
        <v>6.9444443943211809E-4</v>
      </c>
      <c r="M530" s="30">
        <f t="shared" si="111"/>
        <v>6.7245370373711921E-3</v>
      </c>
      <c r="N530" s="18" t="str">
        <f t="shared" si="112"/>
        <v>BASE RAZEL PREFECTURE - BASE RAZEL PREFECTURE</v>
      </c>
      <c r="O530" s="18"/>
      <c r="P530" s="18"/>
    </row>
    <row r="531" spans="1:16" ht="27.6">
      <c r="A531" s="43" t="s">
        <v>81</v>
      </c>
      <c r="B531" s="43" t="s">
        <v>197</v>
      </c>
      <c r="C531" s="43" t="s">
        <v>1769</v>
      </c>
      <c r="D531" s="43" t="s">
        <v>1770</v>
      </c>
      <c r="E531" s="27">
        <f t="shared" si="105"/>
        <v>1.423611116479151E-3</v>
      </c>
      <c r="F531" s="18" t="s">
        <v>99</v>
      </c>
      <c r="G531" s="30">
        <f t="shared" si="106"/>
        <v>6.9444443943211809E-4</v>
      </c>
      <c r="H531" s="23" t="str">
        <f t="shared" si="107"/>
        <v>BASE RAZEL PREFECTURE - BASE RAZEL PREFECTURE</v>
      </c>
      <c r="I531" s="33" t="str">
        <f>IF(F530='Données Hebdo'!A531, VLOOKUP(Feuil1!A531, 'Données Hebdo'!B:J, 8, FALSE), "")</f>
        <v/>
      </c>
      <c r="J531" s="27" t="str">
        <f t="shared" si="108"/>
        <v>21:01:11 à 21:03:09</v>
      </c>
      <c r="K531" s="27" t="str">
        <f t="shared" si="109"/>
        <v>2016-06-04 21:03:09</v>
      </c>
      <c r="L531" s="27">
        <f t="shared" si="110"/>
        <v>1.3657407398568466E-3</v>
      </c>
      <c r="M531" s="30">
        <f t="shared" si="111"/>
        <v>1.423611116479151E-3</v>
      </c>
      <c r="N531" s="18" t="str">
        <f t="shared" si="112"/>
        <v>BASE RAZEL PREFECTURE - BASE RAZEL PREFECTURE</v>
      </c>
      <c r="O531" s="18"/>
      <c r="P531" s="18"/>
    </row>
    <row r="532" spans="1:16" ht="27.6">
      <c r="A532" s="43" t="s">
        <v>81</v>
      </c>
      <c r="B532" s="43" t="s">
        <v>197</v>
      </c>
      <c r="C532" s="43" t="s">
        <v>1771</v>
      </c>
      <c r="D532" s="43" t="s">
        <v>1772</v>
      </c>
      <c r="E532" s="27">
        <f t="shared" si="105"/>
        <v>1.5740740709588863E-3</v>
      </c>
      <c r="F532" s="18" t="s">
        <v>99</v>
      </c>
      <c r="G532" s="30">
        <f t="shared" si="106"/>
        <v>1.3657407398568466E-3</v>
      </c>
      <c r="H532" s="23" t="str">
        <f t="shared" si="107"/>
        <v>BASE RAZEL PREFECTURE - BASE RAZEL PREFECTURE</v>
      </c>
      <c r="I532" s="33" t="str">
        <f>IF(F531='Données Hebdo'!A532, VLOOKUP(Feuil1!A532, 'Données Hebdo'!B:J, 8, FALSE), "")</f>
        <v/>
      </c>
      <c r="J532" s="27" t="str">
        <f t="shared" si="108"/>
        <v>21:05:25 à 21:05:53</v>
      </c>
      <c r="K532" s="27" t="str">
        <f t="shared" si="109"/>
        <v>2016-06-04 21:05:53</v>
      </c>
      <c r="L532" s="27">
        <f t="shared" si="110"/>
        <v>3.2407407707069069E-4</v>
      </c>
      <c r="M532" s="30">
        <f t="shared" si="111"/>
        <v>1.5740740709588863E-3</v>
      </c>
      <c r="N532" s="18" t="str">
        <f t="shared" si="112"/>
        <v>BASE RAZEL PREFECTURE - BASE RAZEL PREFECTURE</v>
      </c>
      <c r="O532" s="18"/>
      <c r="P532" s="18"/>
    </row>
    <row r="533" spans="1:16" ht="27.6">
      <c r="A533" s="43" t="s">
        <v>81</v>
      </c>
      <c r="B533" s="43" t="s">
        <v>197</v>
      </c>
      <c r="C533" s="43" t="s">
        <v>1773</v>
      </c>
      <c r="D533" s="43" t="s">
        <v>1774</v>
      </c>
      <c r="E533" s="27">
        <f t="shared" si="105"/>
        <v>3.5069444420514628E-3</v>
      </c>
      <c r="F533" s="18" t="s">
        <v>104</v>
      </c>
      <c r="G533" s="30">
        <f t="shared" si="106"/>
        <v>3.2407407707069069E-4</v>
      </c>
      <c r="H533" s="23" t="str">
        <f t="shared" si="107"/>
        <v>BASE RAZEL PREFECTURE - BASE RAZEL PREFECTURE</v>
      </c>
      <c r="I533" s="33" t="str">
        <f>IF(F532='Données Hebdo'!A533, VLOOKUP(Feuil1!A533, 'Données Hebdo'!B:J, 8, FALSE), "")</f>
        <v/>
      </c>
      <c r="J533" s="27" t="str">
        <f t="shared" si="108"/>
        <v>21:10:56 à 21:13:55</v>
      </c>
      <c r="K533" s="27" t="str">
        <f t="shared" si="109"/>
        <v>2016-06-04 21:13:55</v>
      </c>
      <c r="L533" s="27">
        <f t="shared" si="110"/>
        <v>2.0717592633445747E-3</v>
      </c>
      <c r="M533" s="30">
        <f t="shared" si="111"/>
        <v>3.5069444420514628E-3</v>
      </c>
      <c r="N533" s="18" t="str">
        <f t="shared" si="112"/>
        <v>BASE RAZEL PREFECTURE - BASE RAZEL PREFECTURE</v>
      </c>
      <c r="O533" s="18"/>
      <c r="P533" s="18"/>
    </row>
    <row r="534" spans="1:16" ht="27.6">
      <c r="A534" s="43" t="s">
        <v>81</v>
      </c>
      <c r="B534" s="43" t="s">
        <v>197</v>
      </c>
      <c r="C534" s="43" t="s">
        <v>1775</v>
      </c>
      <c r="D534" s="43" t="s">
        <v>1776</v>
      </c>
      <c r="E534" s="27">
        <f t="shared" si="105"/>
        <v>2.1759259252576157E-3</v>
      </c>
      <c r="F534" s="18" t="s">
        <v>104</v>
      </c>
      <c r="G534" s="30">
        <f t="shared" si="106"/>
        <v>2.0717592633445747E-3</v>
      </c>
      <c r="H534" s="23" t="str">
        <f t="shared" si="107"/>
        <v>BASE RAZEL PREFECTURE - BASE RAZEL PREFECTURE</v>
      </c>
      <c r="I534" s="33" t="str">
        <f>IF(F533='Données Hebdo'!A534, VLOOKUP(Feuil1!A534, 'Données Hebdo'!B:J, 8, FALSE), "")</f>
        <v/>
      </c>
      <c r="J534" s="27" t="str">
        <f t="shared" si="108"/>
        <v>21:17:03 à 21:17:54</v>
      </c>
      <c r="K534" s="27" t="str">
        <f t="shared" si="109"/>
        <v>2016-06-04 21:17:54</v>
      </c>
      <c r="L534" s="27">
        <f t="shared" si="110"/>
        <v>5.9027777751907706E-4</v>
      </c>
      <c r="M534" s="30">
        <f t="shared" si="111"/>
        <v>2.1759259252576157E-3</v>
      </c>
      <c r="N534" s="18" t="str">
        <f t="shared" si="112"/>
        <v>BASE RAZEL PREFECTURE - BASE RAZEL PREFECTURE</v>
      </c>
      <c r="O534" s="18"/>
      <c r="P534" s="18"/>
    </row>
    <row r="535" spans="1:16" ht="27.6">
      <c r="A535" s="43" t="s">
        <v>81</v>
      </c>
      <c r="B535" s="43" t="s">
        <v>197</v>
      </c>
      <c r="C535" s="43" t="s">
        <v>1777</v>
      </c>
      <c r="D535" s="43" t="s">
        <v>1778</v>
      </c>
      <c r="E535" s="27">
        <f t="shared" si="105"/>
        <v>7.0949074070085771E-3</v>
      </c>
      <c r="F535" s="18" t="s">
        <v>104</v>
      </c>
      <c r="G535" s="30">
        <f t="shared" si="106"/>
        <v>5.9027777751907706E-4</v>
      </c>
      <c r="H535" s="23" t="str">
        <f t="shared" si="107"/>
        <v>BASE RAZEL PREFECTURE - BASE RAZEL PREFECTURE</v>
      </c>
      <c r="I535" s="33" t="str">
        <f>IF(F534='Données Hebdo'!A535, VLOOKUP(Feuil1!A535, 'Données Hebdo'!B:J, 8, FALSE), "")</f>
        <v/>
      </c>
      <c r="J535" s="27" t="str">
        <f t="shared" si="108"/>
        <v>21:28:07 à 21:29:08</v>
      </c>
      <c r="K535" s="27" t="str">
        <f t="shared" si="109"/>
        <v>2016-06-04 21:29:08</v>
      </c>
      <c r="L535" s="27">
        <f t="shared" si="110"/>
        <v>7.0601851621177047E-4</v>
      </c>
      <c r="M535" s="30">
        <f t="shared" si="111"/>
        <v>7.0949074070085771E-3</v>
      </c>
      <c r="N535" s="18" t="str">
        <f t="shared" si="112"/>
        <v>BASE RAZEL PREFECTURE - BASE RAZEL PREFECTURE</v>
      </c>
      <c r="O535" s="18"/>
      <c r="P535" s="18"/>
    </row>
    <row r="536" spans="1:16" ht="27.6">
      <c r="A536" s="43" t="s">
        <v>81</v>
      </c>
      <c r="B536" s="43" t="s">
        <v>197</v>
      </c>
      <c r="C536" s="43" t="s">
        <v>1779</v>
      </c>
      <c r="D536" s="43" t="s">
        <v>1780</v>
      </c>
      <c r="E536" s="27">
        <f t="shared" si="105"/>
        <v>4.5486111121135764E-3</v>
      </c>
      <c r="F536" s="18" t="s">
        <v>104</v>
      </c>
      <c r="G536" s="30">
        <f t="shared" si="106"/>
        <v>7.0601851621177047E-4</v>
      </c>
      <c r="H536" s="23" t="str">
        <f t="shared" si="107"/>
        <v>BASE RAZEL PREFECTURE - BASE RAZEL PREFECTURE</v>
      </c>
      <c r="I536" s="33" t="str">
        <f>IF(F535='Données Hebdo'!A536, VLOOKUP(Feuil1!A536, 'Données Hebdo'!B:J, 8, FALSE), "")</f>
        <v/>
      </c>
      <c r="J536" s="27" t="str">
        <f t="shared" si="108"/>
        <v>21:35:41 à 21:36:24</v>
      </c>
      <c r="K536" s="27" t="str">
        <f t="shared" si="109"/>
        <v>2016-06-04 21:36:24</v>
      </c>
      <c r="L536" s="27">
        <f t="shared" si="110"/>
        <v>4.9768518510973081E-4</v>
      </c>
      <c r="M536" s="30">
        <f t="shared" si="111"/>
        <v>4.5486111121135764E-3</v>
      </c>
      <c r="N536" s="18" t="str">
        <f t="shared" si="112"/>
        <v>BASE RAZEL PREFECTURE - BASE RAZEL PREFECTURE</v>
      </c>
      <c r="O536" s="18"/>
      <c r="P536" s="18"/>
    </row>
    <row r="537" spans="1:16" ht="27.6">
      <c r="A537" s="43" t="s">
        <v>81</v>
      </c>
      <c r="B537" s="43" t="s">
        <v>197</v>
      </c>
      <c r="C537" s="43" t="s">
        <v>1781</v>
      </c>
      <c r="D537" s="43" t="s">
        <v>1782</v>
      </c>
      <c r="E537" s="27">
        <f t="shared" si="105"/>
        <v>4.6296296204673126E-4</v>
      </c>
      <c r="F537" s="18" t="s">
        <v>104</v>
      </c>
      <c r="G537" s="30">
        <f t="shared" si="106"/>
        <v>4.9768518510973081E-4</v>
      </c>
      <c r="H537" s="23" t="str">
        <f t="shared" si="107"/>
        <v>BASE RAZEL PREFECTURE - BASE RAZEL PREFECTURE</v>
      </c>
      <c r="I537" s="33" t="str">
        <f>IF(F536='Données Hebdo'!A537, VLOOKUP(Feuil1!A537, 'Données Hebdo'!B:J, 8, FALSE), "")</f>
        <v/>
      </c>
      <c r="J537" s="27" t="str">
        <f t="shared" si="108"/>
        <v>21:37:04 à 21:37:53</v>
      </c>
      <c r="K537" s="27" t="str">
        <f t="shared" si="109"/>
        <v>2016-06-04 21:37:53</v>
      </c>
      <c r="L537" s="27">
        <f t="shared" si="110"/>
        <v>5.671296312357299E-4</v>
      </c>
      <c r="M537" s="30">
        <f t="shared" si="111"/>
        <v>4.6296296204673126E-4</v>
      </c>
      <c r="N537" s="18" t="str">
        <f t="shared" si="112"/>
        <v>BASE RAZEL PREFECTURE - BASE RAZEL PREFECTURE</v>
      </c>
      <c r="O537" s="18"/>
      <c r="P537" s="18"/>
    </row>
    <row r="538" spans="1:16" ht="27.6">
      <c r="A538" s="43" t="s">
        <v>81</v>
      </c>
      <c r="B538" s="43" t="s">
        <v>197</v>
      </c>
      <c r="C538" s="43" t="s">
        <v>1783</v>
      </c>
      <c r="D538" s="43" t="s">
        <v>1784</v>
      </c>
      <c r="E538" s="27">
        <f t="shared" si="105"/>
        <v>2.6273148105246946E-3</v>
      </c>
      <c r="F538" s="18" t="s">
        <v>104</v>
      </c>
      <c r="G538" s="30">
        <f t="shared" si="106"/>
        <v>5.671296312357299E-4</v>
      </c>
      <c r="H538" s="23" t="str">
        <f t="shared" si="107"/>
        <v>BASE RAZEL PREFECTURE - BASE RAZEL PREFECTURE</v>
      </c>
      <c r="I538" s="33" t="str">
        <f>IF(F537='Données Hebdo'!A538, VLOOKUP(Feuil1!A538, 'Données Hebdo'!B:J, 8, FALSE), "")</f>
        <v/>
      </c>
      <c r="J538" s="27" t="str">
        <f t="shared" si="108"/>
        <v>21:41:40 à 21:42:47</v>
      </c>
      <c r="K538" s="27" t="str">
        <f t="shared" si="109"/>
        <v>2016-06-04 21:42:47</v>
      </c>
      <c r="L538" s="27">
        <f t="shared" si="110"/>
        <v>7.7546296233776957E-4</v>
      </c>
      <c r="M538" s="30">
        <f t="shared" si="111"/>
        <v>2.6273148105246946E-3</v>
      </c>
      <c r="N538" s="18" t="str">
        <f t="shared" si="112"/>
        <v>BASE RAZEL PREFECTURE - BASE RAZEL PREFECTURE</v>
      </c>
      <c r="O538" s="18"/>
      <c r="P538" s="18"/>
    </row>
    <row r="539" spans="1:16" ht="27.6">
      <c r="A539" s="43" t="s">
        <v>81</v>
      </c>
      <c r="B539" s="43" t="s">
        <v>197</v>
      </c>
      <c r="C539" s="43" t="s">
        <v>1785</v>
      </c>
      <c r="D539" s="43" t="s">
        <v>1786</v>
      </c>
      <c r="E539" s="27">
        <f t="shared" si="105"/>
        <v>1.3333333336049691E-2</v>
      </c>
      <c r="F539" s="18" t="s">
        <v>104</v>
      </c>
      <c r="G539" s="30">
        <f t="shared" si="106"/>
        <v>7.7546296233776957E-4</v>
      </c>
      <c r="H539" s="23" t="str">
        <f t="shared" si="107"/>
        <v>BASE RAZEL PREFECTURE - BASE RAZEL PREFECTURE</v>
      </c>
      <c r="I539" s="33" t="str">
        <f>IF(F538='Données Hebdo'!A539, VLOOKUP(Feuil1!A539, 'Données Hebdo'!B:J, 8, FALSE), "")</f>
        <v/>
      </c>
      <c r="J539" s="27" t="str">
        <f t="shared" si="108"/>
        <v>22:01:59 à 22:03:11</v>
      </c>
      <c r="K539" s="27" t="str">
        <f t="shared" si="109"/>
        <v>2016-06-04 22:03:11</v>
      </c>
      <c r="L539" s="27">
        <f t="shared" si="110"/>
        <v>8.3333333168411627E-4</v>
      </c>
      <c r="M539" s="30">
        <f t="shared" si="111"/>
        <v>1.3333333336049691E-2</v>
      </c>
      <c r="N539" s="18" t="str">
        <f t="shared" si="112"/>
        <v>BASE RAZEL PREFECTURE - BASE RAZEL PREFECTURE</v>
      </c>
      <c r="O539" s="18"/>
      <c r="P539" s="18"/>
    </row>
    <row r="540" spans="1:16" ht="27.6">
      <c r="A540" s="43" t="s">
        <v>81</v>
      </c>
      <c r="B540" s="43" t="s">
        <v>197</v>
      </c>
      <c r="C540" s="43" t="s">
        <v>1787</v>
      </c>
      <c r="D540" s="43" t="s">
        <v>1788</v>
      </c>
      <c r="E540" s="27">
        <f t="shared" si="105"/>
        <v>5.1967592589790002E-3</v>
      </c>
      <c r="F540" s="18" t="s">
        <v>104</v>
      </c>
      <c r="G540" s="30">
        <f t="shared" si="106"/>
        <v>8.3333333168411627E-4</v>
      </c>
      <c r="H540" s="23" t="str">
        <f t="shared" si="107"/>
        <v>BASE RAZEL PREFECTURE - BASE RAZEL PREFECTURE</v>
      </c>
      <c r="I540" s="33" t="str">
        <f>IF(F539='Données Hebdo'!A540, VLOOKUP(Feuil1!A540, 'Données Hebdo'!B:J, 8, FALSE), "")</f>
        <v/>
      </c>
      <c r="J540" s="27" t="str">
        <f t="shared" si="108"/>
        <v>22:10:40 à 22:11:31</v>
      </c>
      <c r="K540" s="27" t="str">
        <f t="shared" si="109"/>
        <v>2016-06-04 22:11:31</v>
      </c>
      <c r="L540" s="27">
        <f t="shared" si="110"/>
        <v>5.9027777751907706E-4</v>
      </c>
      <c r="M540" s="30">
        <f t="shared" si="111"/>
        <v>5.1967592589790002E-3</v>
      </c>
      <c r="N540" s="18" t="str">
        <f t="shared" si="112"/>
        <v>BASE RAZEL PREFECTURE - BASE RAZEL PREFECTURE</v>
      </c>
      <c r="O540" s="18"/>
      <c r="P540" s="18"/>
    </row>
    <row r="541" spans="1:16" ht="27.6">
      <c r="A541" s="43" t="s">
        <v>81</v>
      </c>
      <c r="B541" s="43" t="s">
        <v>197</v>
      </c>
      <c r="C541" s="43" t="s">
        <v>1789</v>
      </c>
      <c r="D541" s="43" t="s">
        <v>1790</v>
      </c>
      <c r="E541" s="27">
        <f t="shared" si="105"/>
        <v>1.4375000006111804E-2</v>
      </c>
      <c r="F541" s="18" t="s">
        <v>104</v>
      </c>
      <c r="G541" s="30">
        <f t="shared" si="106"/>
        <v>5.9027777751907706E-4</v>
      </c>
      <c r="H541" s="23" t="str">
        <f t="shared" si="107"/>
        <v>BASE RAZEL PREFECTURE - BASE RAZEL PREFECTURE</v>
      </c>
      <c r="I541" s="33" t="str">
        <f>IF(F540='Données Hebdo'!A541, VLOOKUP(Feuil1!A541, 'Données Hebdo'!B:J, 8, FALSE), "")</f>
        <v/>
      </c>
      <c r="J541" s="27" t="str">
        <f t="shared" si="108"/>
        <v>22:32:13 à 22:32:50</v>
      </c>
      <c r="K541" s="27" t="str">
        <f t="shared" si="109"/>
        <v>2016-06-04 22:32:50</v>
      </c>
      <c r="L541" s="27">
        <f t="shared" si="110"/>
        <v>4.2824073898373172E-4</v>
      </c>
      <c r="M541" s="30">
        <f t="shared" si="111"/>
        <v>1.4375000006111804E-2</v>
      </c>
      <c r="N541" s="18" t="str">
        <f t="shared" si="112"/>
        <v>BASE RAZEL PREFECTURE - BASE RAZEL PREFECTURE</v>
      </c>
      <c r="O541" s="18"/>
      <c r="P541" s="18"/>
    </row>
    <row r="542" spans="1:16" ht="27.6">
      <c r="A542" s="43" t="s">
        <v>81</v>
      </c>
      <c r="B542" s="43" t="s">
        <v>197</v>
      </c>
      <c r="C542" s="43" t="s">
        <v>1791</v>
      </c>
      <c r="D542" s="43" t="s">
        <v>1792</v>
      </c>
      <c r="E542" s="27">
        <f t="shared" si="105"/>
        <v>1.0046296294603962E-2</v>
      </c>
      <c r="F542" s="18" t="s">
        <v>104</v>
      </c>
      <c r="G542" s="30">
        <f t="shared" si="106"/>
        <v>4.2824073898373172E-4</v>
      </c>
      <c r="H542" s="23" t="str">
        <f t="shared" si="107"/>
        <v>BASE RAZEL PREFECTURE - BASE RAZEL PREFECTURE</v>
      </c>
      <c r="I542" s="33" t="str">
        <f>IF(F541='Données Hebdo'!A542, VLOOKUP(Feuil1!A542, 'Données Hebdo'!B:J, 8, FALSE), "")</f>
        <v/>
      </c>
      <c r="J542" s="27" t="str">
        <f t="shared" si="108"/>
        <v>22:47:18 à 22:48:02</v>
      </c>
      <c r="K542" s="27" t="str">
        <f t="shared" si="109"/>
        <v>2016-06-04 22:48:02</v>
      </c>
      <c r="L542" s="27">
        <f t="shared" si="110"/>
        <v>5.092592618893832E-4</v>
      </c>
      <c r="M542" s="30">
        <f t="shared" si="111"/>
        <v>1.0046296294603962E-2</v>
      </c>
      <c r="N542" s="18" t="str">
        <f t="shared" si="112"/>
        <v>BASE RAZEL PREFECTURE - BASE RAZEL PREFECTURE</v>
      </c>
      <c r="O542" s="18"/>
      <c r="P542" s="18"/>
    </row>
    <row r="543" spans="1:16" ht="27.6">
      <c r="A543" s="43" t="s">
        <v>81</v>
      </c>
      <c r="B543" s="43" t="s">
        <v>197</v>
      </c>
      <c r="C543" s="43" t="s">
        <v>1793</v>
      </c>
      <c r="D543" s="43" t="s">
        <v>1794</v>
      </c>
      <c r="E543" s="27">
        <f t="shared" si="105"/>
        <v>3.2523148111067712E-3</v>
      </c>
      <c r="F543" s="18" t="s">
        <v>106</v>
      </c>
      <c r="G543" s="30">
        <f t="shared" si="106"/>
        <v>5.092592618893832E-4</v>
      </c>
      <c r="H543" s="23" t="str">
        <f t="shared" si="107"/>
        <v>BASE RAZEL PREFECTURE - BASE RAZEL PREFECTURE</v>
      </c>
      <c r="I543" s="33" t="str">
        <f>IF(F542='Données Hebdo'!A543, VLOOKUP(Feuil1!A543, 'Données Hebdo'!B:J, 8, FALSE), "")</f>
        <v/>
      </c>
      <c r="J543" s="27" t="str">
        <f t="shared" si="108"/>
        <v>22:52:43 à 22:55:57</v>
      </c>
      <c r="K543" s="27" t="str">
        <f t="shared" si="109"/>
        <v>2016-06-04 22:55:57</v>
      </c>
      <c r="L543" s="27">
        <f t="shared" si="110"/>
        <v>2.2453703713836148E-3</v>
      </c>
      <c r="M543" s="30">
        <f t="shared" si="111"/>
        <v>3.2523148111067712E-3</v>
      </c>
      <c r="N543" s="18" t="str">
        <f t="shared" si="112"/>
        <v>BASE RAZEL PREFECTURE - BASE RAZEL PREFECTURE</v>
      </c>
      <c r="O543" s="18"/>
      <c r="P543" s="18"/>
    </row>
    <row r="544" spans="1:16" ht="27.6">
      <c r="A544" s="43" t="s">
        <v>81</v>
      </c>
      <c r="B544" s="43" t="s">
        <v>197</v>
      </c>
      <c r="C544" s="43" t="s">
        <v>1795</v>
      </c>
      <c r="D544" s="43" t="s">
        <v>1796</v>
      </c>
      <c r="E544" s="27">
        <f t="shared" si="105"/>
        <v>8.819444446999114E-3</v>
      </c>
      <c r="F544" s="18" t="s">
        <v>106</v>
      </c>
      <c r="G544" s="30">
        <f t="shared" si="106"/>
        <v>2.2453703713836148E-3</v>
      </c>
      <c r="H544" s="23" t="str">
        <f t="shared" si="107"/>
        <v>BASE RAZEL PREFECTURE - BASE RAZEL PREFECTURE</v>
      </c>
      <c r="I544" s="33" t="str">
        <f>IF(F543='Données Hebdo'!A544, VLOOKUP(Feuil1!A544, 'Données Hebdo'!B:J, 8, FALSE), "")</f>
        <v/>
      </c>
      <c r="J544" s="27" t="str">
        <f t="shared" si="108"/>
        <v>23:08:39 à 23:10:16</v>
      </c>
      <c r="K544" s="27" t="str">
        <f t="shared" si="109"/>
        <v>2016-06-04 23:10:16</v>
      </c>
      <c r="L544" s="27">
        <f t="shared" si="110"/>
        <v>1.1226851856918074E-3</v>
      </c>
      <c r="M544" s="30">
        <f t="shared" si="111"/>
        <v>8.819444446999114E-3</v>
      </c>
      <c r="N544" s="18" t="str">
        <f t="shared" si="112"/>
        <v>BASE RAZEL PREFECTURE - BASE RAZEL PREFECTURE</v>
      </c>
      <c r="O544" s="18"/>
      <c r="P544" s="18"/>
    </row>
    <row r="545" spans="1:16" ht="27.6">
      <c r="A545" s="43" t="s">
        <v>81</v>
      </c>
      <c r="B545" s="43" t="s">
        <v>197</v>
      </c>
      <c r="C545" s="43" t="s">
        <v>1797</v>
      </c>
      <c r="D545" s="43" t="s">
        <v>1798</v>
      </c>
      <c r="E545" s="27">
        <f t="shared" si="105"/>
        <v>2.6504629568080418E-3</v>
      </c>
      <c r="F545" s="18" t="s">
        <v>106</v>
      </c>
      <c r="G545" s="30">
        <f t="shared" si="106"/>
        <v>1.1226851856918074E-3</v>
      </c>
      <c r="H545" s="23" t="str">
        <f t="shared" si="107"/>
        <v>BASE RAZEL PREFECTURE - BASE RAZEL PREFECTURE</v>
      </c>
      <c r="I545" s="33" t="str">
        <f>IF(F544='Données Hebdo'!A545, VLOOKUP(Feuil1!A545, 'Données Hebdo'!B:J, 8, FALSE), "")</f>
        <v/>
      </c>
      <c r="J545" s="27" t="str">
        <f t="shared" si="108"/>
        <v>23:14:05 à 23:14:40</v>
      </c>
      <c r="K545" s="27" t="str">
        <f t="shared" si="109"/>
        <v>2016-06-04 23:14:40</v>
      </c>
      <c r="L545" s="27">
        <f t="shared" si="110"/>
        <v>4.0509259270038456E-4</v>
      </c>
      <c r="M545" s="30">
        <f t="shared" si="111"/>
        <v>2.6504629568080418E-3</v>
      </c>
      <c r="N545" s="18" t="str">
        <f t="shared" si="112"/>
        <v>BASE RAZEL PREFECTURE - BASE RAZEL PREFECTURE</v>
      </c>
      <c r="O545" s="18"/>
      <c r="P545" s="18"/>
    </row>
    <row r="546" spans="1:16" ht="27.6">
      <c r="A546" s="43" t="s">
        <v>81</v>
      </c>
      <c r="B546" s="43" t="s">
        <v>197</v>
      </c>
      <c r="C546" s="43" t="s">
        <v>1799</v>
      </c>
      <c r="D546" s="43" t="s">
        <v>1800</v>
      </c>
      <c r="E546" s="27">
        <f t="shared" si="105"/>
        <v>5.7754629669943824E-3</v>
      </c>
      <c r="F546" s="18" t="s">
        <v>106</v>
      </c>
      <c r="G546" s="30">
        <f t="shared" si="106"/>
        <v>4.0509259270038456E-4</v>
      </c>
      <c r="H546" s="23" t="str">
        <f t="shared" si="107"/>
        <v>BASE RAZEL PREFECTURE - BASE RAZEL PREFECTURE</v>
      </c>
      <c r="I546" s="33" t="str">
        <f>IF(F545='Données Hebdo'!A546, VLOOKUP(Feuil1!A546, 'Données Hebdo'!B:J, 8, FALSE), "")</f>
        <v/>
      </c>
      <c r="J546" s="27" t="str">
        <f t="shared" si="108"/>
        <v>23:22:59 à 23:23:49</v>
      </c>
      <c r="K546" s="27" t="str">
        <f t="shared" si="109"/>
        <v>2016-06-04 23:23:49</v>
      </c>
      <c r="L546" s="27">
        <f t="shared" si="110"/>
        <v>5.7870370073942468E-4</v>
      </c>
      <c r="M546" s="30">
        <f t="shared" si="111"/>
        <v>5.7754629669943824E-3</v>
      </c>
      <c r="N546" s="18" t="str">
        <f t="shared" si="112"/>
        <v>BASE RAZEL PREFECTURE - BASE RAZEL PREFECTURE</v>
      </c>
      <c r="O546" s="18"/>
      <c r="P546" s="18"/>
    </row>
    <row r="547" spans="1:16" ht="27.6">
      <c r="A547" s="43" t="s">
        <v>81</v>
      </c>
      <c r="B547" s="43" t="s">
        <v>197</v>
      </c>
      <c r="C547" s="43" t="s">
        <v>1801</v>
      </c>
      <c r="D547" s="43" t="s">
        <v>1802</v>
      </c>
      <c r="E547" s="27">
        <f t="shared" si="105"/>
        <v>3.5879630013369024E-4</v>
      </c>
      <c r="F547" s="18" t="s">
        <v>106</v>
      </c>
      <c r="G547" s="30">
        <f t="shared" si="106"/>
        <v>5.7870370073942468E-4</v>
      </c>
      <c r="H547" s="23" t="str">
        <f t="shared" si="107"/>
        <v>BASE RAZEL PREFECTURE - BASE RAZEL PREFECTURE</v>
      </c>
      <c r="I547" s="33" t="str">
        <f>IF(F546='Données Hebdo'!A547, VLOOKUP(Feuil1!A547, 'Données Hebdo'!B:J, 8, FALSE), "")</f>
        <v/>
      </c>
      <c r="J547" s="27" t="str">
        <f t="shared" si="108"/>
        <v>23:24:20 à 23:24:57</v>
      </c>
      <c r="K547" s="27" t="str">
        <f t="shared" si="109"/>
        <v>2016-06-04 23:24:57</v>
      </c>
      <c r="L547" s="27">
        <f t="shared" si="110"/>
        <v>4.2824073898373172E-4</v>
      </c>
      <c r="M547" s="30">
        <f t="shared" si="111"/>
        <v>3.5879630013369024E-4</v>
      </c>
      <c r="N547" s="18" t="str">
        <f t="shared" si="112"/>
        <v>BASE RAZEL PREFECTURE - BASE RAZEL PREFECTURE</v>
      </c>
      <c r="O547" s="18"/>
      <c r="P547" s="18"/>
    </row>
    <row r="548" spans="1:16" ht="27.6">
      <c r="A548" s="43" t="s">
        <v>81</v>
      </c>
      <c r="B548" s="43" t="s">
        <v>197</v>
      </c>
      <c r="C548" s="43" t="s">
        <v>1803</v>
      </c>
      <c r="D548" s="43" t="s">
        <v>1804</v>
      </c>
      <c r="E548" s="27">
        <f t="shared" si="105"/>
        <v>6.1342592380242422E-4</v>
      </c>
      <c r="F548" s="18" t="s">
        <v>106</v>
      </c>
      <c r="G548" s="30">
        <f t="shared" si="106"/>
        <v>4.2824073898373172E-4</v>
      </c>
      <c r="H548" s="23" t="str">
        <f t="shared" si="107"/>
        <v>BASE RAZEL PREFECTURE - BASE RAZEL PREFECTURE</v>
      </c>
      <c r="I548" s="33" t="str">
        <f>IF(F547='Données Hebdo'!A548, VLOOKUP(Feuil1!A548, 'Données Hebdo'!B:J, 8, FALSE), "")</f>
        <v/>
      </c>
      <c r="J548" s="27" t="str">
        <f t="shared" si="108"/>
        <v>23:25:50 à 23:27:02</v>
      </c>
      <c r="K548" s="27" t="str">
        <f t="shared" si="109"/>
        <v>2016-06-04 23:27:02</v>
      </c>
      <c r="L548" s="27">
        <f t="shared" si="110"/>
        <v>8.3333333896007389E-4</v>
      </c>
      <c r="M548" s="30">
        <f t="shared" si="111"/>
        <v>6.1342592380242422E-4</v>
      </c>
      <c r="N548" s="18" t="str">
        <f t="shared" si="112"/>
        <v>BASE RAZEL PREFECTURE - BASE RAZEL PREFECTURE</v>
      </c>
      <c r="O548" s="18"/>
      <c r="P548" s="18"/>
    </row>
    <row r="549" spans="1:16" ht="27.6">
      <c r="A549" s="43" t="s">
        <v>81</v>
      </c>
      <c r="B549" s="43" t="s">
        <v>197</v>
      </c>
      <c r="C549" s="43" t="s">
        <v>1805</v>
      </c>
      <c r="D549" s="43" t="s">
        <v>1806</v>
      </c>
      <c r="E549" s="27">
        <f t="shared" si="105"/>
        <v>2.4999999950523488E-3</v>
      </c>
      <c r="F549" s="18" t="s">
        <v>106</v>
      </c>
      <c r="G549" s="30">
        <f t="shared" si="106"/>
        <v>8.3333333896007389E-4</v>
      </c>
      <c r="H549" s="23" t="str">
        <f t="shared" si="107"/>
        <v>BASE RAZEL PREFECTURE - BASE RAZEL PREFECTURE</v>
      </c>
      <c r="I549" s="33" t="str">
        <f>IF(F548='Données Hebdo'!A549, VLOOKUP(Feuil1!A549, 'Données Hebdo'!B:J, 8, FALSE), "")</f>
        <v/>
      </c>
      <c r="J549" s="27" t="str">
        <f t="shared" si="108"/>
        <v>23:30:38 à 23:31:08</v>
      </c>
      <c r="K549" s="27" t="str">
        <f t="shared" si="109"/>
        <v>2016-06-04 23:31:08</v>
      </c>
      <c r="L549" s="27">
        <f t="shared" si="110"/>
        <v>3.4722222335403785E-4</v>
      </c>
      <c r="M549" s="30">
        <f t="shared" si="111"/>
        <v>2.4999999950523488E-3</v>
      </c>
      <c r="N549" s="18" t="str">
        <f t="shared" si="112"/>
        <v>BASE RAZEL PREFECTURE - BASE RAZEL PREFECTURE</v>
      </c>
      <c r="O549" s="18"/>
      <c r="P549" s="18"/>
    </row>
    <row r="550" spans="1:16" ht="27.6">
      <c r="A550" s="43" t="s">
        <v>81</v>
      </c>
      <c r="B550" s="43" t="s">
        <v>197</v>
      </c>
      <c r="C550" s="43" t="s">
        <v>1807</v>
      </c>
      <c r="D550" s="43" t="s">
        <v>1808</v>
      </c>
      <c r="E550" s="27">
        <f t="shared" si="105"/>
        <v>3.2407407707069069E-4</v>
      </c>
      <c r="F550" s="18" t="s">
        <v>106</v>
      </c>
      <c r="G550" s="30">
        <f t="shared" si="106"/>
        <v>3.4722222335403785E-4</v>
      </c>
      <c r="H550" s="23" t="str">
        <f t="shared" si="107"/>
        <v>BASE RAZEL PREFECTURE - BASE RAZEL PREFECTURE</v>
      </c>
      <c r="I550" s="33" t="str">
        <f>IF(F549='Données Hebdo'!A550, VLOOKUP(Feuil1!A550, 'Données Hebdo'!B:J, 8, FALSE), "")</f>
        <v/>
      </c>
      <c r="J550" s="27" t="str">
        <f t="shared" si="108"/>
        <v>23:31:36 à 23:32:08</v>
      </c>
      <c r="K550" s="27" t="str">
        <f t="shared" si="109"/>
        <v>2016-06-04 23:32:08</v>
      </c>
      <c r="L550" s="27">
        <f t="shared" si="110"/>
        <v>3.7037036963738501E-4</v>
      </c>
      <c r="M550" s="30">
        <f t="shared" si="111"/>
        <v>3.2407407707069069E-4</v>
      </c>
      <c r="N550" s="18" t="str">
        <f t="shared" si="112"/>
        <v>BASE RAZEL PREFECTURE - BASE RAZEL PREFECTURE</v>
      </c>
      <c r="O550" s="18"/>
      <c r="P550" s="18"/>
    </row>
    <row r="551" spans="1:16" ht="27.6">
      <c r="A551" s="43" t="s">
        <v>81</v>
      </c>
      <c r="B551" s="43" t="s">
        <v>197</v>
      </c>
      <c r="C551" s="43" t="s">
        <v>1809</v>
      </c>
      <c r="D551" s="43" t="s">
        <v>1810</v>
      </c>
      <c r="E551" s="27">
        <f t="shared" si="105"/>
        <v>4.3321759258105885E-2</v>
      </c>
      <c r="F551" s="18" t="s">
        <v>106</v>
      </c>
      <c r="G551" s="30">
        <f t="shared" si="106"/>
        <v>3.7037036963738501E-4</v>
      </c>
      <c r="H551" s="23" t="str">
        <f t="shared" si="107"/>
        <v>BASE RAZEL PREFECTURE - BASE RAZEL PREFECTURE</v>
      </c>
      <c r="I551" s="33" t="str">
        <f>IF(F550='Données Hebdo'!A551, VLOOKUP(Feuil1!A551, 'Données Hebdo'!B:J, 8, FALSE), "")</f>
        <v/>
      </c>
      <c r="J551" s="27" t="str">
        <f t="shared" si="108"/>
        <v>00:34:31 à 00:35:42</v>
      </c>
      <c r="K551" s="27" t="str">
        <f t="shared" si="109"/>
        <v>2016-06-05 00:35:42</v>
      </c>
      <c r="L551" s="27">
        <f t="shared" si="110"/>
        <v>8.2175925490446389E-4</v>
      </c>
      <c r="M551" s="30">
        <f t="shared" si="111"/>
        <v>4.3321759258105885E-2</v>
      </c>
      <c r="N551" s="18" t="str">
        <f t="shared" si="112"/>
        <v>BASE RAZEL PREFECTURE - BASE RAZEL PREFECTURE</v>
      </c>
      <c r="O551" s="18"/>
      <c r="P551" s="18"/>
    </row>
    <row r="552" spans="1:16" ht="27.6">
      <c r="A552" s="43" t="s">
        <v>81</v>
      </c>
      <c r="B552" s="43" t="s">
        <v>197</v>
      </c>
      <c r="C552" s="43" t="s">
        <v>1811</v>
      </c>
      <c r="D552" s="43" t="s">
        <v>1812</v>
      </c>
      <c r="E552" s="27">
        <f t="shared" si="105"/>
        <v>1.49305556260515E-3</v>
      </c>
      <c r="F552" s="18" t="s">
        <v>106</v>
      </c>
      <c r="G552" s="30">
        <f t="shared" si="106"/>
        <v>8.2175925490446389E-4</v>
      </c>
      <c r="H552" s="23" t="str">
        <f t="shared" si="107"/>
        <v>BASE RAZEL PREFECTURE - BASE RAZEL PREFECTURE</v>
      </c>
      <c r="I552" s="33" t="str">
        <f>IF(F551='Données Hebdo'!A552, VLOOKUP(Feuil1!A552, 'Données Hebdo'!B:J, 8, FALSE), "")</f>
        <v/>
      </c>
      <c r="J552" s="27" t="str">
        <f t="shared" si="108"/>
        <v>00:37:51 à 00:40:18</v>
      </c>
      <c r="K552" s="27" t="str">
        <f t="shared" si="109"/>
        <v>2016-06-05 00:40:18</v>
      </c>
      <c r="L552" s="27">
        <f t="shared" si="110"/>
        <v>1.7013888864312321E-3</v>
      </c>
      <c r="M552" s="30">
        <f t="shared" si="111"/>
        <v>1.49305556260515E-3</v>
      </c>
      <c r="N552" s="18" t="str">
        <f t="shared" si="112"/>
        <v>BASE RAZEL PREFECTURE - BASE RAZEL PREFECTURE</v>
      </c>
      <c r="O552" s="18"/>
      <c r="P552" s="18"/>
    </row>
    <row r="553" spans="1:16" ht="27.6">
      <c r="A553" s="43" t="s">
        <v>81</v>
      </c>
      <c r="B553" s="43" t="s">
        <v>197</v>
      </c>
      <c r="C553" s="43" t="s">
        <v>1813</v>
      </c>
      <c r="D553" s="43" t="s">
        <v>1814</v>
      </c>
      <c r="E553" s="27">
        <f t="shared" si="105"/>
        <v>1.1458333319751546E-3</v>
      </c>
      <c r="F553" s="18" t="s">
        <v>106</v>
      </c>
      <c r="G553" s="30">
        <f t="shared" si="106"/>
        <v>1.7013888864312321E-3</v>
      </c>
      <c r="H553" s="23" t="str">
        <f t="shared" si="107"/>
        <v>BASE RAZEL PREFECTURE - BASE RAZEL PREFECTURE</v>
      </c>
      <c r="I553" s="33" t="str">
        <f>IF(F552='Données Hebdo'!A553, VLOOKUP(Feuil1!A553, 'Données Hebdo'!B:J, 8, FALSE), "")</f>
        <v/>
      </c>
      <c r="J553" s="27" t="str">
        <f t="shared" si="108"/>
        <v>00:41:57 à 00:43:28</v>
      </c>
      <c r="K553" s="27" t="str">
        <f t="shared" si="109"/>
        <v>2016-06-05 00:43:28</v>
      </c>
      <c r="L553" s="27">
        <f t="shared" si="110"/>
        <v>1.0532407395658083E-3</v>
      </c>
      <c r="M553" s="30">
        <f t="shared" si="111"/>
        <v>1.1458333319751546E-3</v>
      </c>
      <c r="N553" s="18" t="str">
        <f t="shared" si="112"/>
        <v>BASE RAZEL PREFECTURE - BASE RAZEL PREFECTURE</v>
      </c>
      <c r="O553" s="18"/>
      <c r="P553" s="18"/>
    </row>
    <row r="554" spans="1:16" ht="27.6">
      <c r="A554" s="43" t="s">
        <v>81</v>
      </c>
      <c r="B554" s="43" t="s">
        <v>197</v>
      </c>
      <c r="C554" s="43" t="s">
        <v>1815</v>
      </c>
      <c r="D554" s="43" t="s">
        <v>1816</v>
      </c>
      <c r="E554" s="27">
        <f t="shared" si="105"/>
        <v>4.5254629658302292E-3</v>
      </c>
      <c r="F554" s="18" t="s">
        <v>106</v>
      </c>
      <c r="G554" s="30">
        <f t="shared" si="106"/>
        <v>1.0532407395658083E-3</v>
      </c>
      <c r="H554" s="23" t="str">
        <f t="shared" si="107"/>
        <v>BASE RAZEL PREFECTURE - BASE RAZEL PREFECTURE</v>
      </c>
      <c r="I554" s="33" t="str">
        <f>IF(F553='Données Hebdo'!A554, VLOOKUP(Feuil1!A554, 'Données Hebdo'!B:J, 8, FALSE), "")</f>
        <v/>
      </c>
      <c r="J554" s="27" t="str">
        <f t="shared" si="108"/>
        <v>00:49:59 à 00:50:27</v>
      </c>
      <c r="K554" s="27" t="str">
        <f t="shared" si="109"/>
        <v>2016-06-05 00:50:27</v>
      </c>
      <c r="L554" s="27">
        <f t="shared" si="110"/>
        <v>3.2407406979473308E-4</v>
      </c>
      <c r="M554" s="30">
        <f t="shared" si="111"/>
        <v>4.5254629658302292E-3</v>
      </c>
      <c r="N554" s="18" t="str">
        <f t="shared" si="112"/>
        <v>BASE RAZEL PREFECTURE - BASE RAZEL PREFECTURE</v>
      </c>
      <c r="O554" s="18"/>
      <c r="P554" s="18"/>
    </row>
    <row r="555" spans="1:16">
      <c r="A555" s="43" t="s">
        <v>81</v>
      </c>
      <c r="B555" s="43" t="s">
        <v>197</v>
      </c>
      <c r="C555" s="43" t="s">
        <v>1817</v>
      </c>
      <c r="D555" s="43" t="s">
        <v>1818</v>
      </c>
      <c r="E555" s="27">
        <f t="shared" si="105"/>
        <v>4.6180555582395755E-3</v>
      </c>
      <c r="F555" s="18" t="s">
        <v>106</v>
      </c>
      <c r="G555" s="30">
        <f t="shared" si="106"/>
        <v>3.2407406979473308E-4</v>
      </c>
      <c r="H555" s="23" t="str">
        <f t="shared" si="107"/>
        <v>BASE RAZEL PREFECTURE - BASE RAZEL PREFECTURE</v>
      </c>
      <c r="I555" s="33" t="str">
        <f>IF(F554='Données Hebdo'!A555, VLOOKUP(Feuil1!A555, 'Données Hebdo'!B:J, 8, FALSE), "")</f>
        <v/>
      </c>
      <c r="J555" s="27" t="str">
        <f t="shared" si="108"/>
        <v/>
      </c>
      <c r="K555" s="27" t="str">
        <f t="shared" si="109"/>
        <v/>
      </c>
      <c r="L555" s="27" t="str">
        <f t="shared" si="110"/>
        <v/>
      </c>
      <c r="M555" s="30" t="str">
        <f t="shared" si="111"/>
        <v/>
      </c>
      <c r="N555" s="18" t="str">
        <f t="shared" si="112"/>
        <v/>
      </c>
      <c r="O555" s="18"/>
      <c r="P555" s="18"/>
    </row>
    <row r="556" spans="1:16" ht="27.6">
      <c r="A556" s="43" t="s">
        <v>82</v>
      </c>
      <c r="B556" s="43" t="s">
        <v>53</v>
      </c>
      <c r="C556" s="43" t="s">
        <v>1592</v>
      </c>
      <c r="D556" s="43" t="s">
        <v>1593</v>
      </c>
      <c r="E556" s="27">
        <f t="shared" si="105"/>
        <v>0.39815972222277196</v>
      </c>
      <c r="F556" s="18" t="s">
        <v>106</v>
      </c>
      <c r="G556" s="30" t="str">
        <f t="shared" si="106"/>
        <v/>
      </c>
      <c r="H556" s="23" t="str">
        <f t="shared" si="107"/>
        <v/>
      </c>
      <c r="I556" s="33" t="str">
        <f>IF(F555='Données Hebdo'!A556, VLOOKUP(Feuil1!A556, 'Données Hebdo'!B:J, 8, FALSE), "")</f>
        <v/>
      </c>
      <c r="J556" s="27" t="str">
        <f t="shared" si="108"/>
        <v>07:54:55 à 09:05:33</v>
      </c>
      <c r="K556" s="27" t="str">
        <f t="shared" si="109"/>
        <v>2016-06-04 09:05:33</v>
      </c>
      <c r="L556" s="27">
        <f t="shared" si="110"/>
        <v>4.9050925925257616E-2</v>
      </c>
      <c r="M556" s="30">
        <f t="shared" si="111"/>
        <v>0.39815972222277196</v>
      </c>
      <c r="N556" s="18" t="str">
        <f t="shared" si="112"/>
        <v>BASE RAZEL AEROPORT - AEROPORT DE DOUALA</v>
      </c>
      <c r="O556" s="18"/>
      <c r="P556" s="18"/>
    </row>
    <row r="557" spans="1:16" ht="27.6">
      <c r="A557" s="43" t="s">
        <v>82</v>
      </c>
      <c r="B557" s="43" t="s">
        <v>729</v>
      </c>
      <c r="C557" s="43" t="s">
        <v>1819</v>
      </c>
      <c r="D557" s="43" t="s">
        <v>1820</v>
      </c>
      <c r="E557" s="27">
        <f t="shared" si="105"/>
        <v>4.0509259270038456E-4</v>
      </c>
      <c r="F557" s="18" t="s">
        <v>106</v>
      </c>
      <c r="G557" s="30">
        <f t="shared" si="106"/>
        <v>4.9050925925257616E-2</v>
      </c>
      <c r="H557" s="23" t="str">
        <f t="shared" si="107"/>
        <v>BASE RAZEL AEROPORT - AEROPORT DE DOUALA</v>
      </c>
      <c r="I557" s="33" t="str">
        <f>IF(F556='Données Hebdo'!A557, VLOOKUP(Feuil1!A557, 'Données Hebdo'!B:J, 8, FALSE), "")</f>
        <v/>
      </c>
      <c r="J557" s="27" t="str">
        <f t="shared" si="108"/>
        <v>09:06:08 à 09:58:32</v>
      </c>
      <c r="K557" s="27" t="str">
        <f t="shared" si="109"/>
        <v>2016-06-04 09:58:32</v>
      </c>
      <c r="L557" s="27">
        <f t="shared" si="110"/>
        <v>3.6388888889632653E-2</v>
      </c>
      <c r="M557" s="30">
        <f t="shared" si="111"/>
        <v>4.0509259270038456E-4</v>
      </c>
      <c r="N557" s="18" t="str">
        <f t="shared" si="112"/>
        <v>AEROPORT DE DOUALA - AEROPORT DE DOUALA</v>
      </c>
      <c r="O557" s="18"/>
      <c r="P557" s="18"/>
    </row>
    <row r="558" spans="1:16" ht="27.6">
      <c r="A558" s="43" t="s">
        <v>82</v>
      </c>
      <c r="B558" s="43" t="s">
        <v>729</v>
      </c>
      <c r="C558" s="43" t="s">
        <v>1821</v>
      </c>
      <c r="D558" s="43" t="s">
        <v>1822</v>
      </c>
      <c r="E558" s="27">
        <f t="shared" si="105"/>
        <v>5.9027777751907706E-4</v>
      </c>
      <c r="F558" s="18" t="s">
        <v>106</v>
      </c>
      <c r="G558" s="30">
        <f t="shared" si="106"/>
        <v>3.6388888889632653E-2</v>
      </c>
      <c r="H558" s="23" t="str">
        <f t="shared" si="107"/>
        <v>AEROPORT DE DOUALA - AEROPORT DE DOUALA</v>
      </c>
      <c r="I558" s="33" t="str">
        <f>IF(F557='Données Hebdo'!A558, VLOOKUP(Feuil1!A558, 'Données Hebdo'!B:J, 8, FALSE), "")</f>
        <v/>
      </c>
      <c r="J558" s="27" t="str">
        <f t="shared" si="108"/>
        <v>09:59:23 à 10:45:41</v>
      </c>
      <c r="K558" s="27" t="str">
        <f t="shared" si="109"/>
        <v>2016-06-04 10:45:41</v>
      </c>
      <c r="L558" s="27">
        <f t="shared" si="110"/>
        <v>3.2152777777810115E-2</v>
      </c>
      <c r="M558" s="30">
        <f t="shared" si="111"/>
        <v>5.9027777751907706E-4</v>
      </c>
      <c r="N558" s="18" t="str">
        <f t="shared" si="112"/>
        <v>AEROPORT DE DOUALA - BASE RAZEL AEROPORT</v>
      </c>
      <c r="O558" s="18"/>
      <c r="P558" s="18"/>
    </row>
    <row r="559" spans="1:16" ht="27.6">
      <c r="A559" s="43" t="s">
        <v>82</v>
      </c>
      <c r="B559" s="43" t="s">
        <v>53</v>
      </c>
      <c r="C559" s="43" t="s">
        <v>1823</v>
      </c>
      <c r="D559" s="43" t="s">
        <v>1824</v>
      </c>
      <c r="E559" s="27">
        <f t="shared" si="105"/>
        <v>1.4999999999417923E-2</v>
      </c>
      <c r="F559" s="18" t="s">
        <v>106</v>
      </c>
      <c r="G559" s="30">
        <f t="shared" si="106"/>
        <v>3.2152777777810115E-2</v>
      </c>
      <c r="H559" s="23" t="str">
        <f t="shared" si="107"/>
        <v>AEROPORT DE DOUALA - BASE RAZEL AEROPORT</v>
      </c>
      <c r="I559" s="33" t="str">
        <f>IF(F558='Données Hebdo'!A559, VLOOKUP(Feuil1!A559, 'Données Hebdo'!B:J, 8, FALSE), "")</f>
        <v/>
      </c>
      <c r="J559" s="27" t="str">
        <f t="shared" si="108"/>
        <v>11:07:17 à 18:10:33</v>
      </c>
      <c r="K559" s="27" t="str">
        <f t="shared" si="109"/>
        <v>2016-06-04 18:10:33</v>
      </c>
      <c r="L559" s="27">
        <f t="shared" si="110"/>
        <v>0.29393518518918427</v>
      </c>
      <c r="M559" s="30">
        <f t="shared" si="111"/>
        <v>1.4999999999417923E-2</v>
      </c>
      <c r="N559" s="18" t="str">
        <f t="shared" si="112"/>
        <v>BASE RAZEL AEROPORT - BASE RAZEL AEROPORT</v>
      </c>
      <c r="O559" s="18"/>
      <c r="P559" s="18"/>
    </row>
    <row r="560" spans="1:16">
      <c r="A560" s="43" t="s">
        <v>82</v>
      </c>
      <c r="B560" s="43" t="s">
        <v>53</v>
      </c>
      <c r="C560" s="43" t="s">
        <v>1825</v>
      </c>
      <c r="D560" s="43" t="s">
        <v>1826</v>
      </c>
      <c r="E560" s="27">
        <f t="shared" si="105"/>
        <v>0.55768518518016208</v>
      </c>
      <c r="F560" s="18" t="s">
        <v>106</v>
      </c>
      <c r="G560" s="30">
        <f t="shared" si="106"/>
        <v>0.29393518518918427</v>
      </c>
      <c r="H560" s="23" t="str">
        <f t="shared" si="107"/>
        <v>BASE RAZEL AEROPORT - BASE RAZEL AEROPORT</v>
      </c>
      <c r="I560" s="33" t="str">
        <f>IF(F559='Données Hebdo'!A560, VLOOKUP(Feuil1!A560, 'Données Hebdo'!B:J, 8, FALSE), "")</f>
        <v/>
      </c>
      <c r="J560" s="27" t="str">
        <f t="shared" si="108"/>
        <v/>
      </c>
      <c r="K560" s="27" t="str">
        <f t="shared" si="109"/>
        <v/>
      </c>
      <c r="L560" s="27" t="str">
        <f t="shared" si="110"/>
        <v/>
      </c>
      <c r="M560" s="30" t="str">
        <f t="shared" si="111"/>
        <v/>
      </c>
      <c r="N560" s="18" t="str">
        <f t="shared" si="112"/>
        <v/>
      </c>
      <c r="O560" s="18"/>
      <c r="P560" s="18"/>
    </row>
  </sheetData>
  <autoFilter ref="A1:P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UTILISATION TRACTEURS</vt:lpstr>
      <vt:lpstr>ACTIVITE BASES</vt:lpstr>
      <vt:lpstr>Données Hebdo</vt:lpstr>
      <vt:lpstr>Graphe Hebdo</vt:lpstr>
      <vt:lpstr>Feuil2</vt:lpstr>
      <vt:lpstr>Feuil1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SORELLE FOLEFACK</cp:lastModifiedBy>
  <dcterms:created xsi:type="dcterms:W3CDTF">2015-12-22T21:04:23Z</dcterms:created>
  <dcterms:modified xsi:type="dcterms:W3CDTF">2025-05-30T13:20:09Z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